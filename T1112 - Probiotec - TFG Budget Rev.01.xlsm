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tables/table2.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pivotTables/pivotTable2.xml" ContentType="application/vnd.openxmlformats-officedocument.spreadsheetml.pivotTab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tiltonau.sharepoint.com/sites/Facades/Shared Documents/TENDERS/T1112 - Probiotec/01.2 - COST AND BUDGET/"/>
    </mc:Choice>
  </mc:AlternateContent>
  <xr:revisionPtr revIDLastSave="16" documentId="8_{0F167AC0-4F67-4861-8C9B-4900AD19C355}" xr6:coauthVersionLast="47" xr6:coauthVersionMax="47" xr10:uidLastSave="{58B0D972-6D38-43BF-86E1-8053CEF2236D}"/>
  <bookViews>
    <workbookView xWindow="-120" yWindow="-120" windowWidth="29040" windowHeight="15840" firstSheet="7" activeTab="11" xr2:uid="{DECCA0C0-6572-4E43-9CDC-299CC38B139C}"/>
  </bookViews>
  <sheets>
    <sheet name="EXECUTIVE SUMMARY" sheetId="6" r:id="rId1"/>
    <sheet name="TENDER SUMMARY" sheetId="7" r:id="rId2"/>
    <sheet name="STAFF COST FORECAST" sheetId="8" r:id="rId3"/>
    <sheet name="DESIGN &amp; ENGINEERING" sheetId="9" r:id="rId4"/>
    <sheet name="SITE COSTS" sheetId="10" r:id="rId5"/>
    <sheet name="MOCKUP &amp; TESTING" sheetId="11" r:id="rId6"/>
    <sheet name="TRANSPORT &amp; LOGISTICS" sheetId="14" r:id="rId7"/>
    <sheet name="PROJECT MANAGEMENT OFFICES" sheetId="12" r:id="rId8"/>
    <sheet name="PRODUCTION &amp; PROCUREMENT" sheetId="16" r:id="rId9"/>
    <sheet name="OVERHEADS &amp; FINANCIAL COSTS" sheetId="15" r:id="rId10"/>
    <sheet name="BOQ SUMMARY backup" sheetId="41" state="hidden" r:id="rId11"/>
    <sheet name="BOQ SUMMARY" sheetId="42" r:id="rId12"/>
    <sheet name="MANUAL BOQ" sheetId="3" r:id="rId13"/>
    <sheet name="40 HC CALC. (H)" sheetId="5" r:id="rId14"/>
    <sheet name="40 HC CALC. (V)" sheetId="2" r:id="rId15"/>
    <sheet name="TH-SYD AAW" sheetId="43" r:id="rId16"/>
  </sheets>
  <externalReferences>
    <externalReference r:id="rId17"/>
    <externalReference r:id="rId18"/>
    <externalReference r:id="rId19"/>
    <externalReference r:id="rId20"/>
    <externalReference r:id="rId21"/>
    <externalReference r:id="rId22"/>
    <externalReference r:id="rId23"/>
    <externalReference r:id="rId24"/>
  </externalReferences>
  <definedNames>
    <definedName name="__123Graph_ACURRENT" localSheetId="11" hidden="1">#REF!</definedName>
    <definedName name="__123Graph_ACURRENT" localSheetId="10" hidden="1">#REF!</definedName>
    <definedName name="__123Graph_ACURRENT" localSheetId="2" hidden="1">#REF!</definedName>
    <definedName name="__123Graph_ACURRENT" localSheetId="15" hidden="1">[1]FitOutConfCentre!#REF!</definedName>
    <definedName name="__123Graph_ACURRENT" hidden="1">#REF!</definedName>
    <definedName name="__123Graph_D" localSheetId="11" hidden="1">#REF!</definedName>
    <definedName name="__123Graph_D" localSheetId="10" hidden="1">#REF!</definedName>
    <definedName name="__123Graph_D" localSheetId="15" hidden="1">[2]FR!#REF!</definedName>
    <definedName name="__123Graph_D" hidden="1">#REF!</definedName>
    <definedName name="_Fill" localSheetId="10" hidden="1">#REF!</definedName>
    <definedName name="_Fill" localSheetId="15" hidden="1">#REF!</definedName>
    <definedName name="_Fill" hidden="1">#REF!</definedName>
    <definedName name="_xlnm._FilterDatabase" localSheetId="13" hidden="1">#REF!</definedName>
    <definedName name="_xlnm._FilterDatabase" localSheetId="14" hidden="1">#REF!</definedName>
    <definedName name="_xlnm._FilterDatabase" localSheetId="11" hidden="1">#REF!</definedName>
    <definedName name="_xlnm._FilterDatabase" localSheetId="3" hidden="1">'DESIGN &amp; ENGINEERING'!$A$10:$AF$22</definedName>
    <definedName name="_xlnm._FilterDatabase" localSheetId="5" hidden="1">'MOCKUP &amp; TESTING'!$A$10:$AG$38</definedName>
    <definedName name="_xlnm._FilterDatabase" localSheetId="9" hidden="1">'OVERHEADS &amp; FINANCIAL COSTS'!$A$10:$AF$17</definedName>
    <definedName name="_xlnm._FilterDatabase" localSheetId="8" hidden="1">'PRODUCTION &amp; PROCUREMENT'!$A$10:$AI$10</definedName>
    <definedName name="_xlnm._FilterDatabase" localSheetId="7" hidden="1">'PROJECT MANAGEMENT OFFICES'!$A$10:$AG$21</definedName>
    <definedName name="_xlnm._FilterDatabase" localSheetId="4" hidden="1">'SITE COSTS'!$A$10:$AH$24</definedName>
    <definedName name="_xlnm._FilterDatabase" localSheetId="1" hidden="1">'TENDER SUMMARY'!$A$15:$AJ$130</definedName>
    <definedName name="_xlnm._FilterDatabase" localSheetId="15" hidden="1">#REF!</definedName>
    <definedName name="_xlnm._FilterDatabase" localSheetId="6" hidden="1">'TRANSPORT &amp; LOGISTICS'!$A$10:$AG$18</definedName>
    <definedName name="_xlnm._FilterDatabase" hidden="1">#REF!</definedName>
    <definedName name="_Order1" hidden="1">255</definedName>
    <definedName name="_Table1_In1" localSheetId="11" hidden="1">#REF!</definedName>
    <definedName name="_Table1_In1" localSheetId="2" hidden="1">#REF!</definedName>
    <definedName name="_Table1_In1" localSheetId="15" hidden="1">#REF!</definedName>
    <definedName name="_Table1_In1" hidden="1">#REF!</definedName>
    <definedName name="_Table1_Out" localSheetId="2" hidden="1">#REF!</definedName>
    <definedName name="_Table1_Out" localSheetId="15" hidden="1">#REF!</definedName>
    <definedName name="_Table1_Out" hidden="1">#REF!</definedName>
    <definedName name="aaa" localSheetId="13" hidden="1">{"'SUMMATION'!$B$2:$I$2"}</definedName>
    <definedName name="aaa" localSheetId="14" hidden="1">{"'SUMMATION'!$B$2:$I$2"}</definedName>
    <definedName name="aaa" localSheetId="11" hidden="1">{"'SUMMATION'!$B$2:$I$2"}</definedName>
    <definedName name="aaa" localSheetId="10" hidden="1">{"'SUMMATION'!$B$2:$I$2"}</definedName>
    <definedName name="aaa" localSheetId="15" hidden="1">{"'SUMMATION'!$B$2:$I$2"}</definedName>
    <definedName name="aaa" hidden="1">{"'SUMMATION'!$B$2:$I$2"}</definedName>
    <definedName name="aaaa" localSheetId="13" hidden="1">{"'SUMMATION'!$B$2:$I$2"}</definedName>
    <definedName name="aaaa" localSheetId="14" hidden="1">{"'SUMMATION'!$B$2:$I$2"}</definedName>
    <definedName name="aaaa" localSheetId="11" hidden="1">{"'SUMMATION'!$B$2:$I$2"}</definedName>
    <definedName name="aaaa" localSheetId="10" hidden="1">{"'SUMMATION'!$B$2:$I$2"}</definedName>
    <definedName name="aaaa" localSheetId="15" hidden="1">{"'SUMMATION'!$B$2:$I$2"}</definedName>
    <definedName name="aaaa" hidden="1">{"'SUMMATION'!$B$2:$I$2"}</definedName>
    <definedName name="aaag" localSheetId="13" hidden="1">{#N/A,#N/A,TRUE,"SUM";#N/A,#N/A,TRUE,"EE";#N/A,#N/A,TRUE,"AC";#N/A,#N/A,TRUE,"SN"}</definedName>
    <definedName name="aaag" localSheetId="14" hidden="1">{#N/A,#N/A,TRUE,"SUM";#N/A,#N/A,TRUE,"EE";#N/A,#N/A,TRUE,"AC";#N/A,#N/A,TRUE,"SN"}</definedName>
    <definedName name="aaag" localSheetId="11" hidden="1">{#N/A,#N/A,TRUE,"SUM";#N/A,#N/A,TRUE,"EE";#N/A,#N/A,TRUE,"AC";#N/A,#N/A,TRUE,"SN"}</definedName>
    <definedName name="aaag" localSheetId="10" hidden="1">{#N/A,#N/A,TRUE,"SUM";#N/A,#N/A,TRUE,"EE";#N/A,#N/A,TRUE,"AC";#N/A,#N/A,TRUE,"SN"}</definedName>
    <definedName name="aaag" localSheetId="15" hidden="1">{#N/A,#N/A,TRUE,"SUM";#N/A,#N/A,TRUE,"EE";#N/A,#N/A,TRUE,"AC";#N/A,#N/A,TRUE,"SN"}</definedName>
    <definedName name="aaag" hidden="1">{#N/A,#N/A,TRUE,"SUM";#N/A,#N/A,TRUE,"EE";#N/A,#N/A,TRUE,"AC";#N/A,#N/A,TRUE,"SN"}</definedName>
    <definedName name="aasd" localSheetId="13" hidden="1">{"'SUMMATION'!$B$2:$I$2"}</definedName>
    <definedName name="aasd" localSheetId="14" hidden="1">{"'SUMMATION'!$B$2:$I$2"}</definedName>
    <definedName name="aasd" localSheetId="11" hidden="1">{"'SUMMATION'!$B$2:$I$2"}</definedName>
    <definedName name="aasd" localSheetId="10" hidden="1">{"'SUMMATION'!$B$2:$I$2"}</definedName>
    <definedName name="aasd" localSheetId="15" hidden="1">{"'SUMMATION'!$B$2:$I$2"}</definedName>
    <definedName name="aasd" hidden="1">{"'SUMMATION'!$B$2:$I$2"}</definedName>
    <definedName name="AccessDatabase" hidden="1">"C:\My Documents\MRTA\COST\VO\BS\L_subway.mdb"</definedName>
    <definedName name="ADADFF" localSheetId="13" hidden="1">{#N/A,#N/A,TRUE,"SUM";#N/A,#N/A,TRUE,"EE";#N/A,#N/A,TRUE,"AC";#N/A,#N/A,TRUE,"SN"}</definedName>
    <definedName name="ADADFF" localSheetId="14" hidden="1">{#N/A,#N/A,TRUE,"SUM";#N/A,#N/A,TRUE,"EE";#N/A,#N/A,TRUE,"AC";#N/A,#N/A,TRUE,"SN"}</definedName>
    <definedName name="ADADFF" localSheetId="11" hidden="1">{#N/A,#N/A,TRUE,"SUM";#N/A,#N/A,TRUE,"EE";#N/A,#N/A,TRUE,"AC";#N/A,#N/A,TRUE,"SN"}</definedName>
    <definedName name="ADADFF" localSheetId="10" hidden="1">{#N/A,#N/A,TRUE,"SUM";#N/A,#N/A,TRUE,"EE";#N/A,#N/A,TRUE,"AC";#N/A,#N/A,TRUE,"SN"}</definedName>
    <definedName name="ADADFF" localSheetId="15" hidden="1">{#N/A,#N/A,TRUE,"SUM";#N/A,#N/A,TRUE,"EE";#N/A,#N/A,TRUE,"AC";#N/A,#N/A,TRUE,"SN"}</definedName>
    <definedName name="ADADFF" hidden="1">{#N/A,#N/A,TRUE,"SUM";#N/A,#N/A,TRUE,"EE";#N/A,#N/A,TRUE,"AC";#N/A,#N/A,TRUE,"SN"}</definedName>
    <definedName name="aetrey" localSheetId="13" hidden="1">{#N/A,#N/A,TRUE,"SUM";#N/A,#N/A,TRUE,"EE";#N/A,#N/A,TRUE,"AC";#N/A,#N/A,TRUE,"SN"}</definedName>
    <definedName name="aetrey" localSheetId="14" hidden="1">{#N/A,#N/A,TRUE,"SUM";#N/A,#N/A,TRUE,"EE";#N/A,#N/A,TRUE,"AC";#N/A,#N/A,TRUE,"SN"}</definedName>
    <definedName name="aetrey" localSheetId="11" hidden="1">{#N/A,#N/A,TRUE,"SUM";#N/A,#N/A,TRUE,"EE";#N/A,#N/A,TRUE,"AC";#N/A,#N/A,TRUE,"SN"}</definedName>
    <definedName name="aetrey" localSheetId="10" hidden="1">{#N/A,#N/A,TRUE,"SUM";#N/A,#N/A,TRUE,"EE";#N/A,#N/A,TRUE,"AC";#N/A,#N/A,TRUE,"SN"}</definedName>
    <definedName name="aetrey" localSheetId="15" hidden="1">{#N/A,#N/A,TRUE,"SUM";#N/A,#N/A,TRUE,"EE";#N/A,#N/A,TRUE,"AC";#N/A,#N/A,TRUE,"SN"}</definedName>
    <definedName name="aetrey" hidden="1">{#N/A,#N/A,TRUE,"SUM";#N/A,#N/A,TRUE,"EE";#N/A,#N/A,TRUE,"AC";#N/A,#N/A,TRUE,"SN"}</definedName>
    <definedName name="aFdG" localSheetId="13" hidden="1">{#N/A,#N/A,TRUE,"SUM";#N/A,#N/A,TRUE,"EE";#N/A,#N/A,TRUE,"AC";#N/A,#N/A,TRUE,"SN"}</definedName>
    <definedName name="aFdG" localSheetId="14" hidden="1">{#N/A,#N/A,TRUE,"SUM";#N/A,#N/A,TRUE,"EE";#N/A,#N/A,TRUE,"AC";#N/A,#N/A,TRUE,"SN"}</definedName>
    <definedName name="aFdG" localSheetId="11" hidden="1">{#N/A,#N/A,TRUE,"SUM";#N/A,#N/A,TRUE,"EE";#N/A,#N/A,TRUE,"AC";#N/A,#N/A,TRUE,"SN"}</definedName>
    <definedName name="aFdG" localSheetId="10" hidden="1">{#N/A,#N/A,TRUE,"SUM";#N/A,#N/A,TRUE,"EE";#N/A,#N/A,TRUE,"AC";#N/A,#N/A,TRUE,"SN"}</definedName>
    <definedName name="aFdG" localSheetId="15" hidden="1">{#N/A,#N/A,TRUE,"SUM";#N/A,#N/A,TRUE,"EE";#N/A,#N/A,TRUE,"AC";#N/A,#N/A,TRUE,"SN"}</definedName>
    <definedName name="aFdG" hidden="1">{#N/A,#N/A,TRUE,"SUM";#N/A,#N/A,TRUE,"EE";#N/A,#N/A,TRUE,"AC";#N/A,#N/A,TRUE,"SN"}</definedName>
    <definedName name="afff" localSheetId="13" hidden="1">{#N/A,#N/A,TRUE,"SUM";#N/A,#N/A,TRUE,"EE";#N/A,#N/A,TRUE,"AC";#N/A,#N/A,TRUE,"SN"}</definedName>
    <definedName name="afff" localSheetId="14" hidden="1">{#N/A,#N/A,TRUE,"SUM";#N/A,#N/A,TRUE,"EE";#N/A,#N/A,TRUE,"AC";#N/A,#N/A,TRUE,"SN"}</definedName>
    <definedName name="afff" localSheetId="11" hidden="1">{#N/A,#N/A,TRUE,"SUM";#N/A,#N/A,TRUE,"EE";#N/A,#N/A,TRUE,"AC";#N/A,#N/A,TRUE,"SN"}</definedName>
    <definedName name="afff" localSheetId="10" hidden="1">{#N/A,#N/A,TRUE,"SUM";#N/A,#N/A,TRUE,"EE";#N/A,#N/A,TRUE,"AC";#N/A,#N/A,TRUE,"SN"}</definedName>
    <definedName name="afff" localSheetId="15" hidden="1">{#N/A,#N/A,TRUE,"SUM";#N/A,#N/A,TRUE,"EE";#N/A,#N/A,TRUE,"AC";#N/A,#N/A,TRUE,"SN"}</definedName>
    <definedName name="afff" hidden="1">{#N/A,#N/A,TRUE,"SUM";#N/A,#N/A,TRUE,"EE";#N/A,#N/A,TRUE,"AC";#N/A,#N/A,TRUE,"SN"}</definedName>
    <definedName name="asdfgdg" localSheetId="13" hidden="1">{#N/A,#N/A,TRUE,"SUM";#N/A,#N/A,TRUE,"EE";#N/A,#N/A,TRUE,"AC";#N/A,#N/A,TRUE,"SN"}</definedName>
    <definedName name="asdfgdg" localSheetId="14" hidden="1">{#N/A,#N/A,TRUE,"SUM";#N/A,#N/A,TRUE,"EE";#N/A,#N/A,TRUE,"AC";#N/A,#N/A,TRUE,"SN"}</definedName>
    <definedName name="asdfgdg" localSheetId="11" hidden="1">{#N/A,#N/A,TRUE,"SUM";#N/A,#N/A,TRUE,"EE";#N/A,#N/A,TRUE,"AC";#N/A,#N/A,TRUE,"SN"}</definedName>
    <definedName name="asdfgdg" localSheetId="10" hidden="1">{#N/A,#N/A,TRUE,"SUM";#N/A,#N/A,TRUE,"EE";#N/A,#N/A,TRUE,"AC";#N/A,#N/A,TRUE,"SN"}</definedName>
    <definedName name="asdfgdg" localSheetId="15" hidden="1">{#N/A,#N/A,TRUE,"SUM";#N/A,#N/A,TRUE,"EE";#N/A,#N/A,TRUE,"AC";#N/A,#N/A,TRUE,"SN"}</definedName>
    <definedName name="asdfgdg" hidden="1">{#N/A,#N/A,TRUE,"SUM";#N/A,#N/A,TRUE,"EE";#N/A,#N/A,TRUE,"AC";#N/A,#N/A,TRUE,"SN"}</definedName>
    <definedName name="asdfSA" localSheetId="13" hidden="1">{#N/A,#N/A,TRUE,"SUM";#N/A,#N/A,TRUE,"EE";#N/A,#N/A,TRUE,"AC";#N/A,#N/A,TRUE,"SN"}</definedName>
    <definedName name="asdfSA" localSheetId="14" hidden="1">{#N/A,#N/A,TRUE,"SUM";#N/A,#N/A,TRUE,"EE";#N/A,#N/A,TRUE,"AC";#N/A,#N/A,TRUE,"SN"}</definedName>
    <definedName name="asdfSA" localSheetId="11" hidden="1">{#N/A,#N/A,TRUE,"SUM";#N/A,#N/A,TRUE,"EE";#N/A,#N/A,TRUE,"AC";#N/A,#N/A,TRUE,"SN"}</definedName>
    <definedName name="asdfSA" localSheetId="10" hidden="1">{#N/A,#N/A,TRUE,"SUM";#N/A,#N/A,TRUE,"EE";#N/A,#N/A,TRUE,"AC";#N/A,#N/A,TRUE,"SN"}</definedName>
    <definedName name="asdfSA" localSheetId="15" hidden="1">{#N/A,#N/A,TRUE,"SUM";#N/A,#N/A,TRUE,"EE";#N/A,#N/A,TRUE,"AC";#N/A,#N/A,TRUE,"SN"}</definedName>
    <definedName name="asdfSA" hidden="1">{#N/A,#N/A,TRUE,"SUM";#N/A,#N/A,TRUE,"EE";#N/A,#N/A,TRUE,"AC";#N/A,#N/A,TRUE,"SN"}</definedName>
    <definedName name="asestg" localSheetId="13" hidden="1">{#N/A,#N/A,TRUE,"SUM";#N/A,#N/A,TRUE,"EE";#N/A,#N/A,TRUE,"AC";#N/A,#N/A,TRUE,"SN"}</definedName>
    <definedName name="asestg" localSheetId="14" hidden="1">{#N/A,#N/A,TRUE,"SUM";#N/A,#N/A,TRUE,"EE";#N/A,#N/A,TRUE,"AC";#N/A,#N/A,TRUE,"SN"}</definedName>
    <definedName name="asestg" localSheetId="11" hidden="1">{#N/A,#N/A,TRUE,"SUM";#N/A,#N/A,TRUE,"EE";#N/A,#N/A,TRUE,"AC";#N/A,#N/A,TRUE,"SN"}</definedName>
    <definedName name="asestg" localSheetId="10" hidden="1">{#N/A,#N/A,TRUE,"SUM";#N/A,#N/A,TRUE,"EE";#N/A,#N/A,TRUE,"AC";#N/A,#N/A,TRUE,"SN"}</definedName>
    <definedName name="asestg" localSheetId="15" hidden="1">{#N/A,#N/A,TRUE,"SUM";#N/A,#N/A,TRUE,"EE";#N/A,#N/A,TRUE,"AC";#N/A,#N/A,TRUE,"SN"}</definedName>
    <definedName name="asestg" hidden="1">{#N/A,#N/A,TRUE,"SUM";#N/A,#N/A,TRUE,"EE";#N/A,#N/A,TRUE,"AC";#N/A,#N/A,TRUE,"SN"}</definedName>
    <definedName name="asfsaf" localSheetId="13" hidden="1">{#N/A,#N/A,TRUE,"SUM";#N/A,#N/A,TRUE,"EE";#N/A,#N/A,TRUE,"AC";#N/A,#N/A,TRUE,"SN"}</definedName>
    <definedName name="asfsaf" localSheetId="14" hidden="1">{#N/A,#N/A,TRUE,"SUM";#N/A,#N/A,TRUE,"EE";#N/A,#N/A,TRUE,"AC";#N/A,#N/A,TRUE,"SN"}</definedName>
    <definedName name="asfsaf" localSheetId="11" hidden="1">{#N/A,#N/A,TRUE,"SUM";#N/A,#N/A,TRUE,"EE";#N/A,#N/A,TRUE,"AC";#N/A,#N/A,TRUE,"SN"}</definedName>
    <definedName name="asfsaf" localSheetId="10" hidden="1">{#N/A,#N/A,TRUE,"SUM";#N/A,#N/A,TRUE,"EE";#N/A,#N/A,TRUE,"AC";#N/A,#N/A,TRUE,"SN"}</definedName>
    <definedName name="asfsaf" localSheetId="15" hidden="1">{#N/A,#N/A,TRUE,"SUM";#N/A,#N/A,TRUE,"EE";#N/A,#N/A,TRUE,"AC";#N/A,#N/A,TRUE,"SN"}</definedName>
    <definedName name="asfsaf" hidden="1">{#N/A,#N/A,TRUE,"SUM";#N/A,#N/A,TRUE,"EE";#N/A,#N/A,TRUE,"AC";#N/A,#N/A,TRUE,"SN"}</definedName>
    <definedName name="asfsf" localSheetId="13" hidden="1">{#N/A,#N/A,TRUE,"SUM";#N/A,#N/A,TRUE,"EE";#N/A,#N/A,TRUE,"AC";#N/A,#N/A,TRUE,"SN"}</definedName>
    <definedName name="asfsf" localSheetId="14" hidden="1">{#N/A,#N/A,TRUE,"SUM";#N/A,#N/A,TRUE,"EE";#N/A,#N/A,TRUE,"AC";#N/A,#N/A,TRUE,"SN"}</definedName>
    <definedName name="asfsf" localSheetId="11" hidden="1">{#N/A,#N/A,TRUE,"SUM";#N/A,#N/A,TRUE,"EE";#N/A,#N/A,TRUE,"AC";#N/A,#N/A,TRUE,"SN"}</definedName>
    <definedName name="asfsf" localSheetId="10" hidden="1">{#N/A,#N/A,TRUE,"SUM";#N/A,#N/A,TRUE,"EE";#N/A,#N/A,TRUE,"AC";#N/A,#N/A,TRUE,"SN"}</definedName>
    <definedName name="asfsf" localSheetId="15" hidden="1">{#N/A,#N/A,TRUE,"SUM";#N/A,#N/A,TRUE,"EE";#N/A,#N/A,TRUE,"AC";#N/A,#N/A,TRUE,"SN"}</definedName>
    <definedName name="asfsf" hidden="1">{#N/A,#N/A,TRUE,"SUM";#N/A,#N/A,TRUE,"EE";#N/A,#N/A,TRUE,"AC";#N/A,#N/A,TRUE,"SN"}</definedName>
    <definedName name="asrwer" localSheetId="13" hidden="1">{#N/A,#N/A,TRUE,"SUM";#N/A,#N/A,TRUE,"EE";#N/A,#N/A,TRUE,"AC";#N/A,#N/A,TRUE,"SN"}</definedName>
    <definedName name="asrwer" localSheetId="14" hidden="1">{#N/A,#N/A,TRUE,"SUM";#N/A,#N/A,TRUE,"EE";#N/A,#N/A,TRUE,"AC";#N/A,#N/A,TRUE,"SN"}</definedName>
    <definedName name="asrwer" localSheetId="11" hidden="1">{#N/A,#N/A,TRUE,"SUM";#N/A,#N/A,TRUE,"EE";#N/A,#N/A,TRUE,"AC";#N/A,#N/A,TRUE,"SN"}</definedName>
    <definedName name="asrwer" localSheetId="10" hidden="1">{#N/A,#N/A,TRUE,"SUM";#N/A,#N/A,TRUE,"EE";#N/A,#N/A,TRUE,"AC";#N/A,#N/A,TRUE,"SN"}</definedName>
    <definedName name="asrwer" localSheetId="15" hidden="1">{#N/A,#N/A,TRUE,"SUM";#N/A,#N/A,TRUE,"EE";#N/A,#N/A,TRUE,"AC";#N/A,#N/A,TRUE,"SN"}</definedName>
    <definedName name="asrwer" hidden="1">{#N/A,#N/A,TRUE,"SUM";#N/A,#N/A,TRUE,"EE";#N/A,#N/A,TRUE,"AC";#N/A,#N/A,TRUE,"SN"}</definedName>
    <definedName name="bhu" localSheetId="13" hidden="1">{#N/A,#N/A,TRUE,"SUM";#N/A,#N/A,TRUE,"EE";#N/A,#N/A,TRUE,"AC";#N/A,#N/A,TRUE,"SN"}</definedName>
    <definedName name="bhu" localSheetId="14" hidden="1">{#N/A,#N/A,TRUE,"SUM";#N/A,#N/A,TRUE,"EE";#N/A,#N/A,TRUE,"AC";#N/A,#N/A,TRUE,"SN"}</definedName>
    <definedName name="bhu" localSheetId="11" hidden="1">{#N/A,#N/A,TRUE,"SUM";#N/A,#N/A,TRUE,"EE";#N/A,#N/A,TRUE,"AC";#N/A,#N/A,TRUE,"SN"}</definedName>
    <definedName name="bhu" localSheetId="10" hidden="1">{#N/A,#N/A,TRUE,"SUM";#N/A,#N/A,TRUE,"EE";#N/A,#N/A,TRUE,"AC";#N/A,#N/A,TRUE,"SN"}</definedName>
    <definedName name="bhu" localSheetId="15" hidden="1">{#N/A,#N/A,TRUE,"SUM";#N/A,#N/A,TRUE,"EE";#N/A,#N/A,TRUE,"AC";#N/A,#N/A,TRUE,"SN"}</definedName>
    <definedName name="bhu" hidden="1">{#N/A,#N/A,TRUE,"SUM";#N/A,#N/A,TRUE,"EE";#N/A,#N/A,TRUE,"AC";#N/A,#N/A,TRUE,"SN"}</definedName>
    <definedName name="BIGC" localSheetId="13" hidden="1">{#N/A,#N/A,TRUE,"Str.";#N/A,#N/A,TRUE,"Steel &amp; Roof";#N/A,#N/A,TRUE,"Arc.";#N/A,#N/A,TRUE,"Preliminary";#N/A,#N/A,TRUE,"Sum_Prelim"}</definedName>
    <definedName name="BIGC" localSheetId="14" hidden="1">{#N/A,#N/A,TRUE,"Str.";#N/A,#N/A,TRUE,"Steel &amp; Roof";#N/A,#N/A,TRUE,"Arc.";#N/A,#N/A,TRUE,"Preliminary";#N/A,#N/A,TRUE,"Sum_Prelim"}</definedName>
    <definedName name="BIGC" localSheetId="11" hidden="1">{#N/A,#N/A,TRUE,"Str.";#N/A,#N/A,TRUE,"Steel &amp; Roof";#N/A,#N/A,TRUE,"Arc.";#N/A,#N/A,TRUE,"Preliminary";#N/A,#N/A,TRUE,"Sum_Prelim"}</definedName>
    <definedName name="BIGC" localSheetId="10" hidden="1">{#N/A,#N/A,TRUE,"Str.";#N/A,#N/A,TRUE,"Steel &amp; Roof";#N/A,#N/A,TRUE,"Arc.";#N/A,#N/A,TRUE,"Preliminary";#N/A,#N/A,TRUE,"Sum_Prelim"}</definedName>
    <definedName name="BIGC" localSheetId="15" hidden="1">{#N/A,#N/A,TRUE,"Str.";#N/A,#N/A,TRUE,"Steel &amp; Roof";#N/A,#N/A,TRUE,"Arc.";#N/A,#N/A,TRUE,"Preliminary";#N/A,#N/A,TRUE,"Sum_Prelim"}</definedName>
    <definedName name="BIGC" hidden="1">{#N/A,#N/A,TRUE,"Str.";#N/A,#N/A,TRUE,"Steel &amp; Roof";#N/A,#N/A,TRUE,"Arc.";#N/A,#N/A,TRUE,"Preliminary";#N/A,#N/A,TRUE,"Sum_Prelim"}</definedName>
    <definedName name="CA" localSheetId="13" hidden="1">{#N/A,#N/A,TRUE,"SUM";#N/A,#N/A,TRUE,"EE";#N/A,#N/A,TRUE,"AC";#N/A,#N/A,TRUE,"SN"}</definedName>
    <definedName name="CA" localSheetId="14" hidden="1">{#N/A,#N/A,TRUE,"SUM";#N/A,#N/A,TRUE,"EE";#N/A,#N/A,TRUE,"AC";#N/A,#N/A,TRUE,"SN"}</definedName>
    <definedName name="CA" localSheetId="11" hidden="1">{#N/A,#N/A,TRUE,"SUM";#N/A,#N/A,TRUE,"EE";#N/A,#N/A,TRUE,"AC";#N/A,#N/A,TRUE,"SN"}</definedName>
    <definedName name="CA" localSheetId="10" hidden="1">{#N/A,#N/A,TRUE,"SUM";#N/A,#N/A,TRUE,"EE";#N/A,#N/A,TRUE,"AC";#N/A,#N/A,TRUE,"SN"}</definedName>
    <definedName name="CA" localSheetId="15" hidden="1">{#N/A,#N/A,TRUE,"SUM";#N/A,#N/A,TRUE,"EE";#N/A,#N/A,TRUE,"AC";#N/A,#N/A,TRUE,"SN"}</definedName>
    <definedName name="CA" hidden="1">{#N/A,#N/A,TRUE,"SUM";#N/A,#N/A,TRUE,"EE";#N/A,#N/A,TRUE,"AC";#N/A,#N/A,TRUE,"SN"}</definedName>
    <definedName name="cccc" localSheetId="13" hidden="1">{#N/A,#N/A,TRUE,"SUM";#N/A,#N/A,TRUE,"EE";#N/A,#N/A,TRUE,"AC";#N/A,#N/A,TRUE,"SN"}</definedName>
    <definedName name="cccc" localSheetId="14" hidden="1">{#N/A,#N/A,TRUE,"SUM";#N/A,#N/A,TRUE,"EE";#N/A,#N/A,TRUE,"AC";#N/A,#N/A,TRUE,"SN"}</definedName>
    <definedName name="cccc" localSheetId="11" hidden="1">{#N/A,#N/A,TRUE,"SUM";#N/A,#N/A,TRUE,"EE";#N/A,#N/A,TRUE,"AC";#N/A,#N/A,TRUE,"SN"}</definedName>
    <definedName name="cccc" localSheetId="10" hidden="1">{#N/A,#N/A,TRUE,"SUM";#N/A,#N/A,TRUE,"EE";#N/A,#N/A,TRUE,"AC";#N/A,#N/A,TRUE,"SN"}</definedName>
    <definedName name="cccc" localSheetId="15" hidden="1">{#N/A,#N/A,TRUE,"SUM";#N/A,#N/A,TRUE,"EE";#N/A,#N/A,TRUE,"AC";#N/A,#N/A,TRUE,"SN"}</definedName>
    <definedName name="cccc" hidden="1">{#N/A,#N/A,TRUE,"SUM";#N/A,#N/A,TRUE,"EE";#N/A,#N/A,TRUE,"AC";#N/A,#N/A,TRUE,"SN"}</definedName>
    <definedName name="cfr" localSheetId="13" hidden="1">{#N/A,#N/A,TRUE,"SUM";#N/A,#N/A,TRUE,"EE";#N/A,#N/A,TRUE,"AC";#N/A,#N/A,TRUE,"SN"}</definedName>
    <definedName name="cfr" localSheetId="14" hidden="1">{#N/A,#N/A,TRUE,"SUM";#N/A,#N/A,TRUE,"EE";#N/A,#N/A,TRUE,"AC";#N/A,#N/A,TRUE,"SN"}</definedName>
    <definedName name="cfr" localSheetId="11" hidden="1">{#N/A,#N/A,TRUE,"SUM";#N/A,#N/A,TRUE,"EE";#N/A,#N/A,TRUE,"AC";#N/A,#N/A,TRUE,"SN"}</definedName>
    <definedName name="cfr" localSheetId="10" hidden="1">{#N/A,#N/A,TRUE,"SUM";#N/A,#N/A,TRUE,"EE";#N/A,#N/A,TRUE,"AC";#N/A,#N/A,TRUE,"SN"}</definedName>
    <definedName name="cfr" localSheetId="15" hidden="1">{#N/A,#N/A,TRUE,"SUM";#N/A,#N/A,TRUE,"EE";#N/A,#N/A,TRUE,"AC";#N/A,#N/A,TRUE,"SN"}</definedName>
    <definedName name="cfr" hidden="1">{#N/A,#N/A,TRUE,"SUM";#N/A,#N/A,TRUE,"EE";#N/A,#N/A,TRUE,"AC";#N/A,#N/A,TRUE,"SN"}</definedName>
    <definedName name="CSODJWO" localSheetId="13" hidden="1">{#N/A,#N/A,TRUE,"SUM";#N/A,#N/A,TRUE,"EE";#N/A,#N/A,TRUE,"AC";#N/A,#N/A,TRUE,"SN"}</definedName>
    <definedName name="CSODJWO" localSheetId="14" hidden="1">{#N/A,#N/A,TRUE,"SUM";#N/A,#N/A,TRUE,"EE";#N/A,#N/A,TRUE,"AC";#N/A,#N/A,TRUE,"SN"}</definedName>
    <definedName name="CSODJWO" localSheetId="11" hidden="1">{#N/A,#N/A,TRUE,"SUM";#N/A,#N/A,TRUE,"EE";#N/A,#N/A,TRUE,"AC";#N/A,#N/A,TRUE,"SN"}</definedName>
    <definedName name="CSODJWO" localSheetId="10" hidden="1">{#N/A,#N/A,TRUE,"SUM";#N/A,#N/A,TRUE,"EE";#N/A,#N/A,TRUE,"AC";#N/A,#N/A,TRUE,"SN"}</definedName>
    <definedName name="CSODJWO" localSheetId="15" hidden="1">{#N/A,#N/A,TRUE,"SUM";#N/A,#N/A,TRUE,"EE";#N/A,#N/A,TRUE,"AC";#N/A,#N/A,TRUE,"SN"}</definedName>
    <definedName name="CSODJWO" hidden="1">{#N/A,#N/A,TRUE,"SUM";#N/A,#N/A,TRUE,"EE";#N/A,#N/A,TRUE,"AC";#N/A,#N/A,TRUE,"SN"}</definedName>
    <definedName name="data" localSheetId="13" hidden="1">{#N/A,#N/A,TRUE,"SUM";#N/A,#N/A,TRUE,"EE";#N/A,#N/A,TRUE,"AC";#N/A,#N/A,TRUE,"SN"}</definedName>
    <definedName name="data" localSheetId="14" hidden="1">{#N/A,#N/A,TRUE,"SUM";#N/A,#N/A,TRUE,"EE";#N/A,#N/A,TRUE,"AC";#N/A,#N/A,TRUE,"SN"}</definedName>
    <definedName name="data" localSheetId="11" hidden="1">{#N/A,#N/A,TRUE,"SUM";#N/A,#N/A,TRUE,"EE";#N/A,#N/A,TRUE,"AC";#N/A,#N/A,TRUE,"SN"}</definedName>
    <definedName name="data" localSheetId="10" hidden="1">{#N/A,#N/A,TRUE,"SUM";#N/A,#N/A,TRUE,"EE";#N/A,#N/A,TRUE,"AC";#N/A,#N/A,TRUE,"SN"}</definedName>
    <definedName name="data" localSheetId="15" hidden="1">{#N/A,#N/A,TRUE,"SUM";#N/A,#N/A,TRUE,"EE";#N/A,#N/A,TRUE,"AC";#N/A,#N/A,TRUE,"SN"}</definedName>
    <definedName name="data" hidden="1">{#N/A,#N/A,TRUE,"SUM";#N/A,#N/A,TRUE,"EE";#N/A,#N/A,TRUE,"AC";#N/A,#N/A,TRUE,"SN"}</definedName>
    <definedName name="dd" localSheetId="13" hidden="1">{#N/A,#N/A,TRUE,"SUM";#N/A,#N/A,TRUE,"EE";#N/A,#N/A,TRUE,"AC";#N/A,#N/A,TRUE,"SN"}</definedName>
    <definedName name="dd" localSheetId="14" hidden="1">{#N/A,#N/A,TRUE,"SUM";#N/A,#N/A,TRUE,"EE";#N/A,#N/A,TRUE,"AC";#N/A,#N/A,TRUE,"SN"}</definedName>
    <definedName name="dd" localSheetId="11" hidden="1">{#N/A,#N/A,TRUE,"SUM";#N/A,#N/A,TRUE,"EE";#N/A,#N/A,TRUE,"AC";#N/A,#N/A,TRUE,"SN"}</definedName>
    <definedName name="dd" localSheetId="10" hidden="1">{#N/A,#N/A,TRUE,"SUM";#N/A,#N/A,TRUE,"EE";#N/A,#N/A,TRUE,"AC";#N/A,#N/A,TRUE,"SN"}</definedName>
    <definedName name="dd" localSheetId="15" hidden="1">{#N/A,#N/A,TRUE,"SUM";#N/A,#N/A,TRUE,"EE";#N/A,#N/A,TRUE,"AC";#N/A,#N/A,TRUE,"SN"}</definedName>
    <definedName name="dd" hidden="1">{#N/A,#N/A,TRUE,"SUM";#N/A,#N/A,TRUE,"EE";#N/A,#N/A,TRUE,"AC";#N/A,#N/A,TRUE,"SN"}</definedName>
    <definedName name="ddd" localSheetId="13" hidden="1">{#N/A,#N/A,TRUE,"Str.";#N/A,#N/A,TRUE,"Steel &amp; Roof";#N/A,#N/A,TRUE,"Arc.";#N/A,#N/A,TRUE,"Preliminary";#N/A,#N/A,TRUE,"Sum_Prelim"}</definedName>
    <definedName name="ddd" localSheetId="14" hidden="1">{#N/A,#N/A,TRUE,"Str.";#N/A,#N/A,TRUE,"Steel &amp; Roof";#N/A,#N/A,TRUE,"Arc.";#N/A,#N/A,TRUE,"Preliminary";#N/A,#N/A,TRUE,"Sum_Prelim"}</definedName>
    <definedName name="ddd" localSheetId="11" hidden="1">{#N/A,#N/A,TRUE,"Str.";#N/A,#N/A,TRUE,"Steel &amp; Roof";#N/A,#N/A,TRUE,"Arc.";#N/A,#N/A,TRUE,"Preliminary";#N/A,#N/A,TRUE,"Sum_Prelim"}</definedName>
    <definedName name="ddd" localSheetId="10" hidden="1">{#N/A,#N/A,TRUE,"Str.";#N/A,#N/A,TRUE,"Steel &amp; Roof";#N/A,#N/A,TRUE,"Arc.";#N/A,#N/A,TRUE,"Preliminary";#N/A,#N/A,TRUE,"Sum_Prelim"}</definedName>
    <definedName name="ddd" localSheetId="15" hidden="1">{#N/A,#N/A,TRUE,"Str.";#N/A,#N/A,TRUE,"Steel &amp; Roof";#N/A,#N/A,TRUE,"Arc.";#N/A,#N/A,TRUE,"Preliminary";#N/A,#N/A,TRUE,"Sum_Prelim"}</definedName>
    <definedName name="ddd" hidden="1">{#N/A,#N/A,TRUE,"Str.";#N/A,#N/A,TRUE,"Steel &amp; Roof";#N/A,#N/A,TRUE,"Arc.";#N/A,#N/A,TRUE,"Preliminary";#N/A,#N/A,TRUE,"Sum_Prelim"}</definedName>
    <definedName name="ddda" localSheetId="13" hidden="1">{#N/A,#N/A,TRUE,"Str.";#N/A,#N/A,TRUE,"Steel &amp; Roof";#N/A,#N/A,TRUE,"Arc.";#N/A,#N/A,TRUE,"Preliminary";#N/A,#N/A,TRUE,"Sum_Prelim"}</definedName>
    <definedName name="ddda" localSheetId="14" hidden="1">{#N/A,#N/A,TRUE,"Str.";#N/A,#N/A,TRUE,"Steel &amp; Roof";#N/A,#N/A,TRUE,"Arc.";#N/A,#N/A,TRUE,"Preliminary";#N/A,#N/A,TRUE,"Sum_Prelim"}</definedName>
    <definedName name="ddda" localSheetId="11" hidden="1">{#N/A,#N/A,TRUE,"Str.";#N/A,#N/A,TRUE,"Steel &amp; Roof";#N/A,#N/A,TRUE,"Arc.";#N/A,#N/A,TRUE,"Preliminary";#N/A,#N/A,TRUE,"Sum_Prelim"}</definedName>
    <definedName name="ddda" localSheetId="10" hidden="1">{#N/A,#N/A,TRUE,"Str.";#N/A,#N/A,TRUE,"Steel &amp; Roof";#N/A,#N/A,TRUE,"Arc.";#N/A,#N/A,TRUE,"Preliminary";#N/A,#N/A,TRUE,"Sum_Prelim"}</definedName>
    <definedName name="ddda" localSheetId="15" hidden="1">{#N/A,#N/A,TRUE,"Str.";#N/A,#N/A,TRUE,"Steel &amp; Roof";#N/A,#N/A,TRUE,"Arc.";#N/A,#N/A,TRUE,"Preliminary";#N/A,#N/A,TRUE,"Sum_Prelim"}</definedName>
    <definedName name="ddda" hidden="1">{#N/A,#N/A,TRUE,"Str.";#N/A,#N/A,TRUE,"Steel &amp; Roof";#N/A,#N/A,TRUE,"Arc.";#N/A,#N/A,TRUE,"Preliminary";#N/A,#N/A,TRUE,"Sum_Prelim"}</definedName>
    <definedName name="dddddd" localSheetId="13" hidden="1">{#N/A,#N/A,TRUE,"SUM";#N/A,#N/A,TRUE,"EE";#N/A,#N/A,TRUE,"AC";#N/A,#N/A,TRUE,"SN"}</definedName>
    <definedName name="dddddd" localSheetId="14" hidden="1">{#N/A,#N/A,TRUE,"SUM";#N/A,#N/A,TRUE,"EE";#N/A,#N/A,TRUE,"AC";#N/A,#N/A,TRUE,"SN"}</definedName>
    <definedName name="dddddd" localSheetId="11" hidden="1">{#N/A,#N/A,TRUE,"SUM";#N/A,#N/A,TRUE,"EE";#N/A,#N/A,TRUE,"AC";#N/A,#N/A,TRUE,"SN"}</definedName>
    <definedName name="dddddd" localSheetId="10" hidden="1">{#N/A,#N/A,TRUE,"SUM";#N/A,#N/A,TRUE,"EE";#N/A,#N/A,TRUE,"AC";#N/A,#N/A,TRUE,"SN"}</definedName>
    <definedName name="dddddd" localSheetId="15" hidden="1">{#N/A,#N/A,TRUE,"SUM";#N/A,#N/A,TRUE,"EE";#N/A,#N/A,TRUE,"AC";#N/A,#N/A,TRUE,"SN"}</definedName>
    <definedName name="dddddd" hidden="1">{#N/A,#N/A,TRUE,"SUM";#N/A,#N/A,TRUE,"EE";#N/A,#N/A,TRUE,"AC";#N/A,#N/A,TRUE,"SN"}</definedName>
    <definedName name="DDDDDDDD" localSheetId="13" hidden="1">{#N/A,#N/A,TRUE,"SUM";#N/A,#N/A,TRUE,"EE";#N/A,#N/A,TRUE,"AC";#N/A,#N/A,TRUE,"SN"}</definedName>
    <definedName name="DDDDDDDD" localSheetId="14" hidden="1">{#N/A,#N/A,TRUE,"SUM";#N/A,#N/A,TRUE,"EE";#N/A,#N/A,TRUE,"AC";#N/A,#N/A,TRUE,"SN"}</definedName>
    <definedName name="DDDDDDDD" localSheetId="11" hidden="1">{#N/A,#N/A,TRUE,"SUM";#N/A,#N/A,TRUE,"EE";#N/A,#N/A,TRUE,"AC";#N/A,#N/A,TRUE,"SN"}</definedName>
    <definedName name="DDDDDDDD" localSheetId="10" hidden="1">{#N/A,#N/A,TRUE,"SUM";#N/A,#N/A,TRUE,"EE";#N/A,#N/A,TRUE,"AC";#N/A,#N/A,TRUE,"SN"}</definedName>
    <definedName name="DDDDDDDD" localSheetId="15" hidden="1">{#N/A,#N/A,TRUE,"SUM";#N/A,#N/A,TRUE,"EE";#N/A,#N/A,TRUE,"AC";#N/A,#N/A,TRUE,"SN"}</definedName>
    <definedName name="DDDDDDDD" hidden="1">{#N/A,#N/A,TRUE,"SUM";#N/A,#N/A,TRUE,"EE";#N/A,#N/A,TRUE,"AC";#N/A,#N/A,TRUE,"SN"}</definedName>
    <definedName name="DEWSLDW" localSheetId="13" hidden="1">{#N/A,#N/A,TRUE,"SUM";#N/A,#N/A,TRUE,"EE";#N/A,#N/A,TRUE,"AC";#N/A,#N/A,TRUE,"SN"}</definedName>
    <definedName name="DEWSLDW" localSheetId="14" hidden="1">{#N/A,#N/A,TRUE,"SUM";#N/A,#N/A,TRUE,"EE";#N/A,#N/A,TRUE,"AC";#N/A,#N/A,TRUE,"SN"}</definedName>
    <definedName name="DEWSLDW" localSheetId="11" hidden="1">{#N/A,#N/A,TRUE,"SUM";#N/A,#N/A,TRUE,"EE";#N/A,#N/A,TRUE,"AC";#N/A,#N/A,TRUE,"SN"}</definedName>
    <definedName name="DEWSLDW" localSheetId="10" hidden="1">{#N/A,#N/A,TRUE,"SUM";#N/A,#N/A,TRUE,"EE";#N/A,#N/A,TRUE,"AC";#N/A,#N/A,TRUE,"SN"}</definedName>
    <definedName name="DEWSLDW" localSheetId="15" hidden="1">{#N/A,#N/A,TRUE,"SUM";#N/A,#N/A,TRUE,"EE";#N/A,#N/A,TRUE,"AC";#N/A,#N/A,TRUE,"SN"}</definedName>
    <definedName name="DEWSLDW" hidden="1">{#N/A,#N/A,TRUE,"SUM";#N/A,#N/A,TRUE,"EE";#N/A,#N/A,TRUE,"AC";#N/A,#N/A,TRUE,"SN"}</definedName>
    <definedName name="DFDFDS" localSheetId="13" hidden="1">{#N/A,#N/A,TRUE,"SUM";#N/A,#N/A,TRUE,"EE";#N/A,#N/A,TRUE,"AC";#N/A,#N/A,TRUE,"SN"}</definedName>
    <definedName name="DFDFDS" localSheetId="14" hidden="1">{#N/A,#N/A,TRUE,"SUM";#N/A,#N/A,TRUE,"EE";#N/A,#N/A,TRUE,"AC";#N/A,#N/A,TRUE,"SN"}</definedName>
    <definedName name="DFDFDS" localSheetId="11" hidden="1">{#N/A,#N/A,TRUE,"SUM";#N/A,#N/A,TRUE,"EE";#N/A,#N/A,TRUE,"AC";#N/A,#N/A,TRUE,"SN"}</definedName>
    <definedName name="DFDFDS" localSheetId="10" hidden="1">{#N/A,#N/A,TRUE,"SUM";#N/A,#N/A,TRUE,"EE";#N/A,#N/A,TRUE,"AC";#N/A,#N/A,TRUE,"SN"}</definedName>
    <definedName name="DFDFDS" localSheetId="15" hidden="1">{#N/A,#N/A,TRUE,"SUM";#N/A,#N/A,TRUE,"EE";#N/A,#N/A,TRUE,"AC";#N/A,#N/A,TRUE,"SN"}</definedName>
    <definedName name="DFDFDS" hidden="1">{#N/A,#N/A,TRUE,"SUM";#N/A,#N/A,TRUE,"EE";#N/A,#N/A,TRUE,"AC";#N/A,#N/A,TRUE,"SN"}</definedName>
    <definedName name="DFDFSDFSD" localSheetId="13" hidden="1">{#N/A,#N/A,TRUE,"SUM";#N/A,#N/A,TRUE,"EE";#N/A,#N/A,TRUE,"AC";#N/A,#N/A,TRUE,"SN"}</definedName>
    <definedName name="DFDFSDFSD" localSheetId="14" hidden="1">{#N/A,#N/A,TRUE,"SUM";#N/A,#N/A,TRUE,"EE";#N/A,#N/A,TRUE,"AC";#N/A,#N/A,TRUE,"SN"}</definedName>
    <definedName name="DFDFSDFSD" localSheetId="11" hidden="1">{#N/A,#N/A,TRUE,"SUM";#N/A,#N/A,TRUE,"EE";#N/A,#N/A,TRUE,"AC";#N/A,#N/A,TRUE,"SN"}</definedName>
    <definedName name="DFDFSDFSD" localSheetId="10" hidden="1">{#N/A,#N/A,TRUE,"SUM";#N/A,#N/A,TRUE,"EE";#N/A,#N/A,TRUE,"AC";#N/A,#N/A,TRUE,"SN"}</definedName>
    <definedName name="DFDFSDFSD" localSheetId="15" hidden="1">{#N/A,#N/A,TRUE,"SUM";#N/A,#N/A,TRUE,"EE";#N/A,#N/A,TRUE,"AC";#N/A,#N/A,TRUE,"SN"}</definedName>
    <definedName name="DFDFSDFSD" hidden="1">{#N/A,#N/A,TRUE,"SUM";#N/A,#N/A,TRUE,"EE";#N/A,#N/A,TRUE,"AC";#N/A,#N/A,TRUE,"SN"}</definedName>
    <definedName name="DFF" localSheetId="13" hidden="1">{#N/A,#N/A,TRUE,"SUM";#N/A,#N/A,TRUE,"EE";#N/A,#N/A,TRUE,"AC";#N/A,#N/A,TRUE,"SN"}</definedName>
    <definedName name="DFF" localSheetId="14" hidden="1">{#N/A,#N/A,TRUE,"SUM";#N/A,#N/A,TRUE,"EE";#N/A,#N/A,TRUE,"AC";#N/A,#N/A,TRUE,"SN"}</definedName>
    <definedName name="DFF" localSheetId="11" hidden="1">{#N/A,#N/A,TRUE,"SUM";#N/A,#N/A,TRUE,"EE";#N/A,#N/A,TRUE,"AC";#N/A,#N/A,TRUE,"SN"}</definedName>
    <definedName name="DFF" localSheetId="10" hidden="1">{#N/A,#N/A,TRUE,"SUM";#N/A,#N/A,TRUE,"EE";#N/A,#N/A,TRUE,"AC";#N/A,#N/A,TRUE,"SN"}</definedName>
    <definedName name="DFF" localSheetId="15" hidden="1">{#N/A,#N/A,TRUE,"SUM";#N/A,#N/A,TRUE,"EE";#N/A,#N/A,TRUE,"AC";#N/A,#N/A,TRUE,"SN"}</definedName>
    <definedName name="DFF" hidden="1">{#N/A,#N/A,TRUE,"SUM";#N/A,#N/A,TRUE,"EE";#N/A,#N/A,TRUE,"AC";#N/A,#N/A,TRUE,"SN"}</definedName>
    <definedName name="dfgrdty" localSheetId="13" hidden="1">{#N/A,#N/A,TRUE,"SUM";#N/A,#N/A,TRUE,"EE";#N/A,#N/A,TRUE,"AC";#N/A,#N/A,TRUE,"SN"}</definedName>
    <definedName name="dfgrdty" localSheetId="14" hidden="1">{#N/A,#N/A,TRUE,"SUM";#N/A,#N/A,TRUE,"EE";#N/A,#N/A,TRUE,"AC";#N/A,#N/A,TRUE,"SN"}</definedName>
    <definedName name="dfgrdty" localSheetId="11" hidden="1">{#N/A,#N/A,TRUE,"SUM";#N/A,#N/A,TRUE,"EE";#N/A,#N/A,TRUE,"AC";#N/A,#N/A,TRUE,"SN"}</definedName>
    <definedName name="dfgrdty" localSheetId="10" hidden="1">{#N/A,#N/A,TRUE,"SUM";#N/A,#N/A,TRUE,"EE";#N/A,#N/A,TRUE,"AC";#N/A,#N/A,TRUE,"SN"}</definedName>
    <definedName name="dfgrdty" localSheetId="15" hidden="1">{#N/A,#N/A,TRUE,"SUM";#N/A,#N/A,TRUE,"EE";#N/A,#N/A,TRUE,"AC";#N/A,#N/A,TRUE,"SN"}</definedName>
    <definedName name="dfgrdty" hidden="1">{#N/A,#N/A,TRUE,"SUM";#N/A,#N/A,TRUE,"EE";#N/A,#N/A,TRUE,"AC";#N/A,#N/A,TRUE,"SN"}</definedName>
    <definedName name="dfs" localSheetId="13" hidden="1">{#N/A,#N/A,TRUE,"SUM";#N/A,#N/A,TRUE,"EE";#N/A,#N/A,TRUE,"AC";#N/A,#N/A,TRUE,"SN"}</definedName>
    <definedName name="dfs" localSheetId="14" hidden="1">{#N/A,#N/A,TRUE,"SUM";#N/A,#N/A,TRUE,"EE";#N/A,#N/A,TRUE,"AC";#N/A,#N/A,TRUE,"SN"}</definedName>
    <definedName name="dfs" localSheetId="11" hidden="1">{#N/A,#N/A,TRUE,"SUM";#N/A,#N/A,TRUE,"EE";#N/A,#N/A,TRUE,"AC";#N/A,#N/A,TRUE,"SN"}</definedName>
    <definedName name="dfs" localSheetId="10" hidden="1">{#N/A,#N/A,TRUE,"SUM";#N/A,#N/A,TRUE,"EE";#N/A,#N/A,TRUE,"AC";#N/A,#N/A,TRUE,"SN"}</definedName>
    <definedName name="dfs" localSheetId="15" hidden="1">{#N/A,#N/A,TRUE,"SUM";#N/A,#N/A,TRUE,"EE";#N/A,#N/A,TRUE,"AC";#N/A,#N/A,TRUE,"SN"}</definedName>
    <definedName name="dfs" hidden="1">{#N/A,#N/A,TRUE,"SUM";#N/A,#N/A,TRUE,"EE";#N/A,#N/A,TRUE,"AC";#N/A,#N/A,TRUE,"SN"}</definedName>
    <definedName name="dgdh" localSheetId="13" hidden="1">{#N/A,#N/A,TRUE,"SUM";#N/A,#N/A,TRUE,"EE";#N/A,#N/A,TRUE,"AC";#N/A,#N/A,TRUE,"SN"}</definedName>
    <definedName name="dgdh" localSheetId="14" hidden="1">{#N/A,#N/A,TRUE,"SUM";#N/A,#N/A,TRUE,"EE";#N/A,#N/A,TRUE,"AC";#N/A,#N/A,TRUE,"SN"}</definedName>
    <definedName name="dgdh" localSheetId="11" hidden="1">{#N/A,#N/A,TRUE,"SUM";#N/A,#N/A,TRUE,"EE";#N/A,#N/A,TRUE,"AC";#N/A,#N/A,TRUE,"SN"}</definedName>
    <definedName name="dgdh" localSheetId="10" hidden="1">{#N/A,#N/A,TRUE,"SUM";#N/A,#N/A,TRUE,"EE";#N/A,#N/A,TRUE,"AC";#N/A,#N/A,TRUE,"SN"}</definedName>
    <definedName name="dgdh" localSheetId="15" hidden="1">{#N/A,#N/A,TRUE,"SUM";#N/A,#N/A,TRUE,"EE";#N/A,#N/A,TRUE,"AC";#N/A,#N/A,TRUE,"SN"}</definedName>
    <definedName name="dgdh" hidden="1">{#N/A,#N/A,TRUE,"SUM";#N/A,#N/A,TRUE,"EE";#N/A,#N/A,TRUE,"AC";#N/A,#N/A,TRUE,"SN"}</definedName>
    <definedName name="dgg" localSheetId="13" hidden="1">{#N/A,#N/A,TRUE,"SUM";#N/A,#N/A,TRUE,"EE";#N/A,#N/A,TRUE,"AC";#N/A,#N/A,TRUE,"SN"}</definedName>
    <definedName name="dgg" localSheetId="14" hidden="1">{#N/A,#N/A,TRUE,"SUM";#N/A,#N/A,TRUE,"EE";#N/A,#N/A,TRUE,"AC";#N/A,#N/A,TRUE,"SN"}</definedName>
    <definedName name="dgg" localSheetId="11" hidden="1">{#N/A,#N/A,TRUE,"SUM";#N/A,#N/A,TRUE,"EE";#N/A,#N/A,TRUE,"AC";#N/A,#N/A,TRUE,"SN"}</definedName>
    <definedName name="dgg" localSheetId="10" hidden="1">{#N/A,#N/A,TRUE,"SUM";#N/A,#N/A,TRUE,"EE";#N/A,#N/A,TRUE,"AC";#N/A,#N/A,TRUE,"SN"}</definedName>
    <definedName name="dgg" localSheetId="15" hidden="1">{#N/A,#N/A,TRUE,"SUM";#N/A,#N/A,TRUE,"EE";#N/A,#N/A,TRUE,"AC";#N/A,#N/A,TRUE,"SN"}</definedName>
    <definedName name="dgg" hidden="1">{#N/A,#N/A,TRUE,"SUM";#N/A,#N/A,TRUE,"EE";#N/A,#N/A,TRUE,"AC";#N/A,#N/A,TRUE,"SN"}</definedName>
    <definedName name="DSJKLDE" localSheetId="13" hidden="1">{#N/A,#N/A,TRUE,"SUM";#N/A,#N/A,TRUE,"EE";#N/A,#N/A,TRUE,"AC";#N/A,#N/A,TRUE,"SN"}</definedName>
    <definedName name="DSJKLDE" localSheetId="14" hidden="1">{#N/A,#N/A,TRUE,"SUM";#N/A,#N/A,TRUE,"EE";#N/A,#N/A,TRUE,"AC";#N/A,#N/A,TRUE,"SN"}</definedName>
    <definedName name="DSJKLDE" localSheetId="11" hidden="1">{#N/A,#N/A,TRUE,"SUM";#N/A,#N/A,TRUE,"EE";#N/A,#N/A,TRUE,"AC";#N/A,#N/A,TRUE,"SN"}</definedName>
    <definedName name="DSJKLDE" localSheetId="10" hidden="1">{#N/A,#N/A,TRUE,"SUM";#N/A,#N/A,TRUE,"EE";#N/A,#N/A,TRUE,"AC";#N/A,#N/A,TRUE,"SN"}</definedName>
    <definedName name="DSJKLDE" localSheetId="15" hidden="1">{#N/A,#N/A,TRUE,"SUM";#N/A,#N/A,TRUE,"EE";#N/A,#N/A,TRUE,"AC";#N/A,#N/A,TRUE,"SN"}</definedName>
    <definedName name="DSJKLDE" hidden="1">{#N/A,#N/A,TRUE,"SUM";#N/A,#N/A,TRUE,"EE";#N/A,#N/A,TRUE,"AC";#N/A,#N/A,TRUE,"SN"}</definedName>
    <definedName name="dytkuy" localSheetId="13" hidden="1">{#N/A,#N/A,TRUE,"SUM";#N/A,#N/A,TRUE,"EE";#N/A,#N/A,TRUE,"AC";#N/A,#N/A,TRUE,"SN"}</definedName>
    <definedName name="dytkuy" localSheetId="14" hidden="1">{#N/A,#N/A,TRUE,"SUM";#N/A,#N/A,TRUE,"EE";#N/A,#N/A,TRUE,"AC";#N/A,#N/A,TRUE,"SN"}</definedName>
    <definedName name="dytkuy" localSheetId="11" hidden="1">{#N/A,#N/A,TRUE,"SUM";#N/A,#N/A,TRUE,"EE";#N/A,#N/A,TRUE,"AC";#N/A,#N/A,TRUE,"SN"}</definedName>
    <definedName name="dytkuy" localSheetId="10" hidden="1">{#N/A,#N/A,TRUE,"SUM";#N/A,#N/A,TRUE,"EE";#N/A,#N/A,TRUE,"AC";#N/A,#N/A,TRUE,"SN"}</definedName>
    <definedName name="dytkuy" localSheetId="15" hidden="1">{#N/A,#N/A,TRUE,"SUM";#N/A,#N/A,TRUE,"EE";#N/A,#N/A,TRUE,"AC";#N/A,#N/A,TRUE,"SN"}</definedName>
    <definedName name="dytkuy" hidden="1">{#N/A,#N/A,TRUE,"SUM";#N/A,#N/A,TRUE,"EE";#N/A,#N/A,TRUE,"AC";#N/A,#N/A,TRUE,"SN"}</definedName>
    <definedName name="edfr" localSheetId="13" hidden="1">{#N/A,#N/A,TRUE,"SUM";#N/A,#N/A,TRUE,"EE";#N/A,#N/A,TRUE,"AC";#N/A,#N/A,TRUE,"SN"}</definedName>
    <definedName name="edfr" localSheetId="14" hidden="1">{#N/A,#N/A,TRUE,"SUM";#N/A,#N/A,TRUE,"EE";#N/A,#N/A,TRUE,"AC";#N/A,#N/A,TRUE,"SN"}</definedName>
    <definedName name="edfr" localSheetId="11" hidden="1">{#N/A,#N/A,TRUE,"SUM";#N/A,#N/A,TRUE,"EE";#N/A,#N/A,TRUE,"AC";#N/A,#N/A,TRUE,"SN"}</definedName>
    <definedName name="edfr" localSheetId="10" hidden="1">{#N/A,#N/A,TRUE,"SUM";#N/A,#N/A,TRUE,"EE";#N/A,#N/A,TRUE,"AC";#N/A,#N/A,TRUE,"SN"}</definedName>
    <definedName name="edfr" localSheetId="15" hidden="1">{#N/A,#N/A,TRUE,"SUM";#N/A,#N/A,TRUE,"EE";#N/A,#N/A,TRUE,"AC";#N/A,#N/A,TRUE,"SN"}</definedName>
    <definedName name="edfr" hidden="1">{#N/A,#N/A,TRUE,"SUM";#N/A,#N/A,TRUE,"EE";#N/A,#N/A,TRUE,"AC";#N/A,#N/A,TRUE,"SN"}</definedName>
    <definedName name="edr" localSheetId="13" hidden="1">{#N/A,#N/A,TRUE,"SUM";#N/A,#N/A,TRUE,"EE";#N/A,#N/A,TRUE,"AC";#N/A,#N/A,TRUE,"SN"}</definedName>
    <definedName name="edr" localSheetId="14" hidden="1">{#N/A,#N/A,TRUE,"SUM";#N/A,#N/A,TRUE,"EE";#N/A,#N/A,TRUE,"AC";#N/A,#N/A,TRUE,"SN"}</definedName>
    <definedName name="edr" localSheetId="11" hidden="1">{#N/A,#N/A,TRUE,"SUM";#N/A,#N/A,TRUE,"EE";#N/A,#N/A,TRUE,"AC";#N/A,#N/A,TRUE,"SN"}</definedName>
    <definedName name="edr" localSheetId="10" hidden="1">{#N/A,#N/A,TRUE,"SUM";#N/A,#N/A,TRUE,"EE";#N/A,#N/A,TRUE,"AC";#N/A,#N/A,TRUE,"SN"}</definedName>
    <definedName name="edr" localSheetId="15" hidden="1">{#N/A,#N/A,TRUE,"SUM";#N/A,#N/A,TRUE,"EE";#N/A,#N/A,TRUE,"AC";#N/A,#N/A,TRUE,"SN"}</definedName>
    <definedName name="edr" hidden="1">{#N/A,#N/A,TRUE,"SUM";#N/A,#N/A,TRUE,"EE";#N/A,#N/A,TRUE,"AC";#N/A,#N/A,TRUE,"SN"}</definedName>
    <definedName name="edrr" localSheetId="13" hidden="1">{#N/A,#N/A,TRUE,"SUM";#N/A,#N/A,TRUE,"EE";#N/A,#N/A,TRUE,"AC";#N/A,#N/A,TRUE,"SN"}</definedName>
    <definedName name="edrr" localSheetId="14" hidden="1">{#N/A,#N/A,TRUE,"SUM";#N/A,#N/A,TRUE,"EE";#N/A,#N/A,TRUE,"AC";#N/A,#N/A,TRUE,"SN"}</definedName>
    <definedName name="edrr" localSheetId="11" hidden="1">{#N/A,#N/A,TRUE,"SUM";#N/A,#N/A,TRUE,"EE";#N/A,#N/A,TRUE,"AC";#N/A,#N/A,TRUE,"SN"}</definedName>
    <definedName name="edrr" localSheetId="10" hidden="1">{#N/A,#N/A,TRUE,"SUM";#N/A,#N/A,TRUE,"EE";#N/A,#N/A,TRUE,"AC";#N/A,#N/A,TRUE,"SN"}</definedName>
    <definedName name="edrr" localSheetId="15" hidden="1">{#N/A,#N/A,TRUE,"SUM";#N/A,#N/A,TRUE,"EE";#N/A,#N/A,TRUE,"AC";#N/A,#N/A,TRUE,"SN"}</definedName>
    <definedName name="edrr" hidden="1">{#N/A,#N/A,TRUE,"SUM";#N/A,#N/A,TRUE,"EE";#N/A,#N/A,TRUE,"AC";#N/A,#N/A,TRUE,"SN"}</definedName>
    <definedName name="eeeee" localSheetId="13" hidden="1">{#N/A,#N/A,TRUE,"SUM";#N/A,#N/A,TRUE,"EE";#N/A,#N/A,TRUE,"AC";#N/A,#N/A,TRUE,"SN"}</definedName>
    <definedName name="eeeee" localSheetId="14" hidden="1">{#N/A,#N/A,TRUE,"SUM";#N/A,#N/A,TRUE,"EE";#N/A,#N/A,TRUE,"AC";#N/A,#N/A,TRUE,"SN"}</definedName>
    <definedName name="eeeee" localSheetId="11" hidden="1">{#N/A,#N/A,TRUE,"SUM";#N/A,#N/A,TRUE,"EE";#N/A,#N/A,TRUE,"AC";#N/A,#N/A,TRUE,"SN"}</definedName>
    <definedName name="eeeee" localSheetId="10" hidden="1">{#N/A,#N/A,TRUE,"SUM";#N/A,#N/A,TRUE,"EE";#N/A,#N/A,TRUE,"AC";#N/A,#N/A,TRUE,"SN"}</definedName>
    <definedName name="eeeee" localSheetId="15" hidden="1">{#N/A,#N/A,TRUE,"SUM";#N/A,#N/A,TRUE,"EE";#N/A,#N/A,TRUE,"AC";#N/A,#N/A,TRUE,"SN"}</definedName>
    <definedName name="eeeee" hidden="1">{#N/A,#N/A,TRUE,"SUM";#N/A,#N/A,TRUE,"EE";#N/A,#N/A,TRUE,"AC";#N/A,#N/A,TRUE,"SN"}</definedName>
    <definedName name="end" localSheetId="13" hidden="1">{#N/A,#N/A,TRUE,"SUM";#N/A,#N/A,TRUE,"EE";#N/A,#N/A,TRUE,"AC";#N/A,#N/A,TRUE,"SN"}</definedName>
    <definedName name="end" localSheetId="14" hidden="1">{#N/A,#N/A,TRUE,"SUM";#N/A,#N/A,TRUE,"EE";#N/A,#N/A,TRUE,"AC";#N/A,#N/A,TRUE,"SN"}</definedName>
    <definedName name="end" localSheetId="11" hidden="1">{#N/A,#N/A,TRUE,"SUM";#N/A,#N/A,TRUE,"EE";#N/A,#N/A,TRUE,"AC";#N/A,#N/A,TRUE,"SN"}</definedName>
    <definedName name="end" localSheetId="10" hidden="1">{#N/A,#N/A,TRUE,"SUM";#N/A,#N/A,TRUE,"EE";#N/A,#N/A,TRUE,"AC";#N/A,#N/A,TRUE,"SN"}</definedName>
    <definedName name="end" localSheetId="15" hidden="1">{#N/A,#N/A,TRUE,"SUM";#N/A,#N/A,TRUE,"EE";#N/A,#N/A,TRUE,"AC";#N/A,#N/A,TRUE,"SN"}</definedName>
    <definedName name="end" hidden="1">{#N/A,#N/A,TRUE,"SUM";#N/A,#N/A,TRUE,"EE";#N/A,#N/A,TRUE,"AC";#N/A,#N/A,TRUE,"SN"}</definedName>
    <definedName name="enfkr" localSheetId="13" hidden="1">{#N/A,#N/A,TRUE,"SUM";#N/A,#N/A,TRUE,"EE";#N/A,#N/A,TRUE,"AC";#N/A,#N/A,TRUE,"SN"}</definedName>
    <definedName name="enfkr" localSheetId="14" hidden="1">{#N/A,#N/A,TRUE,"SUM";#N/A,#N/A,TRUE,"EE";#N/A,#N/A,TRUE,"AC";#N/A,#N/A,TRUE,"SN"}</definedName>
    <definedName name="enfkr" localSheetId="11" hidden="1">{#N/A,#N/A,TRUE,"SUM";#N/A,#N/A,TRUE,"EE";#N/A,#N/A,TRUE,"AC";#N/A,#N/A,TRUE,"SN"}</definedName>
    <definedName name="enfkr" localSheetId="10" hidden="1">{#N/A,#N/A,TRUE,"SUM";#N/A,#N/A,TRUE,"EE";#N/A,#N/A,TRUE,"AC";#N/A,#N/A,TRUE,"SN"}</definedName>
    <definedName name="enfkr" localSheetId="15" hidden="1">{#N/A,#N/A,TRUE,"SUM";#N/A,#N/A,TRUE,"EE";#N/A,#N/A,TRUE,"AC";#N/A,#N/A,TRUE,"SN"}</definedName>
    <definedName name="enfkr" hidden="1">{#N/A,#N/A,TRUE,"SUM";#N/A,#N/A,TRUE,"EE";#N/A,#N/A,TRUE,"AC";#N/A,#N/A,TRUE,"SN"}</definedName>
    <definedName name="ere" localSheetId="13" hidden="1">{#N/A,#N/A,TRUE,"SUM";#N/A,#N/A,TRUE,"EE";#N/A,#N/A,TRUE,"AC";#N/A,#N/A,TRUE,"SN"}</definedName>
    <definedName name="ere" localSheetId="14" hidden="1">{#N/A,#N/A,TRUE,"SUM";#N/A,#N/A,TRUE,"EE";#N/A,#N/A,TRUE,"AC";#N/A,#N/A,TRUE,"SN"}</definedName>
    <definedName name="ere" localSheetId="11" hidden="1">{#N/A,#N/A,TRUE,"SUM";#N/A,#N/A,TRUE,"EE";#N/A,#N/A,TRUE,"AC";#N/A,#N/A,TRUE,"SN"}</definedName>
    <definedName name="ere" localSheetId="10" hidden="1">{#N/A,#N/A,TRUE,"SUM";#N/A,#N/A,TRUE,"EE";#N/A,#N/A,TRUE,"AC";#N/A,#N/A,TRUE,"SN"}</definedName>
    <definedName name="ere" localSheetId="15" hidden="1">{#N/A,#N/A,TRUE,"SUM";#N/A,#N/A,TRUE,"EE";#N/A,#N/A,TRUE,"AC";#N/A,#N/A,TRUE,"SN"}</definedName>
    <definedName name="ere" hidden="1">{#N/A,#N/A,TRUE,"SUM";#N/A,#N/A,TRUE,"EE";#N/A,#N/A,TRUE,"AC";#N/A,#N/A,TRUE,"SN"}</definedName>
    <definedName name="EREWQT" localSheetId="13" hidden="1">{#N/A,#N/A,TRUE,"SUM";#N/A,#N/A,TRUE,"EE";#N/A,#N/A,TRUE,"AC";#N/A,#N/A,TRUE,"SN"}</definedName>
    <definedName name="EREWQT" localSheetId="14" hidden="1">{#N/A,#N/A,TRUE,"SUM";#N/A,#N/A,TRUE,"EE";#N/A,#N/A,TRUE,"AC";#N/A,#N/A,TRUE,"SN"}</definedName>
    <definedName name="EREWQT" localSheetId="11" hidden="1">{#N/A,#N/A,TRUE,"SUM";#N/A,#N/A,TRUE,"EE";#N/A,#N/A,TRUE,"AC";#N/A,#N/A,TRUE,"SN"}</definedName>
    <definedName name="EREWQT" localSheetId="10" hidden="1">{#N/A,#N/A,TRUE,"SUM";#N/A,#N/A,TRUE,"EE";#N/A,#N/A,TRUE,"AC";#N/A,#N/A,TRUE,"SN"}</definedName>
    <definedName name="EREWQT" localSheetId="15" hidden="1">{#N/A,#N/A,TRUE,"SUM";#N/A,#N/A,TRUE,"EE";#N/A,#N/A,TRUE,"AC";#N/A,#N/A,TRUE,"SN"}</definedName>
    <definedName name="EREWQT" hidden="1">{#N/A,#N/A,TRUE,"SUM";#N/A,#N/A,TRUE,"EE";#N/A,#N/A,TRUE,"AC";#N/A,#N/A,TRUE,"SN"}</definedName>
    <definedName name="ert" localSheetId="13" hidden="1">{#N/A,#N/A,TRUE,"SUM";#N/A,#N/A,TRUE,"EE";#N/A,#N/A,TRUE,"AC";#N/A,#N/A,TRUE,"SN"}</definedName>
    <definedName name="ert" localSheetId="14" hidden="1">{#N/A,#N/A,TRUE,"SUM";#N/A,#N/A,TRUE,"EE";#N/A,#N/A,TRUE,"AC";#N/A,#N/A,TRUE,"SN"}</definedName>
    <definedName name="ert" localSheetId="11" hidden="1">{#N/A,#N/A,TRUE,"SUM";#N/A,#N/A,TRUE,"EE";#N/A,#N/A,TRUE,"AC";#N/A,#N/A,TRUE,"SN"}</definedName>
    <definedName name="ert" localSheetId="10" hidden="1">{#N/A,#N/A,TRUE,"SUM";#N/A,#N/A,TRUE,"EE";#N/A,#N/A,TRUE,"AC";#N/A,#N/A,TRUE,"SN"}</definedName>
    <definedName name="ert" localSheetId="15" hidden="1">{#N/A,#N/A,TRUE,"SUM";#N/A,#N/A,TRUE,"EE";#N/A,#N/A,TRUE,"AC";#N/A,#N/A,TRUE,"SN"}</definedName>
    <definedName name="ert" hidden="1">{#N/A,#N/A,TRUE,"SUM";#N/A,#N/A,TRUE,"EE";#N/A,#N/A,TRUE,"AC";#N/A,#N/A,TRUE,"SN"}</definedName>
    <definedName name="ertr" localSheetId="13" hidden="1">{#N/A,#N/A,TRUE,"SUM";#N/A,#N/A,TRUE,"EE";#N/A,#N/A,TRUE,"AC";#N/A,#N/A,TRUE,"SN"}</definedName>
    <definedName name="ertr" localSheetId="14" hidden="1">{#N/A,#N/A,TRUE,"SUM";#N/A,#N/A,TRUE,"EE";#N/A,#N/A,TRUE,"AC";#N/A,#N/A,TRUE,"SN"}</definedName>
    <definedName name="ertr" localSheetId="11" hidden="1">{#N/A,#N/A,TRUE,"SUM";#N/A,#N/A,TRUE,"EE";#N/A,#N/A,TRUE,"AC";#N/A,#N/A,TRUE,"SN"}</definedName>
    <definedName name="ertr" localSheetId="10" hidden="1">{#N/A,#N/A,TRUE,"SUM";#N/A,#N/A,TRUE,"EE";#N/A,#N/A,TRUE,"AC";#N/A,#N/A,TRUE,"SN"}</definedName>
    <definedName name="ertr" localSheetId="15" hidden="1">{#N/A,#N/A,TRUE,"SUM";#N/A,#N/A,TRUE,"EE";#N/A,#N/A,TRUE,"AC";#N/A,#N/A,TRUE,"SN"}</definedName>
    <definedName name="ertr" hidden="1">{#N/A,#N/A,TRUE,"SUM";#N/A,#N/A,TRUE,"EE";#N/A,#N/A,TRUE,"AC";#N/A,#N/A,TRUE,"SN"}</definedName>
    <definedName name="ese" localSheetId="13" hidden="1">{#N/A,#N/A,TRUE,"SUM";#N/A,#N/A,TRUE,"EE";#N/A,#N/A,TRUE,"AC";#N/A,#N/A,TRUE,"SN"}</definedName>
    <definedName name="ese" localSheetId="14" hidden="1">{#N/A,#N/A,TRUE,"SUM";#N/A,#N/A,TRUE,"EE";#N/A,#N/A,TRUE,"AC";#N/A,#N/A,TRUE,"SN"}</definedName>
    <definedName name="ese" localSheetId="11" hidden="1">{#N/A,#N/A,TRUE,"SUM";#N/A,#N/A,TRUE,"EE";#N/A,#N/A,TRUE,"AC";#N/A,#N/A,TRUE,"SN"}</definedName>
    <definedName name="ese" localSheetId="10" hidden="1">{#N/A,#N/A,TRUE,"SUM";#N/A,#N/A,TRUE,"EE";#N/A,#N/A,TRUE,"AC";#N/A,#N/A,TRUE,"SN"}</definedName>
    <definedName name="ese" localSheetId="15" hidden="1">{#N/A,#N/A,TRUE,"SUM";#N/A,#N/A,TRUE,"EE";#N/A,#N/A,TRUE,"AC";#N/A,#N/A,TRUE,"SN"}</definedName>
    <definedName name="ese" hidden="1">{#N/A,#N/A,TRUE,"SUM";#N/A,#N/A,TRUE,"EE";#N/A,#N/A,TRUE,"AC";#N/A,#N/A,TRUE,"SN"}</definedName>
    <definedName name="etet" localSheetId="13" hidden="1">{#N/A,#N/A,TRUE,"SUM";#N/A,#N/A,TRUE,"EE";#N/A,#N/A,TRUE,"AC";#N/A,#N/A,TRUE,"SN"}</definedName>
    <definedName name="etet" localSheetId="14" hidden="1">{#N/A,#N/A,TRUE,"SUM";#N/A,#N/A,TRUE,"EE";#N/A,#N/A,TRUE,"AC";#N/A,#N/A,TRUE,"SN"}</definedName>
    <definedName name="etet" localSheetId="11" hidden="1">{#N/A,#N/A,TRUE,"SUM";#N/A,#N/A,TRUE,"EE";#N/A,#N/A,TRUE,"AC";#N/A,#N/A,TRUE,"SN"}</definedName>
    <definedName name="etet" localSheetId="10" hidden="1">{#N/A,#N/A,TRUE,"SUM";#N/A,#N/A,TRUE,"EE";#N/A,#N/A,TRUE,"AC";#N/A,#N/A,TRUE,"SN"}</definedName>
    <definedName name="etet" localSheetId="15" hidden="1">{#N/A,#N/A,TRUE,"SUM";#N/A,#N/A,TRUE,"EE";#N/A,#N/A,TRUE,"AC";#N/A,#N/A,TRUE,"SN"}</definedName>
    <definedName name="etet" hidden="1">{#N/A,#N/A,TRUE,"SUM";#N/A,#N/A,TRUE,"EE";#N/A,#N/A,TRUE,"AC";#N/A,#N/A,TRUE,"SN"}</definedName>
    <definedName name="ETREWT" localSheetId="13" hidden="1">{#N/A,#N/A,TRUE,"SUM";#N/A,#N/A,TRUE,"EE";#N/A,#N/A,TRUE,"AC";#N/A,#N/A,TRUE,"SN"}</definedName>
    <definedName name="ETREWT" localSheetId="14" hidden="1">{#N/A,#N/A,TRUE,"SUM";#N/A,#N/A,TRUE,"EE";#N/A,#N/A,TRUE,"AC";#N/A,#N/A,TRUE,"SN"}</definedName>
    <definedName name="ETREWT" localSheetId="11" hidden="1">{#N/A,#N/A,TRUE,"SUM";#N/A,#N/A,TRUE,"EE";#N/A,#N/A,TRUE,"AC";#N/A,#N/A,TRUE,"SN"}</definedName>
    <definedName name="ETREWT" localSheetId="10" hidden="1">{#N/A,#N/A,TRUE,"SUM";#N/A,#N/A,TRUE,"EE";#N/A,#N/A,TRUE,"AC";#N/A,#N/A,TRUE,"SN"}</definedName>
    <definedName name="ETREWT" localSheetId="15" hidden="1">{#N/A,#N/A,TRUE,"SUM";#N/A,#N/A,TRUE,"EE";#N/A,#N/A,TRUE,"AC";#N/A,#N/A,TRUE,"SN"}</definedName>
    <definedName name="ETREWT" hidden="1">{#N/A,#N/A,TRUE,"SUM";#N/A,#N/A,TRUE,"EE";#N/A,#N/A,TRUE,"AC";#N/A,#N/A,TRUE,"SN"}</definedName>
    <definedName name="ett" localSheetId="13" hidden="1">{#N/A,#N/A,TRUE,"SUM";#N/A,#N/A,TRUE,"EE";#N/A,#N/A,TRUE,"AC";#N/A,#N/A,TRUE,"SN"}</definedName>
    <definedName name="ett" localSheetId="14" hidden="1">{#N/A,#N/A,TRUE,"SUM";#N/A,#N/A,TRUE,"EE";#N/A,#N/A,TRUE,"AC";#N/A,#N/A,TRUE,"SN"}</definedName>
    <definedName name="ett" localSheetId="11" hidden="1">{#N/A,#N/A,TRUE,"SUM";#N/A,#N/A,TRUE,"EE";#N/A,#N/A,TRUE,"AC";#N/A,#N/A,TRUE,"SN"}</definedName>
    <definedName name="ett" localSheetId="10" hidden="1">{#N/A,#N/A,TRUE,"SUM";#N/A,#N/A,TRUE,"EE";#N/A,#N/A,TRUE,"AC";#N/A,#N/A,TRUE,"SN"}</definedName>
    <definedName name="ett" localSheetId="15" hidden="1">{#N/A,#N/A,TRUE,"SUM";#N/A,#N/A,TRUE,"EE";#N/A,#N/A,TRUE,"AC";#N/A,#N/A,TRUE,"SN"}</definedName>
    <definedName name="ett" hidden="1">{#N/A,#N/A,TRUE,"SUM";#N/A,#N/A,TRUE,"EE";#N/A,#N/A,TRUE,"AC";#N/A,#N/A,TRUE,"SN"}</definedName>
    <definedName name="etwt" localSheetId="13" hidden="1">{#N/A,#N/A,TRUE,"SUM";#N/A,#N/A,TRUE,"EE";#N/A,#N/A,TRUE,"AC";#N/A,#N/A,TRUE,"SN"}</definedName>
    <definedName name="etwt" localSheetId="14" hidden="1">{#N/A,#N/A,TRUE,"SUM";#N/A,#N/A,TRUE,"EE";#N/A,#N/A,TRUE,"AC";#N/A,#N/A,TRUE,"SN"}</definedName>
    <definedName name="etwt" localSheetId="11" hidden="1">{#N/A,#N/A,TRUE,"SUM";#N/A,#N/A,TRUE,"EE";#N/A,#N/A,TRUE,"AC";#N/A,#N/A,TRUE,"SN"}</definedName>
    <definedName name="etwt" localSheetId="10" hidden="1">{#N/A,#N/A,TRUE,"SUM";#N/A,#N/A,TRUE,"EE";#N/A,#N/A,TRUE,"AC";#N/A,#N/A,TRUE,"SN"}</definedName>
    <definedName name="etwt" localSheetId="15" hidden="1">{#N/A,#N/A,TRUE,"SUM";#N/A,#N/A,TRUE,"EE";#N/A,#N/A,TRUE,"AC";#N/A,#N/A,TRUE,"SN"}</definedName>
    <definedName name="etwt" hidden="1">{#N/A,#N/A,TRUE,"SUM";#N/A,#N/A,TRUE,"EE";#N/A,#N/A,TRUE,"AC";#N/A,#N/A,TRUE,"SN"}</definedName>
    <definedName name="ewte" localSheetId="13" hidden="1">{#N/A,#N/A,TRUE,"SUM";#N/A,#N/A,TRUE,"EE";#N/A,#N/A,TRUE,"AC";#N/A,#N/A,TRUE,"SN"}</definedName>
    <definedName name="ewte" localSheetId="14" hidden="1">{#N/A,#N/A,TRUE,"SUM";#N/A,#N/A,TRUE,"EE";#N/A,#N/A,TRUE,"AC";#N/A,#N/A,TRUE,"SN"}</definedName>
    <definedName name="ewte" localSheetId="11" hidden="1">{#N/A,#N/A,TRUE,"SUM";#N/A,#N/A,TRUE,"EE";#N/A,#N/A,TRUE,"AC";#N/A,#N/A,TRUE,"SN"}</definedName>
    <definedName name="ewte" localSheetId="10" hidden="1">{#N/A,#N/A,TRUE,"SUM";#N/A,#N/A,TRUE,"EE";#N/A,#N/A,TRUE,"AC";#N/A,#N/A,TRUE,"SN"}</definedName>
    <definedName name="ewte" localSheetId="15" hidden="1">{#N/A,#N/A,TRUE,"SUM";#N/A,#N/A,TRUE,"EE";#N/A,#N/A,TRUE,"AC";#N/A,#N/A,TRUE,"SN"}</definedName>
    <definedName name="ewte" hidden="1">{#N/A,#N/A,TRUE,"SUM";#N/A,#N/A,TRUE,"EE";#N/A,#N/A,TRUE,"AC";#N/A,#N/A,TRUE,"SN"}</definedName>
    <definedName name="ewtrety" localSheetId="13" hidden="1">{#N/A,#N/A,TRUE,"SUM";#N/A,#N/A,TRUE,"EE";#N/A,#N/A,TRUE,"AC";#N/A,#N/A,TRUE,"SN"}</definedName>
    <definedName name="ewtrety" localSheetId="14" hidden="1">{#N/A,#N/A,TRUE,"SUM";#N/A,#N/A,TRUE,"EE";#N/A,#N/A,TRUE,"AC";#N/A,#N/A,TRUE,"SN"}</definedName>
    <definedName name="ewtrety" localSheetId="11" hidden="1">{#N/A,#N/A,TRUE,"SUM";#N/A,#N/A,TRUE,"EE";#N/A,#N/A,TRUE,"AC";#N/A,#N/A,TRUE,"SN"}</definedName>
    <definedName name="ewtrety" localSheetId="10" hidden="1">{#N/A,#N/A,TRUE,"SUM";#N/A,#N/A,TRUE,"EE";#N/A,#N/A,TRUE,"AC";#N/A,#N/A,TRUE,"SN"}</definedName>
    <definedName name="ewtrety" localSheetId="15" hidden="1">{#N/A,#N/A,TRUE,"SUM";#N/A,#N/A,TRUE,"EE";#N/A,#N/A,TRUE,"AC";#N/A,#N/A,TRUE,"SN"}</definedName>
    <definedName name="ewtrety" hidden="1">{#N/A,#N/A,TRUE,"SUM";#N/A,#N/A,TRUE,"EE";#N/A,#N/A,TRUE,"AC";#N/A,#N/A,TRUE,"SN"}</definedName>
    <definedName name="EXR">[3]Comparison!$C$1</definedName>
    <definedName name="eytersy" localSheetId="13" hidden="1">{#N/A,#N/A,TRUE,"SUM";#N/A,#N/A,TRUE,"EE";#N/A,#N/A,TRUE,"AC";#N/A,#N/A,TRUE,"SN"}</definedName>
    <definedName name="eytersy" localSheetId="14" hidden="1">{#N/A,#N/A,TRUE,"SUM";#N/A,#N/A,TRUE,"EE";#N/A,#N/A,TRUE,"AC";#N/A,#N/A,TRUE,"SN"}</definedName>
    <definedName name="eytersy" localSheetId="11" hidden="1">{#N/A,#N/A,TRUE,"SUM";#N/A,#N/A,TRUE,"EE";#N/A,#N/A,TRUE,"AC";#N/A,#N/A,TRUE,"SN"}</definedName>
    <definedName name="eytersy" localSheetId="10" hidden="1">{#N/A,#N/A,TRUE,"SUM";#N/A,#N/A,TRUE,"EE";#N/A,#N/A,TRUE,"AC";#N/A,#N/A,TRUE,"SN"}</definedName>
    <definedName name="eytersy" localSheetId="15" hidden="1">{#N/A,#N/A,TRUE,"SUM";#N/A,#N/A,TRUE,"EE";#N/A,#N/A,TRUE,"AC";#N/A,#N/A,TRUE,"SN"}</definedName>
    <definedName name="eytersy" hidden="1">{#N/A,#N/A,TRUE,"SUM";#N/A,#N/A,TRUE,"EE";#N/A,#N/A,TRUE,"AC";#N/A,#N/A,TRUE,"SN"}</definedName>
    <definedName name="FACTORY" localSheetId="13" hidden="1">{#N/A,#N/A,TRUE,"SUM";#N/A,#N/A,TRUE,"EE";#N/A,#N/A,TRUE,"AC";#N/A,#N/A,TRUE,"SN"}</definedName>
    <definedName name="FACTORY" localSheetId="14" hidden="1">{#N/A,#N/A,TRUE,"SUM";#N/A,#N/A,TRUE,"EE";#N/A,#N/A,TRUE,"AC";#N/A,#N/A,TRUE,"SN"}</definedName>
    <definedName name="FACTORY" localSheetId="11" hidden="1">{#N/A,#N/A,TRUE,"SUM";#N/A,#N/A,TRUE,"EE";#N/A,#N/A,TRUE,"AC";#N/A,#N/A,TRUE,"SN"}</definedName>
    <definedName name="FACTORY" localSheetId="10" hidden="1">{#N/A,#N/A,TRUE,"SUM";#N/A,#N/A,TRUE,"EE";#N/A,#N/A,TRUE,"AC";#N/A,#N/A,TRUE,"SN"}</definedName>
    <definedName name="FACTORY" localSheetId="15" hidden="1">{#N/A,#N/A,TRUE,"SUM";#N/A,#N/A,TRUE,"EE";#N/A,#N/A,TRUE,"AC";#N/A,#N/A,TRUE,"SN"}</definedName>
    <definedName name="FACTORY" hidden="1">{#N/A,#N/A,TRUE,"SUM";#N/A,#N/A,TRUE,"EE";#N/A,#N/A,TRUE,"AC";#N/A,#N/A,TRUE,"SN"}</definedName>
    <definedName name="fads" localSheetId="13" hidden="1">{#N/A,#N/A,TRUE,"SUM";#N/A,#N/A,TRUE,"EE";#N/A,#N/A,TRUE,"AC";#N/A,#N/A,TRUE,"SN"}</definedName>
    <definedName name="fads" localSheetId="14" hidden="1">{#N/A,#N/A,TRUE,"SUM";#N/A,#N/A,TRUE,"EE";#N/A,#N/A,TRUE,"AC";#N/A,#N/A,TRUE,"SN"}</definedName>
    <definedName name="fads" localSheetId="11" hidden="1">{#N/A,#N/A,TRUE,"SUM";#N/A,#N/A,TRUE,"EE";#N/A,#N/A,TRUE,"AC";#N/A,#N/A,TRUE,"SN"}</definedName>
    <definedName name="fads" localSheetId="10" hidden="1">{#N/A,#N/A,TRUE,"SUM";#N/A,#N/A,TRUE,"EE";#N/A,#N/A,TRUE,"AC";#N/A,#N/A,TRUE,"SN"}</definedName>
    <definedName name="fads" localSheetId="15" hidden="1">{#N/A,#N/A,TRUE,"SUM";#N/A,#N/A,TRUE,"EE";#N/A,#N/A,TRUE,"AC";#N/A,#N/A,TRUE,"SN"}</definedName>
    <definedName name="fads" hidden="1">{#N/A,#N/A,TRUE,"SUM";#N/A,#N/A,TRUE,"EE";#N/A,#N/A,TRUE,"AC";#N/A,#N/A,TRUE,"SN"}</definedName>
    <definedName name="FDFDSF" localSheetId="13" hidden="1">{#N/A,#N/A,TRUE,"SUM";#N/A,#N/A,TRUE,"EE";#N/A,#N/A,TRUE,"AC";#N/A,#N/A,TRUE,"SN"}</definedName>
    <definedName name="FDFDSF" localSheetId="14" hidden="1">{#N/A,#N/A,TRUE,"SUM";#N/A,#N/A,TRUE,"EE";#N/A,#N/A,TRUE,"AC";#N/A,#N/A,TRUE,"SN"}</definedName>
    <definedName name="FDFDSF" localSheetId="11" hidden="1">{#N/A,#N/A,TRUE,"SUM";#N/A,#N/A,TRUE,"EE";#N/A,#N/A,TRUE,"AC";#N/A,#N/A,TRUE,"SN"}</definedName>
    <definedName name="FDFDSF" localSheetId="10" hidden="1">{#N/A,#N/A,TRUE,"SUM";#N/A,#N/A,TRUE,"EE";#N/A,#N/A,TRUE,"AC";#N/A,#N/A,TRUE,"SN"}</definedName>
    <definedName name="FDFDSF" localSheetId="15" hidden="1">{#N/A,#N/A,TRUE,"SUM";#N/A,#N/A,TRUE,"EE";#N/A,#N/A,TRUE,"AC";#N/A,#N/A,TRUE,"SN"}</definedName>
    <definedName name="FDFDSF" hidden="1">{#N/A,#N/A,TRUE,"SUM";#N/A,#N/A,TRUE,"EE";#N/A,#N/A,TRUE,"AC";#N/A,#N/A,TRUE,"SN"}</definedName>
    <definedName name="fdfsdfs" localSheetId="13" hidden="1">{#N/A,#N/A,TRUE,"SUM";#N/A,#N/A,TRUE,"EE";#N/A,#N/A,TRUE,"AC";#N/A,#N/A,TRUE,"SN"}</definedName>
    <definedName name="fdfsdfs" localSheetId="14" hidden="1">{#N/A,#N/A,TRUE,"SUM";#N/A,#N/A,TRUE,"EE";#N/A,#N/A,TRUE,"AC";#N/A,#N/A,TRUE,"SN"}</definedName>
    <definedName name="fdfsdfs" localSheetId="11" hidden="1">{#N/A,#N/A,TRUE,"SUM";#N/A,#N/A,TRUE,"EE";#N/A,#N/A,TRUE,"AC";#N/A,#N/A,TRUE,"SN"}</definedName>
    <definedName name="fdfsdfs" localSheetId="10" hidden="1">{#N/A,#N/A,TRUE,"SUM";#N/A,#N/A,TRUE,"EE";#N/A,#N/A,TRUE,"AC";#N/A,#N/A,TRUE,"SN"}</definedName>
    <definedName name="fdfsdfs" localSheetId="15" hidden="1">{#N/A,#N/A,TRUE,"SUM";#N/A,#N/A,TRUE,"EE";#N/A,#N/A,TRUE,"AC";#N/A,#N/A,TRUE,"SN"}</definedName>
    <definedName name="fdfsdfs" hidden="1">{#N/A,#N/A,TRUE,"SUM";#N/A,#N/A,TRUE,"EE";#N/A,#N/A,TRUE,"AC";#N/A,#N/A,TRUE,"SN"}</definedName>
    <definedName name="ffffd" localSheetId="13" hidden="1">{#N/A,#N/A,TRUE,"SUM";#N/A,#N/A,TRUE,"EE";#N/A,#N/A,TRUE,"AC";#N/A,#N/A,TRUE,"SN"}</definedName>
    <definedName name="ffffd" localSheetId="14" hidden="1">{#N/A,#N/A,TRUE,"SUM";#N/A,#N/A,TRUE,"EE";#N/A,#N/A,TRUE,"AC";#N/A,#N/A,TRUE,"SN"}</definedName>
    <definedName name="ffffd" localSheetId="11" hidden="1">{#N/A,#N/A,TRUE,"SUM";#N/A,#N/A,TRUE,"EE";#N/A,#N/A,TRUE,"AC";#N/A,#N/A,TRUE,"SN"}</definedName>
    <definedName name="ffffd" localSheetId="10" hidden="1">{#N/A,#N/A,TRUE,"SUM";#N/A,#N/A,TRUE,"EE";#N/A,#N/A,TRUE,"AC";#N/A,#N/A,TRUE,"SN"}</definedName>
    <definedName name="ffffd" localSheetId="15" hidden="1">{#N/A,#N/A,TRUE,"SUM";#N/A,#N/A,TRUE,"EE";#N/A,#N/A,TRUE,"AC";#N/A,#N/A,TRUE,"SN"}</definedName>
    <definedName name="ffffd" hidden="1">{#N/A,#N/A,TRUE,"SUM";#N/A,#N/A,TRUE,"EE";#N/A,#N/A,TRUE,"AC";#N/A,#N/A,TRUE,"SN"}</definedName>
    <definedName name="fgff" localSheetId="13" hidden="1">{#N/A,#N/A,TRUE,"SUM";#N/A,#N/A,TRUE,"EE";#N/A,#N/A,TRUE,"AC";#N/A,#N/A,TRUE,"SN"}</definedName>
    <definedName name="fgff" localSheetId="14" hidden="1">{#N/A,#N/A,TRUE,"SUM";#N/A,#N/A,TRUE,"EE";#N/A,#N/A,TRUE,"AC";#N/A,#N/A,TRUE,"SN"}</definedName>
    <definedName name="fgff" localSheetId="11" hidden="1">{#N/A,#N/A,TRUE,"SUM";#N/A,#N/A,TRUE,"EE";#N/A,#N/A,TRUE,"AC";#N/A,#N/A,TRUE,"SN"}</definedName>
    <definedName name="fgff" localSheetId="10" hidden="1">{#N/A,#N/A,TRUE,"SUM";#N/A,#N/A,TRUE,"EE";#N/A,#N/A,TRUE,"AC";#N/A,#N/A,TRUE,"SN"}</definedName>
    <definedName name="fgff" localSheetId="15" hidden="1">{#N/A,#N/A,TRUE,"SUM";#N/A,#N/A,TRUE,"EE";#N/A,#N/A,TRUE,"AC";#N/A,#N/A,TRUE,"SN"}</definedName>
    <definedName name="fgff" hidden="1">{#N/A,#N/A,TRUE,"SUM";#N/A,#N/A,TRUE,"EE";#N/A,#N/A,TRUE,"AC";#N/A,#N/A,TRUE,"SN"}</definedName>
    <definedName name="FSDFSDF" localSheetId="13" hidden="1">{#N/A,#N/A,TRUE,"SUM";#N/A,#N/A,TRUE,"EE";#N/A,#N/A,TRUE,"AC";#N/A,#N/A,TRUE,"SN"}</definedName>
    <definedName name="FSDFSDF" localSheetId="14" hidden="1">{#N/A,#N/A,TRUE,"SUM";#N/A,#N/A,TRUE,"EE";#N/A,#N/A,TRUE,"AC";#N/A,#N/A,TRUE,"SN"}</definedName>
    <definedName name="FSDFSDF" localSheetId="11" hidden="1">{#N/A,#N/A,TRUE,"SUM";#N/A,#N/A,TRUE,"EE";#N/A,#N/A,TRUE,"AC";#N/A,#N/A,TRUE,"SN"}</definedName>
    <definedName name="FSDFSDF" localSheetId="10" hidden="1">{#N/A,#N/A,TRUE,"SUM";#N/A,#N/A,TRUE,"EE";#N/A,#N/A,TRUE,"AC";#N/A,#N/A,TRUE,"SN"}</definedName>
    <definedName name="FSDFSDF" localSheetId="15" hidden="1">{#N/A,#N/A,TRUE,"SUM";#N/A,#N/A,TRUE,"EE";#N/A,#N/A,TRUE,"AC";#N/A,#N/A,TRUE,"SN"}</definedName>
    <definedName name="FSDFSDF" hidden="1">{#N/A,#N/A,TRUE,"SUM";#N/A,#N/A,TRUE,"EE";#N/A,#N/A,TRUE,"AC";#N/A,#N/A,TRUE,"SN"}</definedName>
    <definedName name="ftt" localSheetId="13" hidden="1">{#N/A,#N/A,TRUE,"SUM";#N/A,#N/A,TRUE,"EE";#N/A,#N/A,TRUE,"AC";#N/A,#N/A,TRUE,"SN"}</definedName>
    <definedName name="ftt" localSheetId="14" hidden="1">{#N/A,#N/A,TRUE,"SUM";#N/A,#N/A,TRUE,"EE";#N/A,#N/A,TRUE,"AC";#N/A,#N/A,TRUE,"SN"}</definedName>
    <definedName name="ftt" localSheetId="11" hidden="1">{#N/A,#N/A,TRUE,"SUM";#N/A,#N/A,TRUE,"EE";#N/A,#N/A,TRUE,"AC";#N/A,#N/A,TRUE,"SN"}</definedName>
    <definedName name="ftt" localSheetId="10" hidden="1">{#N/A,#N/A,TRUE,"SUM";#N/A,#N/A,TRUE,"EE";#N/A,#N/A,TRUE,"AC";#N/A,#N/A,TRUE,"SN"}</definedName>
    <definedName name="ftt" localSheetId="15" hidden="1">{#N/A,#N/A,TRUE,"SUM";#N/A,#N/A,TRUE,"EE";#N/A,#N/A,TRUE,"AC";#N/A,#N/A,TRUE,"SN"}</definedName>
    <definedName name="ftt" hidden="1">{#N/A,#N/A,TRUE,"SUM";#N/A,#N/A,TRUE,"EE";#N/A,#N/A,TRUE,"AC";#N/A,#N/A,TRUE,"SN"}</definedName>
    <definedName name="fweg" localSheetId="13" hidden="1">{#N/A,#N/A,TRUE,"SUM";#N/A,#N/A,TRUE,"EE";#N/A,#N/A,TRUE,"AC";#N/A,#N/A,TRUE,"SN"}</definedName>
    <definedName name="fweg" localSheetId="14" hidden="1">{#N/A,#N/A,TRUE,"SUM";#N/A,#N/A,TRUE,"EE";#N/A,#N/A,TRUE,"AC";#N/A,#N/A,TRUE,"SN"}</definedName>
    <definedName name="fweg" localSheetId="11" hidden="1">{#N/A,#N/A,TRUE,"SUM";#N/A,#N/A,TRUE,"EE";#N/A,#N/A,TRUE,"AC";#N/A,#N/A,TRUE,"SN"}</definedName>
    <definedName name="fweg" localSheetId="10" hidden="1">{#N/A,#N/A,TRUE,"SUM";#N/A,#N/A,TRUE,"EE";#N/A,#N/A,TRUE,"AC";#N/A,#N/A,TRUE,"SN"}</definedName>
    <definedName name="fweg" localSheetId="15" hidden="1">{#N/A,#N/A,TRUE,"SUM";#N/A,#N/A,TRUE,"EE";#N/A,#N/A,TRUE,"AC";#N/A,#N/A,TRUE,"SN"}</definedName>
    <definedName name="fweg" hidden="1">{#N/A,#N/A,TRUE,"SUM";#N/A,#N/A,TRUE,"EE";#N/A,#N/A,TRUE,"AC";#N/A,#N/A,TRUE,"SN"}</definedName>
    <definedName name="fzsdf" localSheetId="13" hidden="1">{#N/A,#N/A,TRUE,"SUM";#N/A,#N/A,TRUE,"EE";#N/A,#N/A,TRUE,"AC";#N/A,#N/A,TRUE,"SN"}</definedName>
    <definedName name="fzsdf" localSheetId="14" hidden="1">{#N/A,#N/A,TRUE,"SUM";#N/A,#N/A,TRUE,"EE";#N/A,#N/A,TRUE,"AC";#N/A,#N/A,TRUE,"SN"}</definedName>
    <definedName name="fzsdf" localSheetId="11" hidden="1">{#N/A,#N/A,TRUE,"SUM";#N/A,#N/A,TRUE,"EE";#N/A,#N/A,TRUE,"AC";#N/A,#N/A,TRUE,"SN"}</definedName>
    <definedName name="fzsdf" localSheetId="10" hidden="1">{#N/A,#N/A,TRUE,"SUM";#N/A,#N/A,TRUE,"EE";#N/A,#N/A,TRUE,"AC";#N/A,#N/A,TRUE,"SN"}</definedName>
    <definedName name="fzsdf" localSheetId="15" hidden="1">{#N/A,#N/A,TRUE,"SUM";#N/A,#N/A,TRUE,"EE";#N/A,#N/A,TRUE,"AC";#N/A,#N/A,TRUE,"SN"}</definedName>
    <definedName name="fzsdf" hidden="1">{#N/A,#N/A,TRUE,"SUM";#N/A,#N/A,TRUE,"EE";#N/A,#N/A,TRUE,"AC";#N/A,#N/A,TRUE,"SN"}</definedName>
    <definedName name="GG" localSheetId="13" hidden="1">{#N/A,#N/A,TRUE,"SUM";#N/A,#N/A,TRUE,"EE";#N/A,#N/A,TRUE,"AC";#N/A,#N/A,TRUE,"SN"}</definedName>
    <definedName name="GG" localSheetId="14" hidden="1">{#N/A,#N/A,TRUE,"SUM";#N/A,#N/A,TRUE,"EE";#N/A,#N/A,TRUE,"AC";#N/A,#N/A,TRUE,"SN"}</definedName>
    <definedName name="GG" localSheetId="11" hidden="1">{#N/A,#N/A,TRUE,"SUM";#N/A,#N/A,TRUE,"EE";#N/A,#N/A,TRUE,"AC";#N/A,#N/A,TRUE,"SN"}</definedName>
    <definedName name="GG" localSheetId="10" hidden="1">{#N/A,#N/A,TRUE,"SUM";#N/A,#N/A,TRUE,"EE";#N/A,#N/A,TRUE,"AC";#N/A,#N/A,TRUE,"SN"}</definedName>
    <definedName name="GG" localSheetId="15" hidden="1">{#N/A,#N/A,TRUE,"SUM";#N/A,#N/A,TRUE,"EE";#N/A,#N/A,TRUE,"AC";#N/A,#N/A,TRUE,"SN"}</definedName>
    <definedName name="GG" hidden="1">{#N/A,#N/A,TRUE,"SUM";#N/A,#N/A,TRUE,"EE";#N/A,#N/A,TRUE,"AC";#N/A,#N/A,TRUE,"SN"}</definedName>
    <definedName name="ggg" localSheetId="13" hidden="1">{#N/A,#N/A,TRUE,"SUM";#N/A,#N/A,TRUE,"EE";#N/A,#N/A,TRUE,"AC";#N/A,#N/A,TRUE,"SN"}</definedName>
    <definedName name="ggg" localSheetId="14" hidden="1">{#N/A,#N/A,TRUE,"SUM";#N/A,#N/A,TRUE,"EE";#N/A,#N/A,TRUE,"AC";#N/A,#N/A,TRUE,"SN"}</definedName>
    <definedName name="ggg" localSheetId="11" hidden="1">{#N/A,#N/A,TRUE,"SUM";#N/A,#N/A,TRUE,"EE";#N/A,#N/A,TRUE,"AC";#N/A,#N/A,TRUE,"SN"}</definedName>
    <definedName name="ggg" localSheetId="10" hidden="1">{#N/A,#N/A,TRUE,"SUM";#N/A,#N/A,TRUE,"EE";#N/A,#N/A,TRUE,"AC";#N/A,#N/A,TRUE,"SN"}</definedName>
    <definedName name="ggg" localSheetId="15" hidden="1">{#N/A,#N/A,TRUE,"SUM";#N/A,#N/A,TRUE,"EE";#N/A,#N/A,TRUE,"AC";#N/A,#N/A,TRUE,"SN"}</definedName>
    <definedName name="ggg" hidden="1">{#N/A,#N/A,TRUE,"SUM";#N/A,#N/A,TRUE,"EE";#N/A,#N/A,TRUE,"AC";#N/A,#N/A,TRUE,"SN"}</definedName>
    <definedName name="GGGGG" localSheetId="13" hidden="1">{#N/A,#N/A,TRUE,"SUM";#N/A,#N/A,TRUE,"EE";#N/A,#N/A,TRUE,"AC";#N/A,#N/A,TRUE,"SN"}</definedName>
    <definedName name="GGGGG" localSheetId="14" hidden="1">{#N/A,#N/A,TRUE,"SUM";#N/A,#N/A,TRUE,"EE";#N/A,#N/A,TRUE,"AC";#N/A,#N/A,TRUE,"SN"}</definedName>
    <definedName name="GGGGG" localSheetId="11" hidden="1">{#N/A,#N/A,TRUE,"SUM";#N/A,#N/A,TRUE,"EE";#N/A,#N/A,TRUE,"AC";#N/A,#N/A,TRUE,"SN"}</definedName>
    <definedName name="GGGGG" localSheetId="10" hidden="1">{#N/A,#N/A,TRUE,"SUM";#N/A,#N/A,TRUE,"EE";#N/A,#N/A,TRUE,"AC";#N/A,#N/A,TRUE,"SN"}</definedName>
    <definedName name="GGGGG" localSheetId="15" hidden="1">{#N/A,#N/A,TRUE,"SUM";#N/A,#N/A,TRUE,"EE";#N/A,#N/A,TRUE,"AC";#N/A,#N/A,TRUE,"SN"}</definedName>
    <definedName name="GGGGG" hidden="1">{#N/A,#N/A,TRUE,"SUM";#N/A,#N/A,TRUE,"EE";#N/A,#N/A,TRUE,"AC";#N/A,#N/A,TRUE,"SN"}</definedName>
    <definedName name="Hardware" localSheetId="13" hidden="1">{#N/A,#N/A,TRUE,"Str.";#N/A,#N/A,TRUE,"Steel &amp; Roof";#N/A,#N/A,TRUE,"Arc.";#N/A,#N/A,TRUE,"Preliminary";#N/A,#N/A,TRUE,"Sum_Prelim"}</definedName>
    <definedName name="Hardware" localSheetId="14" hidden="1">{#N/A,#N/A,TRUE,"Str.";#N/A,#N/A,TRUE,"Steel &amp; Roof";#N/A,#N/A,TRUE,"Arc.";#N/A,#N/A,TRUE,"Preliminary";#N/A,#N/A,TRUE,"Sum_Prelim"}</definedName>
    <definedName name="Hardware" localSheetId="11" hidden="1">{#N/A,#N/A,TRUE,"Str.";#N/A,#N/A,TRUE,"Steel &amp; Roof";#N/A,#N/A,TRUE,"Arc.";#N/A,#N/A,TRUE,"Preliminary";#N/A,#N/A,TRUE,"Sum_Prelim"}</definedName>
    <definedName name="Hardware" localSheetId="10" hidden="1">{#N/A,#N/A,TRUE,"Str.";#N/A,#N/A,TRUE,"Steel &amp; Roof";#N/A,#N/A,TRUE,"Arc.";#N/A,#N/A,TRUE,"Preliminary";#N/A,#N/A,TRUE,"Sum_Prelim"}</definedName>
    <definedName name="Hardware" localSheetId="15" hidden="1">{#N/A,#N/A,TRUE,"Str.";#N/A,#N/A,TRUE,"Steel &amp; Roof";#N/A,#N/A,TRUE,"Arc.";#N/A,#N/A,TRUE,"Preliminary";#N/A,#N/A,TRUE,"Sum_Prelim"}</definedName>
    <definedName name="Hardware" hidden="1">{#N/A,#N/A,TRUE,"Str.";#N/A,#N/A,TRUE,"Steel &amp; Roof";#N/A,#N/A,TRUE,"Arc.";#N/A,#N/A,TRUE,"Preliminary";#N/A,#N/A,TRUE,"Sum_Prelim"}</definedName>
    <definedName name="HHHHHH" localSheetId="13" hidden="1">{#N/A,#N/A,TRUE,"SUM";#N/A,#N/A,TRUE,"EE";#N/A,#N/A,TRUE,"AC";#N/A,#N/A,TRUE,"SN"}</definedName>
    <definedName name="HHHHHH" localSheetId="14" hidden="1">{#N/A,#N/A,TRUE,"SUM";#N/A,#N/A,TRUE,"EE";#N/A,#N/A,TRUE,"AC";#N/A,#N/A,TRUE,"SN"}</definedName>
    <definedName name="HHHHHH" localSheetId="11" hidden="1">{#N/A,#N/A,TRUE,"SUM";#N/A,#N/A,TRUE,"EE";#N/A,#N/A,TRUE,"AC";#N/A,#N/A,TRUE,"SN"}</definedName>
    <definedName name="HHHHHH" localSheetId="10" hidden="1">{#N/A,#N/A,TRUE,"SUM";#N/A,#N/A,TRUE,"EE";#N/A,#N/A,TRUE,"AC";#N/A,#N/A,TRUE,"SN"}</definedName>
    <definedName name="HHHHHH" localSheetId="15" hidden="1">{#N/A,#N/A,TRUE,"SUM";#N/A,#N/A,TRUE,"EE";#N/A,#N/A,TRUE,"AC";#N/A,#N/A,TRUE,"SN"}</definedName>
    <definedName name="HHHHHH" hidden="1">{#N/A,#N/A,TRUE,"SUM";#N/A,#N/A,TRUE,"EE";#N/A,#N/A,TRUE,"AC";#N/A,#N/A,TRUE,"SN"}</definedName>
    <definedName name="hi" localSheetId="13" hidden="1">{#N/A,#N/A,TRUE,"SUM";#N/A,#N/A,TRUE,"EE";#N/A,#N/A,TRUE,"AC";#N/A,#N/A,TRUE,"SN"}</definedName>
    <definedName name="hi" localSheetId="14" hidden="1">{#N/A,#N/A,TRUE,"SUM";#N/A,#N/A,TRUE,"EE";#N/A,#N/A,TRUE,"AC";#N/A,#N/A,TRUE,"SN"}</definedName>
    <definedName name="hi" localSheetId="11" hidden="1">{#N/A,#N/A,TRUE,"SUM";#N/A,#N/A,TRUE,"EE";#N/A,#N/A,TRUE,"AC";#N/A,#N/A,TRUE,"SN"}</definedName>
    <definedName name="hi" localSheetId="10" hidden="1">{#N/A,#N/A,TRUE,"SUM";#N/A,#N/A,TRUE,"EE";#N/A,#N/A,TRUE,"AC";#N/A,#N/A,TRUE,"SN"}</definedName>
    <definedName name="hi" localSheetId="15" hidden="1">{#N/A,#N/A,TRUE,"SUM";#N/A,#N/A,TRUE,"EE";#N/A,#N/A,TRUE,"AC";#N/A,#N/A,TRUE,"SN"}</definedName>
    <definedName name="hi" hidden="1">{#N/A,#N/A,TRUE,"SUM";#N/A,#N/A,TRUE,"EE";#N/A,#N/A,TRUE,"AC";#N/A,#N/A,TRUE,"SN"}</definedName>
    <definedName name="hju" localSheetId="13" hidden="1">{#N/A,#N/A,TRUE,"SUM";#N/A,#N/A,TRUE,"EE";#N/A,#N/A,TRUE,"AC";#N/A,#N/A,TRUE,"SN"}</definedName>
    <definedName name="hju" localSheetId="14" hidden="1">{#N/A,#N/A,TRUE,"SUM";#N/A,#N/A,TRUE,"EE";#N/A,#N/A,TRUE,"AC";#N/A,#N/A,TRUE,"SN"}</definedName>
    <definedName name="hju" localSheetId="11" hidden="1">{#N/A,#N/A,TRUE,"SUM";#N/A,#N/A,TRUE,"EE";#N/A,#N/A,TRUE,"AC";#N/A,#N/A,TRUE,"SN"}</definedName>
    <definedName name="hju" localSheetId="10" hidden="1">{#N/A,#N/A,TRUE,"SUM";#N/A,#N/A,TRUE,"EE";#N/A,#N/A,TRUE,"AC";#N/A,#N/A,TRUE,"SN"}</definedName>
    <definedName name="hju" localSheetId="15" hidden="1">{#N/A,#N/A,TRUE,"SUM";#N/A,#N/A,TRUE,"EE";#N/A,#N/A,TRUE,"AC";#N/A,#N/A,TRUE,"SN"}</definedName>
    <definedName name="hju" hidden="1">{#N/A,#N/A,TRUE,"SUM";#N/A,#N/A,TRUE,"EE";#N/A,#N/A,TRUE,"AC";#N/A,#N/A,TRUE,"SN"}</definedName>
    <definedName name="hrhth" localSheetId="13" hidden="1">{#N/A,#N/A,TRUE,"SUM";#N/A,#N/A,TRUE,"EE";#N/A,#N/A,TRUE,"AC";#N/A,#N/A,TRUE,"SN"}</definedName>
    <definedName name="hrhth" localSheetId="14" hidden="1">{#N/A,#N/A,TRUE,"SUM";#N/A,#N/A,TRUE,"EE";#N/A,#N/A,TRUE,"AC";#N/A,#N/A,TRUE,"SN"}</definedName>
    <definedName name="hrhth" localSheetId="11" hidden="1">{#N/A,#N/A,TRUE,"SUM";#N/A,#N/A,TRUE,"EE";#N/A,#N/A,TRUE,"AC";#N/A,#N/A,TRUE,"SN"}</definedName>
    <definedName name="hrhth" localSheetId="10" hidden="1">{#N/A,#N/A,TRUE,"SUM";#N/A,#N/A,TRUE,"EE";#N/A,#N/A,TRUE,"AC";#N/A,#N/A,TRUE,"SN"}</definedName>
    <definedName name="hrhth" localSheetId="15" hidden="1">{#N/A,#N/A,TRUE,"SUM";#N/A,#N/A,TRUE,"EE";#N/A,#N/A,TRUE,"AC";#N/A,#N/A,TRUE,"SN"}</definedName>
    <definedName name="hrhth" hidden="1">{#N/A,#N/A,TRUE,"SUM";#N/A,#N/A,TRUE,"EE";#N/A,#N/A,TRUE,"AC";#N/A,#N/A,TRUE,"SN"}</definedName>
    <definedName name="HTML_CodePage" hidden="1">874</definedName>
    <definedName name="HTML_Control" localSheetId="13" hidden="1">{"'SUMMATION'!$B$2:$I$2"}</definedName>
    <definedName name="HTML_Control" localSheetId="14" hidden="1">{"'SUMMATION'!$B$2:$I$2"}</definedName>
    <definedName name="HTML_Control" localSheetId="11" hidden="1">{"'SUMMATION'!$B$2:$I$2"}</definedName>
    <definedName name="HTML_Control" localSheetId="10" hidden="1">{"'SUMMATION'!$B$2:$I$2"}</definedName>
    <definedName name="HTML_Control" localSheetId="15" hidden="1">{"'SUMMATION'!$B$2:$I$2"}</definedName>
    <definedName name="HTML_Control" hidden="1">{"'SUMMATION'!$B$2:$I$2"}</definedName>
    <definedName name="HTML_Description" hidden="1">""</definedName>
    <definedName name="HTML_Email" hidden="1">""</definedName>
    <definedName name="HTML_Header" hidden="1">"SUMMATION"</definedName>
    <definedName name="HTML_LastUpdate" hidden="1">"21/3/02"</definedName>
    <definedName name="HTML_LineAfter" hidden="1">FALSE</definedName>
    <definedName name="HTML_LineBefore" hidden="1">FALSE</definedName>
    <definedName name="HTML_Name" hidden="1">"Estimate_5"</definedName>
    <definedName name="HTML_OBDlg2" hidden="1">TRUE</definedName>
    <definedName name="HTML_OBDlg4" hidden="1">TRUE</definedName>
    <definedName name="HTML_OS" hidden="1">0</definedName>
    <definedName name="HTML_PathFile" hidden="1">"C:\SAni.htm"</definedName>
    <definedName name="HTML_Title" hidden="1">"อาคารเรียนรวม"</definedName>
    <definedName name="INCOTERMS2018" localSheetId="15">#REF!</definedName>
    <definedName name="INCOTERMS2018">#REF!</definedName>
    <definedName name="JKDFSJCSDKJ" localSheetId="13" hidden="1">{#N/A,#N/A,TRUE,"SUM";#N/A,#N/A,TRUE,"EE";#N/A,#N/A,TRUE,"AC";#N/A,#N/A,TRUE,"SN"}</definedName>
    <definedName name="JKDFSJCSDKJ" localSheetId="14" hidden="1">{#N/A,#N/A,TRUE,"SUM";#N/A,#N/A,TRUE,"EE";#N/A,#N/A,TRUE,"AC";#N/A,#N/A,TRUE,"SN"}</definedName>
    <definedName name="JKDFSJCSDKJ" localSheetId="11" hidden="1">{#N/A,#N/A,TRUE,"SUM";#N/A,#N/A,TRUE,"EE";#N/A,#N/A,TRUE,"AC";#N/A,#N/A,TRUE,"SN"}</definedName>
    <definedName name="JKDFSJCSDKJ" localSheetId="10" hidden="1">{#N/A,#N/A,TRUE,"SUM";#N/A,#N/A,TRUE,"EE";#N/A,#N/A,TRUE,"AC";#N/A,#N/A,TRUE,"SN"}</definedName>
    <definedName name="JKDFSJCSDKJ" localSheetId="15" hidden="1">{#N/A,#N/A,TRUE,"SUM";#N/A,#N/A,TRUE,"EE";#N/A,#N/A,TRUE,"AC";#N/A,#N/A,TRUE,"SN"}</definedName>
    <definedName name="JKDFSJCSDKJ" hidden="1">{#N/A,#N/A,TRUE,"SUM";#N/A,#N/A,TRUE,"EE";#N/A,#N/A,TRUE,"AC";#N/A,#N/A,TRUE,"SN"}</definedName>
    <definedName name="jki" localSheetId="13" hidden="1">{#N/A,#N/A,TRUE,"SUM";#N/A,#N/A,TRUE,"EE";#N/A,#N/A,TRUE,"AC";#N/A,#N/A,TRUE,"SN"}</definedName>
    <definedName name="jki" localSheetId="14" hidden="1">{#N/A,#N/A,TRUE,"SUM";#N/A,#N/A,TRUE,"EE";#N/A,#N/A,TRUE,"AC";#N/A,#N/A,TRUE,"SN"}</definedName>
    <definedName name="jki" localSheetId="11" hidden="1">{#N/A,#N/A,TRUE,"SUM";#N/A,#N/A,TRUE,"EE";#N/A,#N/A,TRUE,"AC";#N/A,#N/A,TRUE,"SN"}</definedName>
    <definedName name="jki" localSheetId="10" hidden="1">{#N/A,#N/A,TRUE,"SUM";#N/A,#N/A,TRUE,"EE";#N/A,#N/A,TRUE,"AC";#N/A,#N/A,TRUE,"SN"}</definedName>
    <definedName name="jki" localSheetId="15" hidden="1">{#N/A,#N/A,TRUE,"SUM";#N/A,#N/A,TRUE,"EE";#N/A,#N/A,TRUE,"AC";#N/A,#N/A,TRUE,"SN"}</definedName>
    <definedName name="jki" hidden="1">{#N/A,#N/A,TRUE,"SUM";#N/A,#N/A,TRUE,"EE";#N/A,#N/A,TRUE,"AC";#N/A,#N/A,TRUE,"SN"}</definedName>
    <definedName name="jrlfmf" localSheetId="13" hidden="1">{#N/A,#N/A,TRUE,"SUM";#N/A,#N/A,TRUE,"EE";#N/A,#N/A,TRUE,"AC";#N/A,#N/A,TRUE,"SN"}</definedName>
    <definedName name="jrlfmf" localSheetId="14" hidden="1">{#N/A,#N/A,TRUE,"SUM";#N/A,#N/A,TRUE,"EE";#N/A,#N/A,TRUE,"AC";#N/A,#N/A,TRUE,"SN"}</definedName>
    <definedName name="jrlfmf" localSheetId="11" hidden="1">{#N/A,#N/A,TRUE,"SUM";#N/A,#N/A,TRUE,"EE";#N/A,#N/A,TRUE,"AC";#N/A,#N/A,TRUE,"SN"}</definedName>
    <definedName name="jrlfmf" localSheetId="10" hidden="1">{#N/A,#N/A,TRUE,"SUM";#N/A,#N/A,TRUE,"EE";#N/A,#N/A,TRUE,"AC";#N/A,#N/A,TRUE,"SN"}</definedName>
    <definedName name="jrlfmf" localSheetId="15" hidden="1">{#N/A,#N/A,TRUE,"SUM";#N/A,#N/A,TRUE,"EE";#N/A,#N/A,TRUE,"AC";#N/A,#N/A,TRUE,"SN"}</definedName>
    <definedName name="jrlfmf" hidden="1">{#N/A,#N/A,TRUE,"SUM";#N/A,#N/A,TRUE,"EE";#N/A,#N/A,TRUE,"AC";#N/A,#N/A,TRUE,"SN"}</definedName>
    <definedName name="K" localSheetId="13" hidden="1">{#N/A,#N/A,TRUE,"SUM";#N/A,#N/A,TRUE,"EE";#N/A,#N/A,TRUE,"AC";#N/A,#N/A,TRUE,"SN"}</definedName>
    <definedName name="K" localSheetId="14" hidden="1">{#N/A,#N/A,TRUE,"SUM";#N/A,#N/A,TRUE,"EE";#N/A,#N/A,TRUE,"AC";#N/A,#N/A,TRUE,"SN"}</definedName>
    <definedName name="K" localSheetId="11" hidden="1">{#N/A,#N/A,TRUE,"SUM";#N/A,#N/A,TRUE,"EE";#N/A,#N/A,TRUE,"AC";#N/A,#N/A,TRUE,"SN"}</definedName>
    <definedName name="K" localSheetId="10" hidden="1">{#N/A,#N/A,TRUE,"SUM";#N/A,#N/A,TRUE,"EE";#N/A,#N/A,TRUE,"AC";#N/A,#N/A,TRUE,"SN"}</definedName>
    <definedName name="K" localSheetId="15" hidden="1">{#N/A,#N/A,TRUE,"SUM";#N/A,#N/A,TRUE,"EE";#N/A,#N/A,TRUE,"AC";#N/A,#N/A,TRUE,"SN"}</definedName>
    <definedName name="K" hidden="1">{#N/A,#N/A,TRUE,"SUM";#N/A,#N/A,TRUE,"EE";#N/A,#N/A,TRUE,"AC";#N/A,#N/A,TRUE,"SN"}</definedName>
    <definedName name="kk" localSheetId="13" hidden="1">{#N/A,#N/A,TRUE,"SUM";#N/A,#N/A,TRUE,"EE";#N/A,#N/A,TRUE,"AC";#N/A,#N/A,TRUE,"SN"}</definedName>
    <definedName name="kk" localSheetId="14" hidden="1">{#N/A,#N/A,TRUE,"SUM";#N/A,#N/A,TRUE,"EE";#N/A,#N/A,TRUE,"AC";#N/A,#N/A,TRUE,"SN"}</definedName>
    <definedName name="kk" localSheetId="11" hidden="1">{#N/A,#N/A,TRUE,"SUM";#N/A,#N/A,TRUE,"EE";#N/A,#N/A,TRUE,"AC";#N/A,#N/A,TRUE,"SN"}</definedName>
    <definedName name="kk" localSheetId="10" hidden="1">{#N/A,#N/A,TRUE,"SUM";#N/A,#N/A,TRUE,"EE";#N/A,#N/A,TRUE,"AC";#N/A,#N/A,TRUE,"SN"}</definedName>
    <definedName name="kk" localSheetId="15" hidden="1">{#N/A,#N/A,TRUE,"SUM";#N/A,#N/A,TRUE,"EE";#N/A,#N/A,TRUE,"AC";#N/A,#N/A,TRUE,"SN"}</definedName>
    <definedName name="kk" hidden="1">{#N/A,#N/A,TRUE,"SUM";#N/A,#N/A,TRUE,"EE";#N/A,#N/A,TRUE,"AC";#N/A,#N/A,TRUE,"SN"}</definedName>
    <definedName name="KKPP" localSheetId="13" hidden="1">{#N/A,#N/A,TRUE,"SUM";#N/A,#N/A,TRUE,"EE";#N/A,#N/A,TRUE,"AC";#N/A,#N/A,TRUE,"SN"}</definedName>
    <definedName name="KKPP" localSheetId="14" hidden="1">{#N/A,#N/A,TRUE,"SUM";#N/A,#N/A,TRUE,"EE";#N/A,#N/A,TRUE,"AC";#N/A,#N/A,TRUE,"SN"}</definedName>
    <definedName name="KKPP" localSheetId="11" hidden="1">{#N/A,#N/A,TRUE,"SUM";#N/A,#N/A,TRUE,"EE";#N/A,#N/A,TRUE,"AC";#N/A,#N/A,TRUE,"SN"}</definedName>
    <definedName name="KKPP" localSheetId="10" hidden="1">{#N/A,#N/A,TRUE,"SUM";#N/A,#N/A,TRUE,"EE";#N/A,#N/A,TRUE,"AC";#N/A,#N/A,TRUE,"SN"}</definedName>
    <definedName name="KKPP" localSheetId="15" hidden="1">{#N/A,#N/A,TRUE,"SUM";#N/A,#N/A,TRUE,"EE";#N/A,#N/A,TRUE,"AC";#N/A,#N/A,TRUE,"SN"}</definedName>
    <definedName name="KKPP" hidden="1">{#N/A,#N/A,TRUE,"SUM";#N/A,#N/A,TRUE,"EE";#N/A,#N/A,TRUE,"AC";#N/A,#N/A,TRUE,"SN"}</definedName>
    <definedName name="klhkl" localSheetId="11" hidden="1">#REF!</definedName>
    <definedName name="klhkl" localSheetId="15" hidden="1">'[4]SUM-AIR-Submit'!#REF!</definedName>
    <definedName name="klhkl" hidden="1">#REF!</definedName>
    <definedName name="Letter" localSheetId="13" hidden="1">{#N/A,#N/A,TRUE,"Str.";#N/A,#N/A,TRUE,"Steel &amp; Roof";#N/A,#N/A,TRUE,"Arc.";#N/A,#N/A,TRUE,"Preliminary";#N/A,#N/A,TRUE,"Sum_Prelim"}</definedName>
    <definedName name="Letter" localSheetId="14" hidden="1">{#N/A,#N/A,TRUE,"Str.";#N/A,#N/A,TRUE,"Steel &amp; Roof";#N/A,#N/A,TRUE,"Arc.";#N/A,#N/A,TRUE,"Preliminary";#N/A,#N/A,TRUE,"Sum_Prelim"}</definedName>
    <definedName name="Letter" localSheetId="11" hidden="1">{#N/A,#N/A,TRUE,"Str.";#N/A,#N/A,TRUE,"Steel &amp; Roof";#N/A,#N/A,TRUE,"Arc.";#N/A,#N/A,TRUE,"Preliminary";#N/A,#N/A,TRUE,"Sum_Prelim"}</definedName>
    <definedName name="Letter" localSheetId="10" hidden="1">{#N/A,#N/A,TRUE,"Str.";#N/A,#N/A,TRUE,"Steel &amp; Roof";#N/A,#N/A,TRUE,"Arc.";#N/A,#N/A,TRUE,"Preliminary";#N/A,#N/A,TRUE,"Sum_Prelim"}</definedName>
    <definedName name="Letter" localSheetId="15" hidden="1">{#N/A,#N/A,TRUE,"Str.";#N/A,#N/A,TRUE,"Steel &amp; Roof";#N/A,#N/A,TRUE,"Arc.";#N/A,#N/A,TRUE,"Preliminary";#N/A,#N/A,TRUE,"Sum_Prelim"}</definedName>
    <definedName name="Letter" hidden="1">{#N/A,#N/A,TRUE,"Str.";#N/A,#N/A,TRUE,"Steel &amp; Roof";#N/A,#N/A,TRUE,"Arc.";#N/A,#N/A,TRUE,"Preliminary";#N/A,#N/A,TRUE,"Sum_Prelim"}</definedName>
    <definedName name="lkirf" localSheetId="13" hidden="1">{#N/A,#N/A,TRUE,"SUM";#N/A,#N/A,TRUE,"EE";#N/A,#N/A,TRUE,"AC";#N/A,#N/A,TRUE,"SN"}</definedName>
    <definedName name="lkirf" localSheetId="14" hidden="1">{#N/A,#N/A,TRUE,"SUM";#N/A,#N/A,TRUE,"EE";#N/A,#N/A,TRUE,"AC";#N/A,#N/A,TRUE,"SN"}</definedName>
    <definedName name="lkirf" localSheetId="11" hidden="1">{#N/A,#N/A,TRUE,"SUM";#N/A,#N/A,TRUE,"EE";#N/A,#N/A,TRUE,"AC";#N/A,#N/A,TRUE,"SN"}</definedName>
    <definedName name="lkirf" localSheetId="10" hidden="1">{#N/A,#N/A,TRUE,"SUM";#N/A,#N/A,TRUE,"EE";#N/A,#N/A,TRUE,"AC";#N/A,#N/A,TRUE,"SN"}</definedName>
    <definedName name="lkirf" localSheetId="15" hidden="1">{#N/A,#N/A,TRUE,"SUM";#N/A,#N/A,TRUE,"EE";#N/A,#N/A,TRUE,"AC";#N/A,#N/A,TRUE,"SN"}</definedName>
    <definedName name="lkirf" hidden="1">{#N/A,#N/A,TRUE,"SUM";#N/A,#N/A,TRUE,"EE";#N/A,#N/A,TRUE,"AC";#N/A,#N/A,TRUE,"SN"}</definedName>
    <definedName name="looo" localSheetId="13" hidden="1">{#N/A,#N/A,TRUE,"SUM";#N/A,#N/A,TRUE,"EE";#N/A,#N/A,TRUE,"AC";#N/A,#N/A,TRUE,"SN"}</definedName>
    <definedName name="looo" localSheetId="14" hidden="1">{#N/A,#N/A,TRUE,"SUM";#N/A,#N/A,TRUE,"EE";#N/A,#N/A,TRUE,"AC";#N/A,#N/A,TRUE,"SN"}</definedName>
    <definedName name="looo" localSheetId="11" hidden="1">{#N/A,#N/A,TRUE,"SUM";#N/A,#N/A,TRUE,"EE";#N/A,#N/A,TRUE,"AC";#N/A,#N/A,TRUE,"SN"}</definedName>
    <definedName name="looo" localSheetId="10" hidden="1">{#N/A,#N/A,TRUE,"SUM";#N/A,#N/A,TRUE,"EE";#N/A,#N/A,TRUE,"AC";#N/A,#N/A,TRUE,"SN"}</definedName>
    <definedName name="looo" localSheetId="15" hidden="1">{#N/A,#N/A,TRUE,"SUM";#N/A,#N/A,TRUE,"EE";#N/A,#N/A,TRUE,"AC";#N/A,#N/A,TRUE,"SN"}</definedName>
    <definedName name="looo" hidden="1">{#N/A,#N/A,TRUE,"SUM";#N/A,#N/A,TRUE,"EE";#N/A,#N/A,TRUE,"AC";#N/A,#N/A,TRUE,"SN"}</definedName>
    <definedName name="Lt." localSheetId="13" hidden="1">{#N/A,#N/A,TRUE,"Str.";#N/A,#N/A,TRUE,"Steel &amp; Roof";#N/A,#N/A,TRUE,"Arc.";#N/A,#N/A,TRUE,"Preliminary";#N/A,#N/A,TRUE,"Sum_Prelim"}</definedName>
    <definedName name="Lt." localSheetId="14" hidden="1">{#N/A,#N/A,TRUE,"Str.";#N/A,#N/A,TRUE,"Steel &amp; Roof";#N/A,#N/A,TRUE,"Arc.";#N/A,#N/A,TRUE,"Preliminary";#N/A,#N/A,TRUE,"Sum_Prelim"}</definedName>
    <definedName name="Lt." localSheetId="11" hidden="1">{#N/A,#N/A,TRUE,"Str.";#N/A,#N/A,TRUE,"Steel &amp; Roof";#N/A,#N/A,TRUE,"Arc.";#N/A,#N/A,TRUE,"Preliminary";#N/A,#N/A,TRUE,"Sum_Prelim"}</definedName>
    <definedName name="Lt." localSheetId="10" hidden="1">{#N/A,#N/A,TRUE,"Str.";#N/A,#N/A,TRUE,"Steel &amp; Roof";#N/A,#N/A,TRUE,"Arc.";#N/A,#N/A,TRUE,"Preliminary";#N/A,#N/A,TRUE,"Sum_Prelim"}</definedName>
    <definedName name="Lt." localSheetId="15" hidden="1">{#N/A,#N/A,TRUE,"Str.";#N/A,#N/A,TRUE,"Steel &amp; Roof";#N/A,#N/A,TRUE,"Arc.";#N/A,#N/A,TRUE,"Preliminary";#N/A,#N/A,TRUE,"Sum_Prelim"}</definedName>
    <definedName name="Lt." hidden="1">{#N/A,#N/A,TRUE,"Str.";#N/A,#N/A,TRUE,"Steel &amp; Roof";#N/A,#N/A,TRUE,"Arc.";#N/A,#N/A,TRUE,"Preliminary";#N/A,#N/A,TRUE,"Sum_Prelim"}</definedName>
    <definedName name="mdkeklde" localSheetId="13" hidden="1">{#N/A,#N/A,TRUE,"SUM";#N/A,#N/A,TRUE,"EE";#N/A,#N/A,TRUE,"AC";#N/A,#N/A,TRUE,"SN"}</definedName>
    <definedName name="mdkeklde" localSheetId="14" hidden="1">{#N/A,#N/A,TRUE,"SUM";#N/A,#N/A,TRUE,"EE";#N/A,#N/A,TRUE,"AC";#N/A,#N/A,TRUE,"SN"}</definedName>
    <definedName name="mdkeklde" localSheetId="11" hidden="1">{#N/A,#N/A,TRUE,"SUM";#N/A,#N/A,TRUE,"EE";#N/A,#N/A,TRUE,"AC";#N/A,#N/A,TRUE,"SN"}</definedName>
    <definedName name="mdkeklde" localSheetId="10" hidden="1">{#N/A,#N/A,TRUE,"SUM";#N/A,#N/A,TRUE,"EE";#N/A,#N/A,TRUE,"AC";#N/A,#N/A,TRUE,"SN"}</definedName>
    <definedName name="mdkeklde" localSheetId="15" hidden="1">{#N/A,#N/A,TRUE,"SUM";#N/A,#N/A,TRUE,"EE";#N/A,#N/A,TRUE,"AC";#N/A,#N/A,TRUE,"SN"}</definedName>
    <definedName name="mdkeklde" hidden="1">{#N/A,#N/A,TRUE,"SUM";#N/A,#N/A,TRUE,"EE";#N/A,#N/A,TRUE,"AC";#N/A,#N/A,TRUE,"SN"}</definedName>
    <definedName name="mfjrlk" localSheetId="13" hidden="1">{#N/A,#N/A,TRUE,"SUM";#N/A,#N/A,TRUE,"EE";#N/A,#N/A,TRUE,"AC";#N/A,#N/A,TRUE,"SN"}</definedName>
    <definedName name="mfjrlk" localSheetId="14" hidden="1">{#N/A,#N/A,TRUE,"SUM";#N/A,#N/A,TRUE,"EE";#N/A,#N/A,TRUE,"AC";#N/A,#N/A,TRUE,"SN"}</definedName>
    <definedName name="mfjrlk" localSheetId="11" hidden="1">{#N/A,#N/A,TRUE,"SUM";#N/A,#N/A,TRUE,"EE";#N/A,#N/A,TRUE,"AC";#N/A,#N/A,TRUE,"SN"}</definedName>
    <definedName name="mfjrlk" localSheetId="10" hidden="1">{#N/A,#N/A,TRUE,"SUM";#N/A,#N/A,TRUE,"EE";#N/A,#N/A,TRUE,"AC";#N/A,#N/A,TRUE,"SN"}</definedName>
    <definedName name="mfjrlk" localSheetId="15" hidden="1">{#N/A,#N/A,TRUE,"SUM";#N/A,#N/A,TRUE,"EE";#N/A,#N/A,TRUE,"AC";#N/A,#N/A,TRUE,"SN"}</definedName>
    <definedName name="mfjrlk" hidden="1">{#N/A,#N/A,TRUE,"SUM";#N/A,#N/A,TRUE,"EE";#N/A,#N/A,TRUE,"AC";#N/A,#N/A,TRUE,"SN"}</definedName>
    <definedName name="mfkf" localSheetId="13" hidden="1">{#N/A,#N/A,TRUE,"SUM";#N/A,#N/A,TRUE,"EE";#N/A,#N/A,TRUE,"AC";#N/A,#N/A,TRUE,"SN"}</definedName>
    <definedName name="mfkf" localSheetId="14" hidden="1">{#N/A,#N/A,TRUE,"SUM";#N/A,#N/A,TRUE,"EE";#N/A,#N/A,TRUE,"AC";#N/A,#N/A,TRUE,"SN"}</definedName>
    <definedName name="mfkf" localSheetId="11" hidden="1">{#N/A,#N/A,TRUE,"SUM";#N/A,#N/A,TRUE,"EE";#N/A,#N/A,TRUE,"AC";#N/A,#N/A,TRUE,"SN"}</definedName>
    <definedName name="mfkf" localSheetId="10" hidden="1">{#N/A,#N/A,TRUE,"SUM";#N/A,#N/A,TRUE,"EE";#N/A,#N/A,TRUE,"AC";#N/A,#N/A,TRUE,"SN"}</definedName>
    <definedName name="mfkf" localSheetId="15" hidden="1">{#N/A,#N/A,TRUE,"SUM";#N/A,#N/A,TRUE,"EE";#N/A,#N/A,TRUE,"AC";#N/A,#N/A,TRUE,"SN"}</definedName>
    <definedName name="mfkf" hidden="1">{#N/A,#N/A,TRUE,"SUM";#N/A,#N/A,TRUE,"EE";#N/A,#N/A,TRUE,"AC";#N/A,#N/A,TRUE,"SN"}</definedName>
    <definedName name="mflvkg" localSheetId="13" hidden="1">{#N/A,#N/A,TRUE,"SUM";#N/A,#N/A,TRUE,"EE";#N/A,#N/A,TRUE,"AC";#N/A,#N/A,TRUE,"SN"}</definedName>
    <definedName name="mflvkg" localSheetId="14" hidden="1">{#N/A,#N/A,TRUE,"SUM";#N/A,#N/A,TRUE,"EE";#N/A,#N/A,TRUE,"AC";#N/A,#N/A,TRUE,"SN"}</definedName>
    <definedName name="mflvkg" localSheetId="11" hidden="1">{#N/A,#N/A,TRUE,"SUM";#N/A,#N/A,TRUE,"EE";#N/A,#N/A,TRUE,"AC";#N/A,#N/A,TRUE,"SN"}</definedName>
    <definedName name="mflvkg" localSheetId="10" hidden="1">{#N/A,#N/A,TRUE,"SUM";#N/A,#N/A,TRUE,"EE";#N/A,#N/A,TRUE,"AC";#N/A,#N/A,TRUE,"SN"}</definedName>
    <definedName name="mflvkg" localSheetId="15" hidden="1">{#N/A,#N/A,TRUE,"SUM";#N/A,#N/A,TRUE,"EE";#N/A,#N/A,TRUE,"AC";#N/A,#N/A,TRUE,"SN"}</definedName>
    <definedName name="mflvkg" hidden="1">{#N/A,#N/A,TRUE,"SUM";#N/A,#N/A,TRUE,"EE";#N/A,#N/A,TRUE,"AC";#N/A,#N/A,TRUE,"SN"}</definedName>
    <definedName name="mik" localSheetId="13" hidden="1">{#N/A,#N/A,TRUE,"SUM";#N/A,#N/A,TRUE,"EE";#N/A,#N/A,TRUE,"AC";#N/A,#N/A,TRUE,"SN"}</definedName>
    <definedName name="mik" localSheetId="14" hidden="1">{#N/A,#N/A,TRUE,"SUM";#N/A,#N/A,TRUE,"EE";#N/A,#N/A,TRUE,"AC";#N/A,#N/A,TRUE,"SN"}</definedName>
    <definedName name="mik" localSheetId="11" hidden="1">{#N/A,#N/A,TRUE,"SUM";#N/A,#N/A,TRUE,"EE";#N/A,#N/A,TRUE,"AC";#N/A,#N/A,TRUE,"SN"}</definedName>
    <definedName name="mik" localSheetId="10" hidden="1">{#N/A,#N/A,TRUE,"SUM";#N/A,#N/A,TRUE,"EE";#N/A,#N/A,TRUE,"AC";#N/A,#N/A,TRUE,"SN"}</definedName>
    <definedName name="mik" localSheetId="15" hidden="1">{#N/A,#N/A,TRUE,"SUM";#N/A,#N/A,TRUE,"EE";#N/A,#N/A,TRUE,"AC";#N/A,#N/A,TRUE,"SN"}</definedName>
    <definedName name="mik" hidden="1">{#N/A,#N/A,TRUE,"SUM";#N/A,#N/A,TRUE,"EE";#N/A,#N/A,TRUE,"AC";#N/A,#N/A,TRUE,"SN"}</definedName>
    <definedName name="mjekd" localSheetId="13" hidden="1">{#N/A,#N/A,TRUE,"SUM";#N/A,#N/A,TRUE,"EE";#N/A,#N/A,TRUE,"AC";#N/A,#N/A,TRUE,"SN"}</definedName>
    <definedName name="mjekd" localSheetId="14" hidden="1">{#N/A,#N/A,TRUE,"SUM";#N/A,#N/A,TRUE,"EE";#N/A,#N/A,TRUE,"AC";#N/A,#N/A,TRUE,"SN"}</definedName>
    <definedName name="mjekd" localSheetId="11" hidden="1">{#N/A,#N/A,TRUE,"SUM";#N/A,#N/A,TRUE,"EE";#N/A,#N/A,TRUE,"AC";#N/A,#N/A,TRUE,"SN"}</definedName>
    <definedName name="mjekd" localSheetId="10" hidden="1">{#N/A,#N/A,TRUE,"SUM";#N/A,#N/A,TRUE,"EE";#N/A,#N/A,TRUE,"AC";#N/A,#N/A,TRUE,"SN"}</definedName>
    <definedName name="mjekd" localSheetId="15" hidden="1">{#N/A,#N/A,TRUE,"SUM";#N/A,#N/A,TRUE,"EE";#N/A,#N/A,TRUE,"AC";#N/A,#N/A,TRUE,"SN"}</definedName>
    <definedName name="mjekd" hidden="1">{#N/A,#N/A,TRUE,"SUM";#N/A,#N/A,TRUE,"EE";#N/A,#N/A,TRUE,"AC";#N/A,#N/A,TRUE,"SN"}</definedName>
    <definedName name="mji" localSheetId="13" hidden="1">{#N/A,#N/A,TRUE,"SUM";#N/A,#N/A,TRUE,"EE";#N/A,#N/A,TRUE,"AC";#N/A,#N/A,TRUE,"SN"}</definedName>
    <definedName name="mji" localSheetId="14" hidden="1">{#N/A,#N/A,TRUE,"SUM";#N/A,#N/A,TRUE,"EE";#N/A,#N/A,TRUE,"AC";#N/A,#N/A,TRUE,"SN"}</definedName>
    <definedName name="mji" localSheetId="11" hidden="1">{#N/A,#N/A,TRUE,"SUM";#N/A,#N/A,TRUE,"EE";#N/A,#N/A,TRUE,"AC";#N/A,#N/A,TRUE,"SN"}</definedName>
    <definedName name="mji" localSheetId="10" hidden="1">{#N/A,#N/A,TRUE,"SUM";#N/A,#N/A,TRUE,"EE";#N/A,#N/A,TRUE,"AC";#N/A,#N/A,TRUE,"SN"}</definedName>
    <definedName name="mji" localSheetId="15" hidden="1">{#N/A,#N/A,TRUE,"SUM";#N/A,#N/A,TRUE,"EE";#N/A,#N/A,TRUE,"AC";#N/A,#N/A,TRUE,"SN"}</definedName>
    <definedName name="mji" hidden="1">{#N/A,#N/A,TRUE,"SUM";#N/A,#N/A,TRUE,"EE";#N/A,#N/A,TRUE,"AC";#N/A,#N/A,TRUE,"SN"}</definedName>
    <definedName name="mkdld" localSheetId="13" hidden="1">{#N/A,#N/A,TRUE,"SUM";#N/A,#N/A,TRUE,"EE";#N/A,#N/A,TRUE,"AC";#N/A,#N/A,TRUE,"SN"}</definedName>
    <definedName name="mkdld" localSheetId="14" hidden="1">{#N/A,#N/A,TRUE,"SUM";#N/A,#N/A,TRUE,"EE";#N/A,#N/A,TRUE,"AC";#N/A,#N/A,TRUE,"SN"}</definedName>
    <definedName name="mkdld" localSheetId="11" hidden="1">{#N/A,#N/A,TRUE,"SUM";#N/A,#N/A,TRUE,"EE";#N/A,#N/A,TRUE,"AC";#N/A,#N/A,TRUE,"SN"}</definedName>
    <definedName name="mkdld" localSheetId="10" hidden="1">{#N/A,#N/A,TRUE,"SUM";#N/A,#N/A,TRUE,"EE";#N/A,#N/A,TRUE,"AC";#N/A,#N/A,TRUE,"SN"}</definedName>
    <definedName name="mkdld" localSheetId="15" hidden="1">{#N/A,#N/A,TRUE,"SUM";#N/A,#N/A,TRUE,"EE";#N/A,#N/A,TRUE,"AC";#N/A,#N/A,TRUE,"SN"}</definedName>
    <definedName name="mkdld" hidden="1">{#N/A,#N/A,TRUE,"SUM";#N/A,#N/A,TRUE,"EE";#N/A,#N/A,TRUE,"AC";#N/A,#N/A,TRUE,"SN"}</definedName>
    <definedName name="mkfirkf" localSheetId="13" hidden="1">{#N/A,#N/A,TRUE,"SUM";#N/A,#N/A,TRUE,"EE";#N/A,#N/A,TRUE,"AC";#N/A,#N/A,TRUE,"SN"}</definedName>
    <definedName name="mkfirkf" localSheetId="14" hidden="1">{#N/A,#N/A,TRUE,"SUM";#N/A,#N/A,TRUE,"EE";#N/A,#N/A,TRUE,"AC";#N/A,#N/A,TRUE,"SN"}</definedName>
    <definedName name="mkfirkf" localSheetId="11" hidden="1">{#N/A,#N/A,TRUE,"SUM";#N/A,#N/A,TRUE,"EE";#N/A,#N/A,TRUE,"AC";#N/A,#N/A,TRUE,"SN"}</definedName>
    <definedName name="mkfirkf" localSheetId="10" hidden="1">{#N/A,#N/A,TRUE,"SUM";#N/A,#N/A,TRUE,"EE";#N/A,#N/A,TRUE,"AC";#N/A,#N/A,TRUE,"SN"}</definedName>
    <definedName name="mkfirkf" localSheetId="15" hidden="1">{#N/A,#N/A,TRUE,"SUM";#N/A,#N/A,TRUE,"EE";#N/A,#N/A,TRUE,"AC";#N/A,#N/A,TRUE,"SN"}</definedName>
    <definedName name="mkfirkf" hidden="1">{#N/A,#N/A,TRUE,"SUM";#N/A,#N/A,TRUE,"EE";#N/A,#N/A,TRUE,"AC";#N/A,#N/A,TRUE,"SN"}</definedName>
    <definedName name="mki" localSheetId="13" hidden="1">{#N/A,#N/A,TRUE,"SUM";#N/A,#N/A,TRUE,"EE";#N/A,#N/A,TRUE,"AC";#N/A,#N/A,TRUE,"SN"}</definedName>
    <definedName name="mki" localSheetId="14" hidden="1">{#N/A,#N/A,TRUE,"SUM";#N/A,#N/A,TRUE,"EE";#N/A,#N/A,TRUE,"AC";#N/A,#N/A,TRUE,"SN"}</definedName>
    <definedName name="mki" localSheetId="11" hidden="1">{#N/A,#N/A,TRUE,"SUM";#N/A,#N/A,TRUE,"EE";#N/A,#N/A,TRUE,"AC";#N/A,#N/A,TRUE,"SN"}</definedName>
    <definedName name="mki" localSheetId="10" hidden="1">{#N/A,#N/A,TRUE,"SUM";#N/A,#N/A,TRUE,"EE";#N/A,#N/A,TRUE,"AC";#N/A,#N/A,TRUE,"SN"}</definedName>
    <definedName name="mki" localSheetId="15" hidden="1">{#N/A,#N/A,TRUE,"SUM";#N/A,#N/A,TRUE,"EE";#N/A,#N/A,TRUE,"AC";#N/A,#N/A,TRUE,"SN"}</definedName>
    <definedName name="mki" hidden="1">{#N/A,#N/A,TRUE,"SUM";#N/A,#N/A,TRUE,"EE";#N/A,#N/A,TRUE,"AC";#N/A,#N/A,TRUE,"SN"}</definedName>
    <definedName name="MOS_Arcylic" localSheetId="13" hidden="1">{#N/A,#N/A,FALSE,"GS";#N/A,#N/A,FALSE,"Cost Code Summary";#N/A,#N/A,FALSE,"VO";#N/A,#N/A,FALSE,"CUM FLUCT";#N/A,#N/A,FALSE,"Fluct";#N/A,#N/A,FALSE,"Bill 3";#N/A,#N/A,FALSE,"Bill 4";#N/A,#N/A,FALSE,"bill 5";#N/A,#N/A,FALSE,"Bill 7";#N/A,#N/A,FALSE,"Bill 8";#N/A,#N/A,FALSE,"Bill 10";#N/A,#N/A,FALSE,"Bill 12"}</definedName>
    <definedName name="MOS_Arcylic" localSheetId="14" hidden="1">{#N/A,#N/A,FALSE,"GS";#N/A,#N/A,FALSE,"Cost Code Summary";#N/A,#N/A,FALSE,"VO";#N/A,#N/A,FALSE,"CUM FLUCT";#N/A,#N/A,FALSE,"Fluct";#N/A,#N/A,FALSE,"Bill 3";#N/A,#N/A,FALSE,"Bill 4";#N/A,#N/A,FALSE,"bill 5";#N/A,#N/A,FALSE,"Bill 7";#N/A,#N/A,FALSE,"Bill 8";#N/A,#N/A,FALSE,"Bill 10";#N/A,#N/A,FALSE,"Bill 12"}</definedName>
    <definedName name="MOS_Arcylic" localSheetId="11" hidden="1">{#N/A,#N/A,FALSE,"GS";#N/A,#N/A,FALSE,"Cost Code Summary";#N/A,#N/A,FALSE,"VO";#N/A,#N/A,FALSE,"CUM FLUCT";#N/A,#N/A,FALSE,"Fluct";#N/A,#N/A,FALSE,"Bill 3";#N/A,#N/A,FALSE,"Bill 4";#N/A,#N/A,FALSE,"bill 5";#N/A,#N/A,FALSE,"Bill 7";#N/A,#N/A,FALSE,"Bill 8";#N/A,#N/A,FALSE,"Bill 10";#N/A,#N/A,FALSE,"Bill 12"}</definedName>
    <definedName name="MOS_Arcylic" localSheetId="10" hidden="1">{#N/A,#N/A,FALSE,"GS";#N/A,#N/A,FALSE,"Cost Code Summary";#N/A,#N/A,FALSE,"VO";#N/A,#N/A,FALSE,"CUM FLUCT";#N/A,#N/A,FALSE,"Fluct";#N/A,#N/A,FALSE,"Bill 3";#N/A,#N/A,FALSE,"Bill 4";#N/A,#N/A,FALSE,"bill 5";#N/A,#N/A,FALSE,"Bill 7";#N/A,#N/A,FALSE,"Bill 8";#N/A,#N/A,FALSE,"Bill 10";#N/A,#N/A,FALSE,"Bill 12"}</definedName>
    <definedName name="MOS_Arcylic" localSheetId="2" hidden="1">{#N/A,#N/A,FALSE,"GS";#N/A,#N/A,FALSE,"Cost Code Summary";#N/A,#N/A,FALSE,"VO";#N/A,#N/A,FALSE,"CUM FLUCT";#N/A,#N/A,FALSE,"Fluct";#N/A,#N/A,FALSE,"Bill 3";#N/A,#N/A,FALSE,"Bill 4";#N/A,#N/A,FALSE,"bill 5";#N/A,#N/A,FALSE,"Bill 7";#N/A,#N/A,FALSE,"Bill 8";#N/A,#N/A,FALSE,"Bill 10";#N/A,#N/A,FALSE,"Bill 12"}</definedName>
    <definedName name="MOS_Arcylic" localSheetId="15" hidden="1">{#N/A,#N/A,FALSE,"GS";#N/A,#N/A,FALSE,"Cost Code Summary";#N/A,#N/A,FALSE,"VO";#N/A,#N/A,FALSE,"CUM FLUCT";#N/A,#N/A,FALSE,"Fluct";#N/A,#N/A,FALSE,"Bill 3";#N/A,#N/A,FALSE,"Bill 4";#N/A,#N/A,FALSE,"bill 5";#N/A,#N/A,FALSE,"Bill 7";#N/A,#N/A,FALSE,"Bill 8";#N/A,#N/A,FALSE,"Bill 10";#N/A,#N/A,FALSE,"Bill 12"}</definedName>
    <definedName name="MOS_Arcylic" hidden="1">{#N/A,#N/A,FALSE,"GS";#N/A,#N/A,FALSE,"Cost Code Summary";#N/A,#N/A,FALSE,"VO";#N/A,#N/A,FALSE,"CUM FLUCT";#N/A,#N/A,FALSE,"Fluct";#N/A,#N/A,FALSE,"Bill 3";#N/A,#N/A,FALSE,"Bill 4";#N/A,#N/A,FALSE,"bill 5";#N/A,#N/A,FALSE,"Bill 7";#N/A,#N/A,FALSE,"Bill 8";#N/A,#N/A,FALSE,"Bill 10";#N/A,#N/A,FALSE,"Bill 12"}</definedName>
    <definedName name="nji" localSheetId="13" hidden="1">{#N/A,#N/A,TRUE,"SUM";#N/A,#N/A,TRUE,"EE";#N/A,#N/A,TRUE,"AC";#N/A,#N/A,TRUE,"SN"}</definedName>
    <definedName name="nji" localSheetId="14" hidden="1">{#N/A,#N/A,TRUE,"SUM";#N/A,#N/A,TRUE,"EE";#N/A,#N/A,TRUE,"AC";#N/A,#N/A,TRUE,"SN"}</definedName>
    <definedName name="nji" localSheetId="11" hidden="1">{#N/A,#N/A,TRUE,"SUM";#N/A,#N/A,TRUE,"EE";#N/A,#N/A,TRUE,"AC";#N/A,#N/A,TRUE,"SN"}</definedName>
    <definedName name="nji" localSheetId="10" hidden="1">{#N/A,#N/A,TRUE,"SUM";#N/A,#N/A,TRUE,"EE";#N/A,#N/A,TRUE,"AC";#N/A,#N/A,TRUE,"SN"}</definedName>
    <definedName name="nji" localSheetId="15" hidden="1">{#N/A,#N/A,TRUE,"SUM";#N/A,#N/A,TRUE,"EE";#N/A,#N/A,TRUE,"AC";#N/A,#N/A,TRUE,"SN"}</definedName>
    <definedName name="nji" hidden="1">{#N/A,#N/A,TRUE,"SUM";#N/A,#N/A,TRUE,"EE";#N/A,#N/A,TRUE,"AC";#N/A,#N/A,TRUE,"SN"}</definedName>
    <definedName name="nju" localSheetId="13" hidden="1">{#N/A,#N/A,TRUE,"SUM";#N/A,#N/A,TRUE,"EE";#N/A,#N/A,TRUE,"AC";#N/A,#N/A,TRUE,"SN"}</definedName>
    <definedName name="nju" localSheetId="14" hidden="1">{#N/A,#N/A,TRUE,"SUM";#N/A,#N/A,TRUE,"EE";#N/A,#N/A,TRUE,"AC";#N/A,#N/A,TRUE,"SN"}</definedName>
    <definedName name="nju" localSheetId="11" hidden="1">{#N/A,#N/A,TRUE,"SUM";#N/A,#N/A,TRUE,"EE";#N/A,#N/A,TRUE,"AC";#N/A,#N/A,TRUE,"SN"}</definedName>
    <definedName name="nju" localSheetId="10" hidden="1">{#N/A,#N/A,TRUE,"SUM";#N/A,#N/A,TRUE,"EE";#N/A,#N/A,TRUE,"AC";#N/A,#N/A,TRUE,"SN"}</definedName>
    <definedName name="nju" localSheetId="15" hidden="1">{#N/A,#N/A,TRUE,"SUM";#N/A,#N/A,TRUE,"EE";#N/A,#N/A,TRUE,"AC";#N/A,#N/A,TRUE,"SN"}</definedName>
    <definedName name="nju" hidden="1">{#N/A,#N/A,TRUE,"SUM";#N/A,#N/A,TRUE,"EE";#N/A,#N/A,TRUE,"AC";#N/A,#N/A,TRUE,"SN"}</definedName>
    <definedName name="olp" localSheetId="13" hidden="1">{#N/A,#N/A,TRUE,"SUM";#N/A,#N/A,TRUE,"EE";#N/A,#N/A,TRUE,"AC";#N/A,#N/A,TRUE,"SN"}</definedName>
    <definedName name="olp" localSheetId="14" hidden="1">{#N/A,#N/A,TRUE,"SUM";#N/A,#N/A,TRUE,"EE";#N/A,#N/A,TRUE,"AC";#N/A,#N/A,TRUE,"SN"}</definedName>
    <definedName name="olp" localSheetId="11" hidden="1">{#N/A,#N/A,TRUE,"SUM";#N/A,#N/A,TRUE,"EE";#N/A,#N/A,TRUE,"AC";#N/A,#N/A,TRUE,"SN"}</definedName>
    <definedName name="olp" localSheetId="10" hidden="1">{#N/A,#N/A,TRUE,"SUM";#N/A,#N/A,TRUE,"EE";#N/A,#N/A,TRUE,"AC";#N/A,#N/A,TRUE,"SN"}</definedName>
    <definedName name="olp" localSheetId="15" hidden="1">{#N/A,#N/A,TRUE,"SUM";#N/A,#N/A,TRUE,"EE";#N/A,#N/A,TRUE,"AC";#N/A,#N/A,TRUE,"SN"}</definedName>
    <definedName name="olp" hidden="1">{#N/A,#N/A,TRUE,"SUM";#N/A,#N/A,TRUE,"EE";#N/A,#N/A,TRUE,"AC";#N/A,#N/A,TRUE,"SN"}</definedName>
    <definedName name="ONPPS" comment="Overheads &amp; Profits /m2 excluding material, s &amp; i, supply only subcontracting">'EXECUTIVE SUMMARY'!$D$33</definedName>
    <definedName name="ONPTT" comment="Overheads &amp; Profits Total excluding material, s &amp; i, supply only subcontracting">'EXECUTIVE SUMMARY'!$B$33</definedName>
    <definedName name="Panel" localSheetId="13" hidden="1">{#N/A,#N/A,TRUE,"SUM";#N/A,#N/A,TRUE,"EE";#N/A,#N/A,TRUE,"AC";#N/A,#N/A,TRUE,"SN"}</definedName>
    <definedName name="Panel" localSheetId="14" hidden="1">{#N/A,#N/A,TRUE,"SUM";#N/A,#N/A,TRUE,"EE";#N/A,#N/A,TRUE,"AC";#N/A,#N/A,TRUE,"SN"}</definedName>
    <definedName name="Panel" localSheetId="11" hidden="1">{#N/A,#N/A,TRUE,"SUM";#N/A,#N/A,TRUE,"EE";#N/A,#N/A,TRUE,"AC";#N/A,#N/A,TRUE,"SN"}</definedName>
    <definedName name="Panel" localSheetId="10" hidden="1">{#N/A,#N/A,TRUE,"SUM";#N/A,#N/A,TRUE,"EE";#N/A,#N/A,TRUE,"AC";#N/A,#N/A,TRUE,"SN"}</definedName>
    <definedName name="Panel" localSheetId="15" hidden="1">{#N/A,#N/A,TRUE,"SUM";#N/A,#N/A,TRUE,"EE";#N/A,#N/A,TRUE,"AC";#N/A,#N/A,TRUE,"SN"}</definedName>
    <definedName name="Panel" hidden="1">{#N/A,#N/A,TRUE,"SUM";#N/A,#N/A,TRUE,"EE";#N/A,#N/A,TRUE,"AC";#N/A,#N/A,TRUE,"SN"}</definedName>
    <definedName name="PFT" comment="Profit rate">'TENDER SUMMARY'!$E$13</definedName>
    <definedName name="pp" localSheetId="13" hidden="1">{"'SUMMATION'!$B$2:$I$2"}</definedName>
    <definedName name="pp" localSheetId="14" hidden="1">{"'SUMMATION'!$B$2:$I$2"}</definedName>
    <definedName name="pp" localSheetId="11" hidden="1">{"'SUMMATION'!$B$2:$I$2"}</definedName>
    <definedName name="pp" localSheetId="10" hidden="1">{"'SUMMATION'!$B$2:$I$2"}</definedName>
    <definedName name="pp" localSheetId="15" hidden="1">{"'SUMMATION'!$B$2:$I$2"}</definedName>
    <definedName name="pp" hidden="1">{"'SUMMATION'!$B$2:$I$2"}</definedName>
    <definedName name="pri" localSheetId="13" hidden="1">{#N/A,#N/A,TRUE,"Str.";#N/A,#N/A,TRUE,"Steel &amp; Roof";#N/A,#N/A,TRUE,"Arc.";#N/A,#N/A,TRUE,"Preliminary";#N/A,#N/A,TRUE,"Sum_Prelim"}</definedName>
    <definedName name="pri" localSheetId="14" hidden="1">{#N/A,#N/A,TRUE,"Str.";#N/A,#N/A,TRUE,"Steel &amp; Roof";#N/A,#N/A,TRUE,"Arc.";#N/A,#N/A,TRUE,"Preliminary";#N/A,#N/A,TRUE,"Sum_Prelim"}</definedName>
    <definedName name="pri" localSheetId="11" hidden="1">{#N/A,#N/A,TRUE,"Str.";#N/A,#N/A,TRUE,"Steel &amp; Roof";#N/A,#N/A,TRUE,"Arc.";#N/A,#N/A,TRUE,"Preliminary";#N/A,#N/A,TRUE,"Sum_Prelim"}</definedName>
    <definedName name="pri" localSheetId="10" hidden="1">{#N/A,#N/A,TRUE,"Str.";#N/A,#N/A,TRUE,"Steel &amp; Roof";#N/A,#N/A,TRUE,"Arc.";#N/A,#N/A,TRUE,"Preliminary";#N/A,#N/A,TRUE,"Sum_Prelim"}</definedName>
    <definedName name="pri" localSheetId="15" hidden="1">{#N/A,#N/A,TRUE,"Str.";#N/A,#N/A,TRUE,"Steel &amp; Roof";#N/A,#N/A,TRUE,"Arc.";#N/A,#N/A,TRUE,"Preliminary";#N/A,#N/A,TRUE,"Sum_Prelim"}</definedName>
    <definedName name="pri" hidden="1">{#N/A,#N/A,TRUE,"Str.";#N/A,#N/A,TRUE,"Steel &amp; Roof";#N/A,#N/A,TRUE,"Arc.";#N/A,#N/A,TRUE,"Preliminary";#N/A,#N/A,TRUE,"Sum_Prelim"}</definedName>
    <definedName name="_xlnm.Print_Area" localSheetId="15">'TH-SYD AAW'!$A$1:$M$83</definedName>
    <definedName name="QEQe" localSheetId="13" hidden="1">{#N/A,#N/A,TRUE,"SUM";#N/A,#N/A,TRUE,"EE";#N/A,#N/A,TRUE,"AC";#N/A,#N/A,TRUE,"SN"}</definedName>
    <definedName name="QEQe" localSheetId="14" hidden="1">{#N/A,#N/A,TRUE,"SUM";#N/A,#N/A,TRUE,"EE";#N/A,#N/A,TRUE,"AC";#N/A,#N/A,TRUE,"SN"}</definedName>
    <definedName name="QEQe" localSheetId="11" hidden="1">{#N/A,#N/A,TRUE,"SUM";#N/A,#N/A,TRUE,"EE";#N/A,#N/A,TRUE,"AC";#N/A,#N/A,TRUE,"SN"}</definedName>
    <definedName name="QEQe" localSheetId="10" hidden="1">{#N/A,#N/A,TRUE,"SUM";#N/A,#N/A,TRUE,"EE";#N/A,#N/A,TRUE,"AC";#N/A,#N/A,TRUE,"SN"}</definedName>
    <definedName name="QEQe" localSheetId="15" hidden="1">{#N/A,#N/A,TRUE,"SUM";#N/A,#N/A,TRUE,"EE";#N/A,#N/A,TRUE,"AC";#N/A,#N/A,TRUE,"SN"}</definedName>
    <definedName name="QEQe" hidden="1">{#N/A,#N/A,TRUE,"SUM";#N/A,#N/A,TRUE,"EE";#N/A,#N/A,TRUE,"AC";#N/A,#N/A,TRUE,"SN"}</definedName>
    <definedName name="QQQ" localSheetId="13" hidden="1">{#N/A,#N/A,TRUE,"SUM";#N/A,#N/A,TRUE,"EE";#N/A,#N/A,TRUE,"AC";#N/A,#N/A,TRUE,"SN"}</definedName>
    <definedName name="QQQ" localSheetId="14" hidden="1">{#N/A,#N/A,TRUE,"SUM";#N/A,#N/A,TRUE,"EE";#N/A,#N/A,TRUE,"AC";#N/A,#N/A,TRUE,"SN"}</definedName>
    <definedName name="QQQ" localSheetId="11" hidden="1">{#N/A,#N/A,TRUE,"SUM";#N/A,#N/A,TRUE,"EE";#N/A,#N/A,TRUE,"AC";#N/A,#N/A,TRUE,"SN"}</definedName>
    <definedName name="QQQ" localSheetId="10" hidden="1">{#N/A,#N/A,TRUE,"SUM";#N/A,#N/A,TRUE,"EE";#N/A,#N/A,TRUE,"AC";#N/A,#N/A,TRUE,"SN"}</definedName>
    <definedName name="QQQ" localSheetId="15" hidden="1">{#N/A,#N/A,TRUE,"SUM";#N/A,#N/A,TRUE,"EE";#N/A,#N/A,TRUE,"AC";#N/A,#N/A,TRUE,"SN"}</definedName>
    <definedName name="QQQ" hidden="1">{#N/A,#N/A,TRUE,"SUM";#N/A,#N/A,TRUE,"EE";#N/A,#N/A,TRUE,"AC";#N/A,#N/A,TRUE,"SN"}</definedName>
    <definedName name="qrer" localSheetId="13" hidden="1">{#N/A,#N/A,TRUE,"SUM";#N/A,#N/A,TRUE,"EE";#N/A,#N/A,TRUE,"AC";#N/A,#N/A,TRUE,"SN"}</definedName>
    <definedName name="qrer" localSheetId="14" hidden="1">{#N/A,#N/A,TRUE,"SUM";#N/A,#N/A,TRUE,"EE";#N/A,#N/A,TRUE,"AC";#N/A,#N/A,TRUE,"SN"}</definedName>
    <definedName name="qrer" localSheetId="11" hidden="1">{#N/A,#N/A,TRUE,"SUM";#N/A,#N/A,TRUE,"EE";#N/A,#N/A,TRUE,"AC";#N/A,#N/A,TRUE,"SN"}</definedName>
    <definedName name="qrer" localSheetId="10" hidden="1">{#N/A,#N/A,TRUE,"SUM";#N/A,#N/A,TRUE,"EE";#N/A,#N/A,TRUE,"AC";#N/A,#N/A,TRUE,"SN"}</definedName>
    <definedName name="qrer" localSheetId="15" hidden="1">{#N/A,#N/A,TRUE,"SUM";#N/A,#N/A,TRUE,"EE";#N/A,#N/A,TRUE,"AC";#N/A,#N/A,TRUE,"SN"}</definedName>
    <definedName name="qrer" hidden="1">{#N/A,#N/A,TRUE,"SUM";#N/A,#N/A,TRUE,"EE";#N/A,#N/A,TRUE,"AC";#N/A,#N/A,TRUE,"SN"}</definedName>
    <definedName name="qrqr" localSheetId="13" hidden="1">{#N/A,#N/A,TRUE,"SUM";#N/A,#N/A,TRUE,"EE";#N/A,#N/A,TRUE,"AC";#N/A,#N/A,TRUE,"SN"}</definedName>
    <definedName name="qrqr" localSheetId="14" hidden="1">{#N/A,#N/A,TRUE,"SUM";#N/A,#N/A,TRUE,"EE";#N/A,#N/A,TRUE,"AC";#N/A,#N/A,TRUE,"SN"}</definedName>
    <definedName name="qrqr" localSheetId="11" hidden="1">{#N/A,#N/A,TRUE,"SUM";#N/A,#N/A,TRUE,"EE";#N/A,#N/A,TRUE,"AC";#N/A,#N/A,TRUE,"SN"}</definedName>
    <definedName name="qrqr" localSheetId="10" hidden="1">{#N/A,#N/A,TRUE,"SUM";#N/A,#N/A,TRUE,"EE";#N/A,#N/A,TRUE,"AC";#N/A,#N/A,TRUE,"SN"}</definedName>
    <definedName name="qrqr" localSheetId="15" hidden="1">{#N/A,#N/A,TRUE,"SUM";#N/A,#N/A,TRUE,"EE";#N/A,#N/A,TRUE,"AC";#N/A,#N/A,TRUE,"SN"}</definedName>
    <definedName name="qrqr" hidden="1">{#N/A,#N/A,TRUE,"SUM";#N/A,#N/A,TRUE,"EE";#N/A,#N/A,TRUE,"AC";#N/A,#N/A,TRUE,"SN"}</definedName>
    <definedName name="qrrwetr" localSheetId="13" hidden="1">{#N/A,#N/A,TRUE,"SUM";#N/A,#N/A,TRUE,"EE";#N/A,#N/A,TRUE,"AC";#N/A,#N/A,TRUE,"SN"}</definedName>
    <definedName name="qrrwetr" localSheetId="14" hidden="1">{#N/A,#N/A,TRUE,"SUM";#N/A,#N/A,TRUE,"EE";#N/A,#N/A,TRUE,"AC";#N/A,#N/A,TRUE,"SN"}</definedName>
    <definedName name="qrrwetr" localSheetId="11" hidden="1">{#N/A,#N/A,TRUE,"SUM";#N/A,#N/A,TRUE,"EE";#N/A,#N/A,TRUE,"AC";#N/A,#N/A,TRUE,"SN"}</definedName>
    <definedName name="qrrwetr" localSheetId="10" hidden="1">{#N/A,#N/A,TRUE,"SUM";#N/A,#N/A,TRUE,"EE";#N/A,#N/A,TRUE,"AC";#N/A,#N/A,TRUE,"SN"}</definedName>
    <definedName name="qrrwetr" localSheetId="15" hidden="1">{#N/A,#N/A,TRUE,"SUM";#N/A,#N/A,TRUE,"EE";#N/A,#N/A,TRUE,"AC";#N/A,#N/A,TRUE,"SN"}</definedName>
    <definedName name="qrrwetr" hidden="1">{#N/A,#N/A,TRUE,"SUM";#N/A,#N/A,TRUE,"EE";#N/A,#N/A,TRUE,"AC";#N/A,#N/A,TRUE,"SN"}</definedName>
    <definedName name="qwrr" localSheetId="13" hidden="1">{#N/A,#N/A,TRUE,"SUM";#N/A,#N/A,TRUE,"EE";#N/A,#N/A,TRUE,"AC";#N/A,#N/A,TRUE,"SN"}</definedName>
    <definedName name="qwrr" localSheetId="14" hidden="1">{#N/A,#N/A,TRUE,"SUM";#N/A,#N/A,TRUE,"EE";#N/A,#N/A,TRUE,"AC";#N/A,#N/A,TRUE,"SN"}</definedName>
    <definedName name="qwrr" localSheetId="11" hidden="1">{#N/A,#N/A,TRUE,"SUM";#N/A,#N/A,TRUE,"EE";#N/A,#N/A,TRUE,"AC";#N/A,#N/A,TRUE,"SN"}</definedName>
    <definedName name="qwrr" localSheetId="10" hidden="1">{#N/A,#N/A,TRUE,"SUM";#N/A,#N/A,TRUE,"EE";#N/A,#N/A,TRUE,"AC";#N/A,#N/A,TRUE,"SN"}</definedName>
    <definedName name="qwrr" localSheetId="15" hidden="1">{#N/A,#N/A,TRUE,"SUM";#N/A,#N/A,TRUE,"EE";#N/A,#N/A,TRUE,"AC";#N/A,#N/A,TRUE,"SN"}</definedName>
    <definedName name="qwrr" hidden="1">{#N/A,#N/A,TRUE,"SUM";#N/A,#N/A,TRUE,"EE";#N/A,#N/A,TRUE,"AC";#N/A,#N/A,TRUE,"SN"}</definedName>
    <definedName name="rdry" localSheetId="13" hidden="1">{#N/A,#N/A,TRUE,"SUM";#N/A,#N/A,TRUE,"EE";#N/A,#N/A,TRUE,"AC";#N/A,#N/A,TRUE,"SN"}</definedName>
    <definedName name="rdry" localSheetId="14" hidden="1">{#N/A,#N/A,TRUE,"SUM";#N/A,#N/A,TRUE,"EE";#N/A,#N/A,TRUE,"AC";#N/A,#N/A,TRUE,"SN"}</definedName>
    <definedName name="rdry" localSheetId="11" hidden="1">{#N/A,#N/A,TRUE,"SUM";#N/A,#N/A,TRUE,"EE";#N/A,#N/A,TRUE,"AC";#N/A,#N/A,TRUE,"SN"}</definedName>
    <definedName name="rdry" localSheetId="10" hidden="1">{#N/A,#N/A,TRUE,"SUM";#N/A,#N/A,TRUE,"EE";#N/A,#N/A,TRUE,"AC";#N/A,#N/A,TRUE,"SN"}</definedName>
    <definedName name="rdry" localSheetId="15" hidden="1">{#N/A,#N/A,TRUE,"SUM";#N/A,#N/A,TRUE,"EE";#N/A,#N/A,TRUE,"AC";#N/A,#N/A,TRUE,"SN"}</definedName>
    <definedName name="rdry" hidden="1">{#N/A,#N/A,TRUE,"SUM";#N/A,#N/A,TRUE,"EE";#N/A,#N/A,TRUE,"AC";#N/A,#N/A,TRUE,"SN"}</definedName>
    <definedName name="_xlnm.Recorder" localSheetId="11" hidden="1">#REF!</definedName>
    <definedName name="_xlnm.Recorder" localSheetId="2" hidden="1">#REF!</definedName>
    <definedName name="_xlnm.Recorder" localSheetId="15" hidden="1">#REF!</definedName>
    <definedName name="_xlnm.Recorder" hidden="1">#REF!</definedName>
    <definedName name="rewrwe" localSheetId="13" hidden="1">{#N/A,#N/A,TRUE,"SUM";#N/A,#N/A,TRUE,"EE";#N/A,#N/A,TRUE,"AC";#N/A,#N/A,TRUE,"SN"}</definedName>
    <definedName name="rewrwe" localSheetId="14" hidden="1">{#N/A,#N/A,TRUE,"SUM";#N/A,#N/A,TRUE,"EE";#N/A,#N/A,TRUE,"AC";#N/A,#N/A,TRUE,"SN"}</definedName>
    <definedName name="rewrwe" localSheetId="11" hidden="1">{#N/A,#N/A,TRUE,"SUM";#N/A,#N/A,TRUE,"EE";#N/A,#N/A,TRUE,"AC";#N/A,#N/A,TRUE,"SN"}</definedName>
    <definedName name="rewrwe" localSheetId="10" hidden="1">{#N/A,#N/A,TRUE,"SUM";#N/A,#N/A,TRUE,"EE";#N/A,#N/A,TRUE,"AC";#N/A,#N/A,TRUE,"SN"}</definedName>
    <definedName name="rewrwe" localSheetId="15" hidden="1">{#N/A,#N/A,TRUE,"SUM";#N/A,#N/A,TRUE,"EE";#N/A,#N/A,TRUE,"AC";#N/A,#N/A,TRUE,"SN"}</definedName>
    <definedName name="rewrwe" hidden="1">{#N/A,#N/A,TRUE,"SUM";#N/A,#N/A,TRUE,"EE";#N/A,#N/A,TRUE,"AC";#N/A,#N/A,TRUE,"SN"}</definedName>
    <definedName name="rgyjh" localSheetId="13" hidden="1">{#N/A,#N/A,TRUE,"SUM";#N/A,#N/A,TRUE,"EE";#N/A,#N/A,TRUE,"AC";#N/A,#N/A,TRUE,"SN"}</definedName>
    <definedName name="rgyjh" localSheetId="14" hidden="1">{#N/A,#N/A,TRUE,"SUM";#N/A,#N/A,TRUE,"EE";#N/A,#N/A,TRUE,"AC";#N/A,#N/A,TRUE,"SN"}</definedName>
    <definedName name="rgyjh" localSheetId="11" hidden="1">{#N/A,#N/A,TRUE,"SUM";#N/A,#N/A,TRUE,"EE";#N/A,#N/A,TRUE,"AC";#N/A,#N/A,TRUE,"SN"}</definedName>
    <definedName name="rgyjh" localSheetId="10" hidden="1">{#N/A,#N/A,TRUE,"SUM";#N/A,#N/A,TRUE,"EE";#N/A,#N/A,TRUE,"AC";#N/A,#N/A,TRUE,"SN"}</definedName>
    <definedName name="rgyjh" localSheetId="15" hidden="1">{#N/A,#N/A,TRUE,"SUM";#N/A,#N/A,TRUE,"EE";#N/A,#N/A,TRUE,"AC";#N/A,#N/A,TRUE,"SN"}</definedName>
    <definedName name="rgyjh" hidden="1">{#N/A,#N/A,TRUE,"SUM";#N/A,#N/A,TRUE,"EE";#N/A,#N/A,TRUE,"AC";#N/A,#N/A,TRUE,"SN"}</definedName>
    <definedName name="rtf" localSheetId="13" hidden="1">{#N/A,#N/A,TRUE,"SUM";#N/A,#N/A,TRUE,"EE";#N/A,#N/A,TRUE,"AC";#N/A,#N/A,TRUE,"SN"}</definedName>
    <definedName name="rtf" localSheetId="14" hidden="1">{#N/A,#N/A,TRUE,"SUM";#N/A,#N/A,TRUE,"EE";#N/A,#N/A,TRUE,"AC";#N/A,#N/A,TRUE,"SN"}</definedName>
    <definedName name="rtf" localSheetId="11" hidden="1">{#N/A,#N/A,TRUE,"SUM";#N/A,#N/A,TRUE,"EE";#N/A,#N/A,TRUE,"AC";#N/A,#N/A,TRUE,"SN"}</definedName>
    <definedName name="rtf" localSheetId="10" hidden="1">{#N/A,#N/A,TRUE,"SUM";#N/A,#N/A,TRUE,"EE";#N/A,#N/A,TRUE,"AC";#N/A,#N/A,TRUE,"SN"}</definedName>
    <definedName name="rtf" localSheetId="15" hidden="1">{#N/A,#N/A,TRUE,"SUM";#N/A,#N/A,TRUE,"EE";#N/A,#N/A,TRUE,"AC";#N/A,#N/A,TRUE,"SN"}</definedName>
    <definedName name="rtf" hidden="1">{#N/A,#N/A,TRUE,"SUM";#N/A,#N/A,TRUE,"EE";#N/A,#N/A,TRUE,"AC";#N/A,#N/A,TRUE,"SN"}</definedName>
    <definedName name="rtr" localSheetId="13" hidden="1">{#N/A,#N/A,TRUE,"SUM";#N/A,#N/A,TRUE,"EE";#N/A,#N/A,TRUE,"AC";#N/A,#N/A,TRUE,"SN"}</definedName>
    <definedName name="rtr" localSheetId="14" hidden="1">{#N/A,#N/A,TRUE,"SUM";#N/A,#N/A,TRUE,"EE";#N/A,#N/A,TRUE,"AC";#N/A,#N/A,TRUE,"SN"}</definedName>
    <definedName name="rtr" localSheetId="11" hidden="1">{#N/A,#N/A,TRUE,"SUM";#N/A,#N/A,TRUE,"EE";#N/A,#N/A,TRUE,"AC";#N/A,#N/A,TRUE,"SN"}</definedName>
    <definedName name="rtr" localSheetId="10" hidden="1">{#N/A,#N/A,TRUE,"SUM";#N/A,#N/A,TRUE,"EE";#N/A,#N/A,TRUE,"AC";#N/A,#N/A,TRUE,"SN"}</definedName>
    <definedName name="rtr" localSheetId="15" hidden="1">{#N/A,#N/A,TRUE,"SUM";#N/A,#N/A,TRUE,"EE";#N/A,#N/A,TRUE,"AC";#N/A,#N/A,TRUE,"SN"}</definedName>
    <definedName name="rtr" hidden="1">{#N/A,#N/A,TRUE,"SUM";#N/A,#N/A,TRUE,"EE";#N/A,#N/A,TRUE,"AC";#N/A,#N/A,TRUE,"SN"}</definedName>
    <definedName name="rtret" localSheetId="13" hidden="1">{#N/A,#N/A,TRUE,"SUM";#N/A,#N/A,TRUE,"EE";#N/A,#N/A,TRUE,"AC";#N/A,#N/A,TRUE,"SN"}</definedName>
    <definedName name="rtret" localSheetId="14" hidden="1">{#N/A,#N/A,TRUE,"SUM";#N/A,#N/A,TRUE,"EE";#N/A,#N/A,TRUE,"AC";#N/A,#N/A,TRUE,"SN"}</definedName>
    <definedName name="rtret" localSheetId="11" hidden="1">{#N/A,#N/A,TRUE,"SUM";#N/A,#N/A,TRUE,"EE";#N/A,#N/A,TRUE,"AC";#N/A,#N/A,TRUE,"SN"}</definedName>
    <definedName name="rtret" localSheetId="10" hidden="1">{#N/A,#N/A,TRUE,"SUM";#N/A,#N/A,TRUE,"EE";#N/A,#N/A,TRUE,"AC";#N/A,#N/A,TRUE,"SN"}</definedName>
    <definedName name="rtret" localSheetId="15" hidden="1">{#N/A,#N/A,TRUE,"SUM";#N/A,#N/A,TRUE,"EE";#N/A,#N/A,TRUE,"AC";#N/A,#N/A,TRUE,"SN"}</definedName>
    <definedName name="rtret" hidden="1">{#N/A,#N/A,TRUE,"SUM";#N/A,#N/A,TRUE,"EE";#N/A,#N/A,TRUE,"AC";#N/A,#N/A,TRUE,"SN"}</definedName>
    <definedName name="rtrey" localSheetId="13" hidden="1">{#N/A,#N/A,TRUE,"SUM";#N/A,#N/A,TRUE,"EE";#N/A,#N/A,TRUE,"AC";#N/A,#N/A,TRUE,"SN"}</definedName>
    <definedName name="rtrey" localSheetId="14" hidden="1">{#N/A,#N/A,TRUE,"SUM";#N/A,#N/A,TRUE,"EE";#N/A,#N/A,TRUE,"AC";#N/A,#N/A,TRUE,"SN"}</definedName>
    <definedName name="rtrey" localSheetId="11" hidden="1">{#N/A,#N/A,TRUE,"SUM";#N/A,#N/A,TRUE,"EE";#N/A,#N/A,TRUE,"AC";#N/A,#N/A,TRUE,"SN"}</definedName>
    <definedName name="rtrey" localSheetId="10" hidden="1">{#N/A,#N/A,TRUE,"SUM";#N/A,#N/A,TRUE,"EE";#N/A,#N/A,TRUE,"AC";#N/A,#N/A,TRUE,"SN"}</definedName>
    <definedName name="rtrey" localSheetId="15" hidden="1">{#N/A,#N/A,TRUE,"SUM";#N/A,#N/A,TRUE,"EE";#N/A,#N/A,TRUE,"AC";#N/A,#N/A,TRUE,"SN"}</definedName>
    <definedName name="rtrey" hidden="1">{#N/A,#N/A,TRUE,"SUM";#N/A,#N/A,TRUE,"EE";#N/A,#N/A,TRUE,"AC";#N/A,#N/A,TRUE,"SN"}</definedName>
    <definedName name="saEda" localSheetId="13" hidden="1">{#N/A,#N/A,TRUE,"SUM";#N/A,#N/A,TRUE,"EE";#N/A,#N/A,TRUE,"AC";#N/A,#N/A,TRUE,"SN"}</definedName>
    <definedName name="saEda" localSheetId="14" hidden="1">{#N/A,#N/A,TRUE,"SUM";#N/A,#N/A,TRUE,"EE";#N/A,#N/A,TRUE,"AC";#N/A,#N/A,TRUE,"SN"}</definedName>
    <definedName name="saEda" localSheetId="11" hidden="1">{#N/A,#N/A,TRUE,"SUM";#N/A,#N/A,TRUE,"EE";#N/A,#N/A,TRUE,"AC";#N/A,#N/A,TRUE,"SN"}</definedName>
    <definedName name="saEda" localSheetId="10" hidden="1">{#N/A,#N/A,TRUE,"SUM";#N/A,#N/A,TRUE,"EE";#N/A,#N/A,TRUE,"AC";#N/A,#N/A,TRUE,"SN"}</definedName>
    <definedName name="saEda" localSheetId="15" hidden="1">{#N/A,#N/A,TRUE,"SUM";#N/A,#N/A,TRUE,"EE";#N/A,#N/A,TRUE,"AC";#N/A,#N/A,TRUE,"SN"}</definedName>
    <definedName name="saEda" hidden="1">{#N/A,#N/A,TRUE,"SUM";#N/A,#N/A,TRUE,"EE";#N/A,#N/A,TRUE,"AC";#N/A,#N/A,TRUE,"SN"}</definedName>
    <definedName name="SD" localSheetId="13" hidden="1">{#N/A,#N/A,TRUE,"Str.";#N/A,#N/A,TRUE,"Steel &amp; Roof";#N/A,#N/A,TRUE,"Arc.";#N/A,#N/A,TRUE,"Preliminary";#N/A,#N/A,TRUE,"Sum_Prelim"}</definedName>
    <definedName name="SD" localSheetId="14" hidden="1">{#N/A,#N/A,TRUE,"Str.";#N/A,#N/A,TRUE,"Steel &amp; Roof";#N/A,#N/A,TRUE,"Arc.";#N/A,#N/A,TRUE,"Preliminary";#N/A,#N/A,TRUE,"Sum_Prelim"}</definedName>
    <definedName name="SD" localSheetId="11" hidden="1">{#N/A,#N/A,TRUE,"Str.";#N/A,#N/A,TRUE,"Steel &amp; Roof";#N/A,#N/A,TRUE,"Arc.";#N/A,#N/A,TRUE,"Preliminary";#N/A,#N/A,TRUE,"Sum_Prelim"}</definedName>
    <definedName name="SD" localSheetId="10" hidden="1">{#N/A,#N/A,TRUE,"Str.";#N/A,#N/A,TRUE,"Steel &amp; Roof";#N/A,#N/A,TRUE,"Arc.";#N/A,#N/A,TRUE,"Preliminary";#N/A,#N/A,TRUE,"Sum_Prelim"}</definedName>
    <definedName name="SD" localSheetId="15" hidden="1">{#N/A,#N/A,TRUE,"Str.";#N/A,#N/A,TRUE,"Steel &amp; Roof";#N/A,#N/A,TRUE,"Arc.";#N/A,#N/A,TRUE,"Preliminary";#N/A,#N/A,TRUE,"Sum_Prelim"}</definedName>
    <definedName name="SD" hidden="1">{#N/A,#N/A,TRUE,"Str.";#N/A,#N/A,TRUE,"Steel &amp; Roof";#N/A,#N/A,TRUE,"Arc.";#N/A,#N/A,TRUE,"Preliminary";#N/A,#N/A,TRUE,"Sum_Prelim"}</definedName>
    <definedName name="SDFSD" localSheetId="13" hidden="1">{#N/A,#N/A,TRUE,"SUM";#N/A,#N/A,TRUE,"EE";#N/A,#N/A,TRUE,"AC";#N/A,#N/A,TRUE,"SN"}</definedName>
    <definedName name="SDFSD" localSheetId="14" hidden="1">{#N/A,#N/A,TRUE,"SUM";#N/A,#N/A,TRUE,"EE";#N/A,#N/A,TRUE,"AC";#N/A,#N/A,TRUE,"SN"}</definedName>
    <definedName name="SDFSD" localSheetId="11" hidden="1">{#N/A,#N/A,TRUE,"SUM";#N/A,#N/A,TRUE,"EE";#N/A,#N/A,TRUE,"AC";#N/A,#N/A,TRUE,"SN"}</definedName>
    <definedName name="SDFSD" localSheetId="10" hidden="1">{#N/A,#N/A,TRUE,"SUM";#N/A,#N/A,TRUE,"EE";#N/A,#N/A,TRUE,"AC";#N/A,#N/A,TRUE,"SN"}</definedName>
    <definedName name="SDFSD" localSheetId="15" hidden="1">{#N/A,#N/A,TRUE,"SUM";#N/A,#N/A,TRUE,"EE";#N/A,#N/A,TRUE,"AC";#N/A,#N/A,TRUE,"SN"}</definedName>
    <definedName name="SDFSD" hidden="1">{#N/A,#N/A,TRUE,"SUM";#N/A,#N/A,TRUE,"EE";#N/A,#N/A,TRUE,"AC";#N/A,#N/A,TRUE,"SN"}</definedName>
    <definedName name="sdfsdgsg" localSheetId="13" hidden="1">{#N/A,#N/A,TRUE,"SUM";#N/A,#N/A,TRUE,"EE";#N/A,#N/A,TRUE,"AC";#N/A,#N/A,TRUE,"SN"}</definedName>
    <definedName name="sdfsdgsg" localSheetId="14" hidden="1">{#N/A,#N/A,TRUE,"SUM";#N/A,#N/A,TRUE,"EE";#N/A,#N/A,TRUE,"AC";#N/A,#N/A,TRUE,"SN"}</definedName>
    <definedName name="sdfsdgsg" localSheetId="11" hidden="1">{#N/A,#N/A,TRUE,"SUM";#N/A,#N/A,TRUE,"EE";#N/A,#N/A,TRUE,"AC";#N/A,#N/A,TRUE,"SN"}</definedName>
    <definedName name="sdfsdgsg" localSheetId="10" hidden="1">{#N/A,#N/A,TRUE,"SUM";#N/A,#N/A,TRUE,"EE";#N/A,#N/A,TRUE,"AC";#N/A,#N/A,TRUE,"SN"}</definedName>
    <definedName name="sdfsdgsg" localSheetId="15" hidden="1">{#N/A,#N/A,TRUE,"SUM";#N/A,#N/A,TRUE,"EE";#N/A,#N/A,TRUE,"AC";#N/A,#N/A,TRUE,"SN"}</definedName>
    <definedName name="sdfsdgsg" hidden="1">{#N/A,#N/A,TRUE,"SUM";#N/A,#N/A,TRUE,"EE";#N/A,#N/A,TRUE,"AC";#N/A,#N/A,TRUE,"SN"}</definedName>
    <definedName name="sdfzs" localSheetId="13" hidden="1">{#N/A,#N/A,TRUE,"SUM";#N/A,#N/A,TRUE,"EE";#N/A,#N/A,TRUE,"AC";#N/A,#N/A,TRUE,"SN"}</definedName>
    <definedName name="sdfzs" localSheetId="14" hidden="1">{#N/A,#N/A,TRUE,"SUM";#N/A,#N/A,TRUE,"EE";#N/A,#N/A,TRUE,"AC";#N/A,#N/A,TRUE,"SN"}</definedName>
    <definedName name="sdfzs" localSheetId="11" hidden="1">{#N/A,#N/A,TRUE,"SUM";#N/A,#N/A,TRUE,"EE";#N/A,#N/A,TRUE,"AC";#N/A,#N/A,TRUE,"SN"}</definedName>
    <definedName name="sdfzs" localSheetId="10" hidden="1">{#N/A,#N/A,TRUE,"SUM";#N/A,#N/A,TRUE,"EE";#N/A,#N/A,TRUE,"AC";#N/A,#N/A,TRUE,"SN"}</definedName>
    <definedName name="sdfzs" localSheetId="15" hidden="1">{#N/A,#N/A,TRUE,"SUM";#N/A,#N/A,TRUE,"EE";#N/A,#N/A,TRUE,"AC";#N/A,#N/A,TRUE,"SN"}</definedName>
    <definedName name="sdfzs" hidden="1">{#N/A,#N/A,TRUE,"SUM";#N/A,#N/A,TRUE,"EE";#N/A,#N/A,TRUE,"AC";#N/A,#N/A,TRUE,"SN"}</definedName>
    <definedName name="sdgdfsh" localSheetId="13" hidden="1">{#N/A,#N/A,TRUE,"SUM";#N/A,#N/A,TRUE,"EE";#N/A,#N/A,TRUE,"AC";#N/A,#N/A,TRUE,"SN"}</definedName>
    <definedName name="sdgdfsh" localSheetId="14" hidden="1">{#N/A,#N/A,TRUE,"SUM";#N/A,#N/A,TRUE,"EE";#N/A,#N/A,TRUE,"AC";#N/A,#N/A,TRUE,"SN"}</definedName>
    <definedName name="sdgdfsh" localSheetId="11" hidden="1">{#N/A,#N/A,TRUE,"SUM";#N/A,#N/A,TRUE,"EE";#N/A,#N/A,TRUE,"AC";#N/A,#N/A,TRUE,"SN"}</definedName>
    <definedName name="sdgdfsh" localSheetId="10" hidden="1">{#N/A,#N/A,TRUE,"SUM";#N/A,#N/A,TRUE,"EE";#N/A,#N/A,TRUE,"AC";#N/A,#N/A,TRUE,"SN"}</definedName>
    <definedName name="sdgdfsh" localSheetId="15" hidden="1">{#N/A,#N/A,TRUE,"SUM";#N/A,#N/A,TRUE,"EE";#N/A,#N/A,TRUE,"AC";#N/A,#N/A,TRUE,"SN"}</definedName>
    <definedName name="sdgdfsh" hidden="1">{#N/A,#N/A,TRUE,"SUM";#N/A,#N/A,TRUE,"EE";#N/A,#N/A,TRUE,"AC";#N/A,#N/A,TRUE,"SN"}</definedName>
    <definedName name="sertet" localSheetId="13" hidden="1">{#N/A,#N/A,TRUE,"SUM";#N/A,#N/A,TRUE,"EE";#N/A,#N/A,TRUE,"AC";#N/A,#N/A,TRUE,"SN"}</definedName>
    <definedName name="sertet" localSheetId="14" hidden="1">{#N/A,#N/A,TRUE,"SUM";#N/A,#N/A,TRUE,"EE";#N/A,#N/A,TRUE,"AC";#N/A,#N/A,TRUE,"SN"}</definedName>
    <definedName name="sertet" localSheetId="11" hidden="1">{#N/A,#N/A,TRUE,"SUM";#N/A,#N/A,TRUE,"EE";#N/A,#N/A,TRUE,"AC";#N/A,#N/A,TRUE,"SN"}</definedName>
    <definedName name="sertet" localSheetId="10" hidden="1">{#N/A,#N/A,TRUE,"SUM";#N/A,#N/A,TRUE,"EE";#N/A,#N/A,TRUE,"AC";#N/A,#N/A,TRUE,"SN"}</definedName>
    <definedName name="sertet" localSheetId="15" hidden="1">{#N/A,#N/A,TRUE,"SUM";#N/A,#N/A,TRUE,"EE";#N/A,#N/A,TRUE,"AC";#N/A,#N/A,TRUE,"SN"}</definedName>
    <definedName name="sertet" hidden="1">{#N/A,#N/A,TRUE,"SUM";#N/A,#N/A,TRUE,"EE";#N/A,#N/A,TRUE,"AC";#N/A,#N/A,TRUE,"SN"}</definedName>
    <definedName name="sgg" localSheetId="13" hidden="1">{#N/A,#N/A,TRUE,"SUM";#N/A,#N/A,TRUE,"EE";#N/A,#N/A,TRUE,"AC";#N/A,#N/A,TRUE,"SN"}</definedName>
    <definedName name="sgg" localSheetId="14" hidden="1">{#N/A,#N/A,TRUE,"SUM";#N/A,#N/A,TRUE,"EE";#N/A,#N/A,TRUE,"AC";#N/A,#N/A,TRUE,"SN"}</definedName>
    <definedName name="sgg" localSheetId="11" hidden="1">{#N/A,#N/A,TRUE,"SUM";#N/A,#N/A,TRUE,"EE";#N/A,#N/A,TRUE,"AC";#N/A,#N/A,TRUE,"SN"}</definedName>
    <definedName name="sgg" localSheetId="10" hidden="1">{#N/A,#N/A,TRUE,"SUM";#N/A,#N/A,TRUE,"EE";#N/A,#N/A,TRUE,"AC";#N/A,#N/A,TRUE,"SN"}</definedName>
    <definedName name="sgg" localSheetId="15" hidden="1">{#N/A,#N/A,TRUE,"SUM";#N/A,#N/A,TRUE,"EE";#N/A,#N/A,TRUE,"AC";#N/A,#N/A,TRUE,"SN"}</definedName>
    <definedName name="sgg" hidden="1">{#N/A,#N/A,TRUE,"SUM";#N/A,#N/A,TRUE,"EE";#N/A,#N/A,TRUE,"AC";#N/A,#N/A,TRUE,"SN"}</definedName>
    <definedName name="sgrhg" localSheetId="13" hidden="1">{#N/A,#N/A,TRUE,"SUM";#N/A,#N/A,TRUE,"EE";#N/A,#N/A,TRUE,"AC";#N/A,#N/A,TRUE,"SN"}</definedName>
    <definedName name="sgrhg" localSheetId="14" hidden="1">{#N/A,#N/A,TRUE,"SUM";#N/A,#N/A,TRUE,"EE";#N/A,#N/A,TRUE,"AC";#N/A,#N/A,TRUE,"SN"}</definedName>
    <definedName name="sgrhg" localSheetId="11" hidden="1">{#N/A,#N/A,TRUE,"SUM";#N/A,#N/A,TRUE,"EE";#N/A,#N/A,TRUE,"AC";#N/A,#N/A,TRUE,"SN"}</definedName>
    <definedName name="sgrhg" localSheetId="10" hidden="1">{#N/A,#N/A,TRUE,"SUM";#N/A,#N/A,TRUE,"EE";#N/A,#N/A,TRUE,"AC";#N/A,#N/A,TRUE,"SN"}</definedName>
    <definedName name="sgrhg" localSheetId="15" hidden="1">{#N/A,#N/A,TRUE,"SUM";#N/A,#N/A,TRUE,"EE";#N/A,#N/A,TRUE,"AC";#N/A,#N/A,TRUE,"SN"}</definedName>
    <definedName name="sgrhg" hidden="1">{#N/A,#N/A,TRUE,"SUM";#N/A,#N/A,TRUE,"EE";#N/A,#N/A,TRUE,"AC";#N/A,#N/A,TRUE,"SN"}</definedName>
    <definedName name="shgh" localSheetId="13" hidden="1">{#N/A,#N/A,TRUE,"SUM";#N/A,#N/A,TRUE,"EE";#N/A,#N/A,TRUE,"AC";#N/A,#N/A,TRUE,"SN"}</definedName>
    <definedName name="shgh" localSheetId="14" hidden="1">{#N/A,#N/A,TRUE,"SUM";#N/A,#N/A,TRUE,"EE";#N/A,#N/A,TRUE,"AC";#N/A,#N/A,TRUE,"SN"}</definedName>
    <definedName name="shgh" localSheetId="11" hidden="1">{#N/A,#N/A,TRUE,"SUM";#N/A,#N/A,TRUE,"EE";#N/A,#N/A,TRUE,"AC";#N/A,#N/A,TRUE,"SN"}</definedName>
    <definedName name="shgh" localSheetId="10" hidden="1">{#N/A,#N/A,TRUE,"SUM";#N/A,#N/A,TRUE,"EE";#N/A,#N/A,TRUE,"AC";#N/A,#N/A,TRUE,"SN"}</definedName>
    <definedName name="shgh" localSheetId="15" hidden="1">{#N/A,#N/A,TRUE,"SUM";#N/A,#N/A,TRUE,"EE";#N/A,#N/A,TRUE,"AC";#N/A,#N/A,TRUE,"SN"}</definedName>
    <definedName name="shgh" hidden="1">{#N/A,#N/A,TRUE,"SUM";#N/A,#N/A,TRUE,"EE";#N/A,#N/A,TRUE,"AC";#N/A,#N/A,TRUE,"SN"}</definedName>
    <definedName name="Slicer_Price_By1">#N/A</definedName>
    <definedName name="so" localSheetId="13" hidden="1">{#N/A,#N/A,TRUE,"SUM";#N/A,#N/A,TRUE,"EE";#N/A,#N/A,TRUE,"AC";#N/A,#N/A,TRUE,"SN"}</definedName>
    <definedName name="so" localSheetId="14" hidden="1">{#N/A,#N/A,TRUE,"SUM";#N/A,#N/A,TRUE,"EE";#N/A,#N/A,TRUE,"AC";#N/A,#N/A,TRUE,"SN"}</definedName>
    <definedName name="so" localSheetId="11" hidden="1">{#N/A,#N/A,TRUE,"SUM";#N/A,#N/A,TRUE,"EE";#N/A,#N/A,TRUE,"AC";#N/A,#N/A,TRUE,"SN"}</definedName>
    <definedName name="so" localSheetId="10" hidden="1">{#N/A,#N/A,TRUE,"SUM";#N/A,#N/A,TRUE,"EE";#N/A,#N/A,TRUE,"AC";#N/A,#N/A,TRUE,"SN"}</definedName>
    <definedName name="so" localSheetId="15" hidden="1">{#N/A,#N/A,TRUE,"SUM";#N/A,#N/A,TRUE,"EE";#N/A,#N/A,TRUE,"AC";#N/A,#N/A,TRUE,"SN"}</definedName>
    <definedName name="so" hidden="1">{#N/A,#N/A,TRUE,"SUM";#N/A,#N/A,TRUE,"EE";#N/A,#N/A,TRUE,"AC";#N/A,#N/A,TRUE,"SN"}</definedName>
    <definedName name="SQM" localSheetId="11">'[5]TENDER SUMMARY'!$G$7</definedName>
    <definedName name="SQM" localSheetId="15">'[5]TENDER SUMMARY'!$G$7</definedName>
    <definedName name="SQM">'TENDER SUMMARY'!$G$7</definedName>
    <definedName name="sre" localSheetId="13" hidden="1">{#N/A,#N/A,TRUE,"SUM";#N/A,#N/A,TRUE,"EE";#N/A,#N/A,TRUE,"AC";#N/A,#N/A,TRUE,"SN"}</definedName>
    <definedName name="sre" localSheetId="14" hidden="1">{#N/A,#N/A,TRUE,"SUM";#N/A,#N/A,TRUE,"EE";#N/A,#N/A,TRUE,"AC";#N/A,#N/A,TRUE,"SN"}</definedName>
    <definedName name="sre" localSheetId="11" hidden="1">{#N/A,#N/A,TRUE,"SUM";#N/A,#N/A,TRUE,"EE";#N/A,#N/A,TRUE,"AC";#N/A,#N/A,TRUE,"SN"}</definedName>
    <definedName name="sre" localSheetId="10" hidden="1">{#N/A,#N/A,TRUE,"SUM";#N/A,#N/A,TRUE,"EE";#N/A,#N/A,TRUE,"AC";#N/A,#N/A,TRUE,"SN"}</definedName>
    <definedName name="sre" localSheetId="15" hidden="1">{#N/A,#N/A,TRUE,"SUM";#N/A,#N/A,TRUE,"EE";#N/A,#N/A,TRUE,"AC";#N/A,#N/A,TRUE,"SN"}</definedName>
    <definedName name="sre" hidden="1">{#N/A,#N/A,TRUE,"SUM";#N/A,#N/A,TRUE,"EE";#N/A,#N/A,TRUE,"AC";#N/A,#N/A,TRUE,"SN"}</definedName>
    <definedName name="srsf" localSheetId="13" hidden="1">{#N/A,#N/A,TRUE,"SUM";#N/A,#N/A,TRUE,"EE";#N/A,#N/A,TRUE,"AC";#N/A,#N/A,TRUE,"SN"}</definedName>
    <definedName name="srsf" localSheetId="14" hidden="1">{#N/A,#N/A,TRUE,"SUM";#N/A,#N/A,TRUE,"EE";#N/A,#N/A,TRUE,"AC";#N/A,#N/A,TRUE,"SN"}</definedName>
    <definedName name="srsf" localSheetId="11" hidden="1">{#N/A,#N/A,TRUE,"SUM";#N/A,#N/A,TRUE,"EE";#N/A,#N/A,TRUE,"AC";#N/A,#N/A,TRUE,"SN"}</definedName>
    <definedName name="srsf" localSheetId="10" hidden="1">{#N/A,#N/A,TRUE,"SUM";#N/A,#N/A,TRUE,"EE";#N/A,#N/A,TRUE,"AC";#N/A,#N/A,TRUE,"SN"}</definedName>
    <definedName name="srsf" localSheetId="15" hidden="1">{#N/A,#N/A,TRUE,"SUM";#N/A,#N/A,TRUE,"EE";#N/A,#N/A,TRUE,"AC";#N/A,#N/A,TRUE,"SN"}</definedName>
    <definedName name="srsf" hidden="1">{#N/A,#N/A,TRUE,"SUM";#N/A,#N/A,TRUE,"EE";#N/A,#N/A,TRUE,"AC";#N/A,#N/A,TRUE,"SN"}</definedName>
    <definedName name="summar" localSheetId="13" hidden="1">{#N/A,#N/A,TRUE,"SUM";#N/A,#N/A,TRUE,"EE";#N/A,#N/A,TRUE,"AC";#N/A,#N/A,TRUE,"SN"}</definedName>
    <definedName name="summar" localSheetId="14" hidden="1">{#N/A,#N/A,TRUE,"SUM";#N/A,#N/A,TRUE,"EE";#N/A,#N/A,TRUE,"AC";#N/A,#N/A,TRUE,"SN"}</definedName>
    <definedName name="summar" localSheetId="11" hidden="1">{#N/A,#N/A,TRUE,"SUM";#N/A,#N/A,TRUE,"EE";#N/A,#N/A,TRUE,"AC";#N/A,#N/A,TRUE,"SN"}</definedName>
    <definedName name="summar" localSheetId="10" hidden="1">{#N/A,#N/A,TRUE,"SUM";#N/A,#N/A,TRUE,"EE";#N/A,#N/A,TRUE,"AC";#N/A,#N/A,TRUE,"SN"}</definedName>
    <definedName name="summar" localSheetId="15" hidden="1">{#N/A,#N/A,TRUE,"SUM";#N/A,#N/A,TRUE,"EE";#N/A,#N/A,TRUE,"AC";#N/A,#N/A,TRUE,"SN"}</definedName>
    <definedName name="summar" hidden="1">{#N/A,#N/A,TRUE,"SUM";#N/A,#N/A,TRUE,"EE";#N/A,#N/A,TRUE,"AC";#N/A,#N/A,TRUE,"SN"}</definedName>
    <definedName name="sww" localSheetId="13" hidden="1">{#N/A,#N/A,TRUE,"SUM";#N/A,#N/A,TRUE,"EE";#N/A,#N/A,TRUE,"AC";#N/A,#N/A,TRUE,"SN"}</definedName>
    <definedName name="sww" localSheetId="14" hidden="1">{#N/A,#N/A,TRUE,"SUM";#N/A,#N/A,TRUE,"EE";#N/A,#N/A,TRUE,"AC";#N/A,#N/A,TRUE,"SN"}</definedName>
    <definedName name="sww" localSheetId="11" hidden="1">{#N/A,#N/A,TRUE,"SUM";#N/A,#N/A,TRUE,"EE";#N/A,#N/A,TRUE,"AC";#N/A,#N/A,TRUE,"SN"}</definedName>
    <definedName name="sww" localSheetId="10" hidden="1">{#N/A,#N/A,TRUE,"SUM";#N/A,#N/A,TRUE,"EE";#N/A,#N/A,TRUE,"AC";#N/A,#N/A,TRUE,"SN"}</definedName>
    <definedName name="sww" localSheetId="15" hidden="1">{#N/A,#N/A,TRUE,"SUM";#N/A,#N/A,TRUE,"EE";#N/A,#N/A,TRUE,"AC";#N/A,#N/A,TRUE,"SN"}</definedName>
    <definedName name="sww" hidden="1">{#N/A,#N/A,TRUE,"SUM";#N/A,#N/A,TRUE,"EE";#N/A,#N/A,TRUE,"AC";#N/A,#N/A,TRUE,"SN"}</definedName>
    <definedName name="tawt" localSheetId="13" hidden="1">{#N/A,#N/A,TRUE,"SUM";#N/A,#N/A,TRUE,"EE";#N/A,#N/A,TRUE,"AC";#N/A,#N/A,TRUE,"SN"}</definedName>
    <definedName name="tawt" localSheetId="14" hidden="1">{#N/A,#N/A,TRUE,"SUM";#N/A,#N/A,TRUE,"EE";#N/A,#N/A,TRUE,"AC";#N/A,#N/A,TRUE,"SN"}</definedName>
    <definedName name="tawt" localSheetId="11" hidden="1">{#N/A,#N/A,TRUE,"SUM";#N/A,#N/A,TRUE,"EE";#N/A,#N/A,TRUE,"AC";#N/A,#N/A,TRUE,"SN"}</definedName>
    <definedName name="tawt" localSheetId="10" hidden="1">{#N/A,#N/A,TRUE,"SUM";#N/A,#N/A,TRUE,"EE";#N/A,#N/A,TRUE,"AC";#N/A,#N/A,TRUE,"SN"}</definedName>
    <definedName name="tawt" localSheetId="15" hidden="1">{#N/A,#N/A,TRUE,"SUM";#N/A,#N/A,TRUE,"EE";#N/A,#N/A,TRUE,"AC";#N/A,#N/A,TRUE,"SN"}</definedName>
    <definedName name="tawt" hidden="1">{#N/A,#N/A,TRUE,"SUM";#N/A,#N/A,TRUE,"EE";#N/A,#N/A,TRUE,"AC";#N/A,#N/A,TRUE,"SN"}</definedName>
    <definedName name="teryrty" localSheetId="13" hidden="1">{#N/A,#N/A,TRUE,"SUM";#N/A,#N/A,TRUE,"EE";#N/A,#N/A,TRUE,"AC";#N/A,#N/A,TRUE,"SN"}</definedName>
    <definedName name="teryrty" localSheetId="14" hidden="1">{#N/A,#N/A,TRUE,"SUM";#N/A,#N/A,TRUE,"EE";#N/A,#N/A,TRUE,"AC";#N/A,#N/A,TRUE,"SN"}</definedName>
    <definedName name="teryrty" localSheetId="11" hidden="1">{#N/A,#N/A,TRUE,"SUM";#N/A,#N/A,TRUE,"EE";#N/A,#N/A,TRUE,"AC";#N/A,#N/A,TRUE,"SN"}</definedName>
    <definedName name="teryrty" localSheetId="10" hidden="1">{#N/A,#N/A,TRUE,"SUM";#N/A,#N/A,TRUE,"EE";#N/A,#N/A,TRUE,"AC";#N/A,#N/A,TRUE,"SN"}</definedName>
    <definedName name="teryrty" localSheetId="15" hidden="1">{#N/A,#N/A,TRUE,"SUM";#N/A,#N/A,TRUE,"EE";#N/A,#N/A,TRUE,"AC";#N/A,#N/A,TRUE,"SN"}</definedName>
    <definedName name="teryrty" hidden="1">{#N/A,#N/A,TRUE,"SUM";#N/A,#N/A,TRUE,"EE";#N/A,#N/A,TRUE,"AC";#N/A,#N/A,TRUE,"SN"}</definedName>
    <definedName name="TEXR" comment="Exchange Rate - THB to AUD">'PRODUCTION &amp; PROCUREMENT'!$F$4</definedName>
    <definedName name="twet" localSheetId="13" hidden="1">{#N/A,#N/A,TRUE,"SUM";#N/A,#N/A,TRUE,"EE";#N/A,#N/A,TRUE,"AC";#N/A,#N/A,TRUE,"SN"}</definedName>
    <definedName name="twet" localSheetId="14" hidden="1">{#N/A,#N/A,TRUE,"SUM";#N/A,#N/A,TRUE,"EE";#N/A,#N/A,TRUE,"AC";#N/A,#N/A,TRUE,"SN"}</definedName>
    <definedName name="twet" localSheetId="11" hidden="1">{#N/A,#N/A,TRUE,"SUM";#N/A,#N/A,TRUE,"EE";#N/A,#N/A,TRUE,"AC";#N/A,#N/A,TRUE,"SN"}</definedName>
    <definedName name="twet" localSheetId="10" hidden="1">{#N/A,#N/A,TRUE,"SUM";#N/A,#N/A,TRUE,"EE";#N/A,#N/A,TRUE,"AC";#N/A,#N/A,TRUE,"SN"}</definedName>
    <definedName name="twet" localSheetId="15" hidden="1">{#N/A,#N/A,TRUE,"SUM";#N/A,#N/A,TRUE,"EE";#N/A,#N/A,TRUE,"AC";#N/A,#N/A,TRUE,"SN"}</definedName>
    <definedName name="twet" hidden="1">{#N/A,#N/A,TRUE,"SUM";#N/A,#N/A,TRUE,"EE";#N/A,#N/A,TRUE,"AC";#N/A,#N/A,TRUE,"SN"}</definedName>
    <definedName name="UEXR" comment="Exchange Rate - USD to AUD" localSheetId="11">'[5]PRODUCTION &amp; PROCUREMENT'!$F$2</definedName>
    <definedName name="UEXR" comment="Exchange Rate - USD to AUD" localSheetId="15">'[5]PRODUCTION &amp; PROCUREMENT'!$F$2</definedName>
    <definedName name="UEXR" comment="Exchange Rate - USD to AUD">'PRODUCTION &amp; PROCUREMENT'!$F$2</definedName>
    <definedName name="uku" localSheetId="13" hidden="1">{#N/A,#N/A,TRUE,"SUM";#N/A,#N/A,TRUE,"EE";#N/A,#N/A,TRUE,"AC";#N/A,#N/A,TRUE,"SN"}</definedName>
    <definedName name="uku" localSheetId="14" hidden="1">{#N/A,#N/A,TRUE,"SUM";#N/A,#N/A,TRUE,"EE";#N/A,#N/A,TRUE,"AC";#N/A,#N/A,TRUE,"SN"}</definedName>
    <definedName name="uku" localSheetId="11" hidden="1">{#N/A,#N/A,TRUE,"SUM";#N/A,#N/A,TRUE,"EE";#N/A,#N/A,TRUE,"AC";#N/A,#N/A,TRUE,"SN"}</definedName>
    <definedName name="uku" localSheetId="10" hidden="1">{#N/A,#N/A,TRUE,"SUM";#N/A,#N/A,TRUE,"EE";#N/A,#N/A,TRUE,"AC";#N/A,#N/A,TRUE,"SN"}</definedName>
    <definedName name="uku" localSheetId="15" hidden="1">{#N/A,#N/A,TRUE,"SUM";#N/A,#N/A,TRUE,"EE";#N/A,#N/A,TRUE,"AC";#N/A,#N/A,TRUE,"SN"}</definedName>
    <definedName name="uku" hidden="1">{#N/A,#N/A,TRUE,"SUM";#N/A,#N/A,TRUE,"EE";#N/A,#N/A,TRUE,"AC";#N/A,#N/A,TRUE,"SN"}</definedName>
    <definedName name="VEN" localSheetId="13" hidden="1">{#N/A,#N/A,TRUE,"SUM";#N/A,#N/A,TRUE,"EE";#N/A,#N/A,TRUE,"AC";#N/A,#N/A,TRUE,"SN"}</definedName>
    <definedName name="VEN" localSheetId="14" hidden="1">{#N/A,#N/A,TRUE,"SUM";#N/A,#N/A,TRUE,"EE";#N/A,#N/A,TRUE,"AC";#N/A,#N/A,TRUE,"SN"}</definedName>
    <definedName name="VEN" localSheetId="11" hidden="1">{#N/A,#N/A,TRUE,"SUM";#N/A,#N/A,TRUE,"EE";#N/A,#N/A,TRUE,"AC";#N/A,#N/A,TRUE,"SN"}</definedName>
    <definedName name="VEN" localSheetId="10" hidden="1">{#N/A,#N/A,TRUE,"SUM";#N/A,#N/A,TRUE,"EE";#N/A,#N/A,TRUE,"AC";#N/A,#N/A,TRUE,"SN"}</definedName>
    <definedName name="VEN" localSheetId="15" hidden="1">{#N/A,#N/A,TRUE,"SUM";#N/A,#N/A,TRUE,"EE";#N/A,#N/A,TRUE,"AC";#N/A,#N/A,TRUE,"SN"}</definedName>
    <definedName name="VEN" hidden="1">{#N/A,#N/A,TRUE,"SUM";#N/A,#N/A,TRUE,"EE";#N/A,#N/A,TRUE,"AC";#N/A,#N/A,TRUE,"SN"}</definedName>
    <definedName name="waet" localSheetId="13" hidden="1">{#N/A,#N/A,TRUE,"SUM";#N/A,#N/A,TRUE,"EE";#N/A,#N/A,TRUE,"AC";#N/A,#N/A,TRUE,"SN"}</definedName>
    <definedName name="waet" localSheetId="14" hidden="1">{#N/A,#N/A,TRUE,"SUM";#N/A,#N/A,TRUE,"EE";#N/A,#N/A,TRUE,"AC";#N/A,#N/A,TRUE,"SN"}</definedName>
    <definedName name="waet" localSheetId="11" hidden="1">{#N/A,#N/A,TRUE,"SUM";#N/A,#N/A,TRUE,"EE";#N/A,#N/A,TRUE,"AC";#N/A,#N/A,TRUE,"SN"}</definedName>
    <definedName name="waet" localSheetId="10" hidden="1">{#N/A,#N/A,TRUE,"SUM";#N/A,#N/A,TRUE,"EE";#N/A,#N/A,TRUE,"AC";#N/A,#N/A,TRUE,"SN"}</definedName>
    <definedName name="waet" localSheetId="15" hidden="1">{#N/A,#N/A,TRUE,"SUM";#N/A,#N/A,TRUE,"EE";#N/A,#N/A,TRUE,"AC";#N/A,#N/A,TRUE,"SN"}</definedName>
    <definedName name="waet" hidden="1">{#N/A,#N/A,TRUE,"SUM";#N/A,#N/A,TRUE,"EE";#N/A,#N/A,TRUE,"AC";#N/A,#N/A,TRUE,"SN"}</definedName>
    <definedName name="was" localSheetId="13" hidden="1">{#N/A,#N/A,TRUE,"SUM";#N/A,#N/A,TRUE,"EE";#N/A,#N/A,TRUE,"AC";#N/A,#N/A,TRUE,"SN"}</definedName>
    <definedName name="was" localSheetId="14" hidden="1">{#N/A,#N/A,TRUE,"SUM";#N/A,#N/A,TRUE,"EE";#N/A,#N/A,TRUE,"AC";#N/A,#N/A,TRUE,"SN"}</definedName>
    <definedName name="was" localSheetId="11" hidden="1">{#N/A,#N/A,TRUE,"SUM";#N/A,#N/A,TRUE,"EE";#N/A,#N/A,TRUE,"AC";#N/A,#N/A,TRUE,"SN"}</definedName>
    <definedName name="was" localSheetId="10" hidden="1">{#N/A,#N/A,TRUE,"SUM";#N/A,#N/A,TRUE,"EE";#N/A,#N/A,TRUE,"AC";#N/A,#N/A,TRUE,"SN"}</definedName>
    <definedName name="was" localSheetId="15" hidden="1">{#N/A,#N/A,TRUE,"SUM";#N/A,#N/A,TRUE,"EE";#N/A,#N/A,TRUE,"AC";#N/A,#N/A,TRUE,"SN"}</definedName>
    <definedName name="was" hidden="1">{#N/A,#N/A,TRUE,"SUM";#N/A,#N/A,TRUE,"EE";#N/A,#N/A,TRUE,"AC";#N/A,#N/A,TRUE,"SN"}</definedName>
    <definedName name="wdr" localSheetId="13" hidden="1">{#N/A,#N/A,TRUE,"SUM";#N/A,#N/A,TRUE,"EE";#N/A,#N/A,TRUE,"AC";#N/A,#N/A,TRUE,"SN"}</definedName>
    <definedName name="wdr" localSheetId="14" hidden="1">{#N/A,#N/A,TRUE,"SUM";#N/A,#N/A,TRUE,"EE";#N/A,#N/A,TRUE,"AC";#N/A,#N/A,TRUE,"SN"}</definedName>
    <definedName name="wdr" localSheetId="11" hidden="1">{#N/A,#N/A,TRUE,"SUM";#N/A,#N/A,TRUE,"EE";#N/A,#N/A,TRUE,"AC";#N/A,#N/A,TRUE,"SN"}</definedName>
    <definedName name="wdr" localSheetId="10" hidden="1">{#N/A,#N/A,TRUE,"SUM";#N/A,#N/A,TRUE,"EE";#N/A,#N/A,TRUE,"AC";#N/A,#N/A,TRUE,"SN"}</definedName>
    <definedName name="wdr" localSheetId="15" hidden="1">{#N/A,#N/A,TRUE,"SUM";#N/A,#N/A,TRUE,"EE";#N/A,#N/A,TRUE,"AC";#N/A,#N/A,TRUE,"SN"}</definedName>
    <definedName name="wdr" hidden="1">{#N/A,#N/A,TRUE,"SUM";#N/A,#N/A,TRUE,"EE";#N/A,#N/A,TRUE,"AC";#N/A,#N/A,TRUE,"SN"}</definedName>
    <definedName name="wed" localSheetId="13" hidden="1">{#N/A,#N/A,TRUE,"SUM";#N/A,#N/A,TRUE,"EE";#N/A,#N/A,TRUE,"AC";#N/A,#N/A,TRUE,"SN"}</definedName>
    <definedName name="wed" localSheetId="14" hidden="1">{#N/A,#N/A,TRUE,"SUM";#N/A,#N/A,TRUE,"EE";#N/A,#N/A,TRUE,"AC";#N/A,#N/A,TRUE,"SN"}</definedName>
    <definedName name="wed" localSheetId="11" hidden="1">{#N/A,#N/A,TRUE,"SUM";#N/A,#N/A,TRUE,"EE";#N/A,#N/A,TRUE,"AC";#N/A,#N/A,TRUE,"SN"}</definedName>
    <definedName name="wed" localSheetId="10" hidden="1">{#N/A,#N/A,TRUE,"SUM";#N/A,#N/A,TRUE,"EE";#N/A,#N/A,TRUE,"AC";#N/A,#N/A,TRUE,"SN"}</definedName>
    <definedName name="wed" localSheetId="15" hidden="1">{#N/A,#N/A,TRUE,"SUM";#N/A,#N/A,TRUE,"EE";#N/A,#N/A,TRUE,"AC";#N/A,#N/A,TRUE,"SN"}</definedName>
    <definedName name="wed" hidden="1">{#N/A,#N/A,TRUE,"SUM";#N/A,#N/A,TRUE,"EE";#N/A,#N/A,TRUE,"AC";#N/A,#N/A,TRUE,"SN"}</definedName>
    <definedName name="wer" localSheetId="13" hidden="1">{#N/A,#N/A,TRUE,"SUM";#N/A,#N/A,TRUE,"EE";#N/A,#N/A,TRUE,"AC";#N/A,#N/A,TRUE,"SN"}</definedName>
    <definedName name="wer" localSheetId="14" hidden="1">{#N/A,#N/A,TRUE,"SUM";#N/A,#N/A,TRUE,"EE";#N/A,#N/A,TRUE,"AC";#N/A,#N/A,TRUE,"SN"}</definedName>
    <definedName name="wer" localSheetId="11" hidden="1">{#N/A,#N/A,TRUE,"SUM";#N/A,#N/A,TRUE,"EE";#N/A,#N/A,TRUE,"AC";#N/A,#N/A,TRUE,"SN"}</definedName>
    <definedName name="wer" localSheetId="10" hidden="1">{#N/A,#N/A,TRUE,"SUM";#N/A,#N/A,TRUE,"EE";#N/A,#N/A,TRUE,"AC";#N/A,#N/A,TRUE,"SN"}</definedName>
    <definedName name="wer" localSheetId="15" hidden="1">{#N/A,#N/A,TRUE,"SUM";#N/A,#N/A,TRUE,"EE";#N/A,#N/A,TRUE,"AC";#N/A,#N/A,TRUE,"SN"}</definedName>
    <definedName name="wer" hidden="1">{#N/A,#N/A,TRUE,"SUM";#N/A,#N/A,TRUE,"EE";#N/A,#N/A,TRUE,"AC";#N/A,#N/A,TRUE,"SN"}</definedName>
    <definedName name="werwet" localSheetId="13" hidden="1">{#N/A,#N/A,TRUE,"SUM";#N/A,#N/A,TRUE,"EE";#N/A,#N/A,TRUE,"AC";#N/A,#N/A,TRUE,"SN"}</definedName>
    <definedName name="werwet" localSheetId="14" hidden="1">{#N/A,#N/A,TRUE,"SUM";#N/A,#N/A,TRUE,"EE";#N/A,#N/A,TRUE,"AC";#N/A,#N/A,TRUE,"SN"}</definedName>
    <definedName name="werwet" localSheetId="11" hidden="1">{#N/A,#N/A,TRUE,"SUM";#N/A,#N/A,TRUE,"EE";#N/A,#N/A,TRUE,"AC";#N/A,#N/A,TRUE,"SN"}</definedName>
    <definedName name="werwet" localSheetId="10" hidden="1">{#N/A,#N/A,TRUE,"SUM";#N/A,#N/A,TRUE,"EE";#N/A,#N/A,TRUE,"AC";#N/A,#N/A,TRUE,"SN"}</definedName>
    <definedName name="werwet" localSheetId="15" hidden="1">{#N/A,#N/A,TRUE,"SUM";#N/A,#N/A,TRUE,"EE";#N/A,#N/A,TRUE,"AC";#N/A,#N/A,TRUE,"SN"}</definedName>
    <definedName name="werwet" hidden="1">{#N/A,#N/A,TRUE,"SUM";#N/A,#N/A,TRUE,"EE";#N/A,#N/A,TRUE,"AC";#N/A,#N/A,TRUE,"SN"}</definedName>
    <definedName name="wet" localSheetId="13" hidden="1">{#N/A,#N/A,TRUE,"SUM";#N/A,#N/A,TRUE,"EE";#N/A,#N/A,TRUE,"AC";#N/A,#N/A,TRUE,"SN"}</definedName>
    <definedName name="wet" localSheetId="14" hidden="1">{#N/A,#N/A,TRUE,"SUM";#N/A,#N/A,TRUE,"EE";#N/A,#N/A,TRUE,"AC";#N/A,#N/A,TRUE,"SN"}</definedName>
    <definedName name="wet" localSheetId="11" hidden="1">{#N/A,#N/A,TRUE,"SUM";#N/A,#N/A,TRUE,"EE";#N/A,#N/A,TRUE,"AC";#N/A,#N/A,TRUE,"SN"}</definedName>
    <definedName name="wet" localSheetId="10" hidden="1">{#N/A,#N/A,TRUE,"SUM";#N/A,#N/A,TRUE,"EE";#N/A,#N/A,TRUE,"AC";#N/A,#N/A,TRUE,"SN"}</definedName>
    <definedName name="wet" localSheetId="15" hidden="1">{#N/A,#N/A,TRUE,"SUM";#N/A,#N/A,TRUE,"EE";#N/A,#N/A,TRUE,"AC";#N/A,#N/A,TRUE,"SN"}</definedName>
    <definedName name="wet" hidden="1">{#N/A,#N/A,TRUE,"SUM";#N/A,#N/A,TRUE,"EE";#N/A,#N/A,TRUE,"AC";#N/A,#N/A,TRUE,"SN"}</definedName>
    <definedName name="wqett" localSheetId="13" hidden="1">{#N/A,#N/A,TRUE,"SUM";#N/A,#N/A,TRUE,"EE";#N/A,#N/A,TRUE,"AC";#N/A,#N/A,TRUE,"SN"}</definedName>
    <definedName name="wqett" localSheetId="14" hidden="1">{#N/A,#N/A,TRUE,"SUM";#N/A,#N/A,TRUE,"EE";#N/A,#N/A,TRUE,"AC";#N/A,#N/A,TRUE,"SN"}</definedName>
    <definedName name="wqett" localSheetId="11" hidden="1">{#N/A,#N/A,TRUE,"SUM";#N/A,#N/A,TRUE,"EE";#N/A,#N/A,TRUE,"AC";#N/A,#N/A,TRUE,"SN"}</definedName>
    <definedName name="wqett" localSheetId="10" hidden="1">{#N/A,#N/A,TRUE,"SUM";#N/A,#N/A,TRUE,"EE";#N/A,#N/A,TRUE,"AC";#N/A,#N/A,TRUE,"SN"}</definedName>
    <definedName name="wqett" localSheetId="15" hidden="1">{#N/A,#N/A,TRUE,"SUM";#N/A,#N/A,TRUE,"EE";#N/A,#N/A,TRUE,"AC";#N/A,#N/A,TRUE,"SN"}</definedName>
    <definedName name="wqett" hidden="1">{#N/A,#N/A,TRUE,"SUM";#N/A,#N/A,TRUE,"EE";#N/A,#N/A,TRUE,"AC";#N/A,#N/A,TRUE,"SN"}</definedName>
    <definedName name="wrn.A." localSheetId="13" hidden="1">{#N/A,#N/A,TRUE,"SUM";#N/A,#N/A,TRUE,"EE";#N/A,#N/A,TRUE,"AC";#N/A,#N/A,TRUE,"SN"}</definedName>
    <definedName name="wrn.A." localSheetId="14" hidden="1">{#N/A,#N/A,TRUE,"SUM";#N/A,#N/A,TRUE,"EE";#N/A,#N/A,TRUE,"AC";#N/A,#N/A,TRUE,"SN"}</definedName>
    <definedName name="wrn.A." localSheetId="11" hidden="1">{#N/A,#N/A,TRUE,"SUM";#N/A,#N/A,TRUE,"EE";#N/A,#N/A,TRUE,"AC";#N/A,#N/A,TRUE,"SN"}</definedName>
    <definedName name="wrn.A." localSheetId="10" hidden="1">{#N/A,#N/A,TRUE,"SUM";#N/A,#N/A,TRUE,"EE";#N/A,#N/A,TRUE,"AC";#N/A,#N/A,TRUE,"SN"}</definedName>
    <definedName name="wrn.A." localSheetId="15" hidden="1">{#N/A,#N/A,TRUE,"SUM";#N/A,#N/A,TRUE,"EE";#N/A,#N/A,TRUE,"AC";#N/A,#N/A,TRUE,"SN"}</definedName>
    <definedName name="wrn.A." hidden="1">{#N/A,#N/A,TRUE,"SUM";#N/A,#N/A,TRUE,"EE";#N/A,#N/A,TRUE,"AC";#N/A,#N/A,TRUE,"SN"}</definedName>
    <definedName name="wrn.Application." localSheetId="13" hidden="1">{#N/A,#N/A,FALSE,"GS";#N/A,#N/A,FALSE,"Cost Code Summary";#N/A,#N/A,FALSE,"VO";#N/A,#N/A,FALSE,"CUM FLUCT";#N/A,#N/A,FALSE,"Fluct";#N/A,#N/A,FALSE,"Bill 3";#N/A,#N/A,FALSE,"Bill 4";#N/A,#N/A,FALSE,"bill 5";#N/A,#N/A,FALSE,"Bill 7";#N/A,#N/A,FALSE,"Bill 8";#N/A,#N/A,FALSE,"Bill 10";#N/A,#N/A,FALSE,"Bill 12"}</definedName>
    <definedName name="wrn.Application." localSheetId="14" hidden="1">{#N/A,#N/A,FALSE,"GS";#N/A,#N/A,FALSE,"Cost Code Summary";#N/A,#N/A,FALSE,"VO";#N/A,#N/A,FALSE,"CUM FLUCT";#N/A,#N/A,FALSE,"Fluct";#N/A,#N/A,FALSE,"Bill 3";#N/A,#N/A,FALSE,"Bill 4";#N/A,#N/A,FALSE,"bill 5";#N/A,#N/A,FALSE,"Bill 7";#N/A,#N/A,FALSE,"Bill 8";#N/A,#N/A,FALSE,"Bill 10";#N/A,#N/A,FALSE,"Bill 12"}</definedName>
    <definedName name="wrn.Application." localSheetId="11" hidden="1">{#N/A,#N/A,FALSE,"GS";#N/A,#N/A,FALSE,"Cost Code Summary";#N/A,#N/A,FALSE,"VO";#N/A,#N/A,FALSE,"CUM FLUCT";#N/A,#N/A,FALSE,"Fluct";#N/A,#N/A,FALSE,"Bill 3";#N/A,#N/A,FALSE,"Bill 4";#N/A,#N/A,FALSE,"bill 5";#N/A,#N/A,FALSE,"Bill 7";#N/A,#N/A,FALSE,"Bill 8";#N/A,#N/A,FALSE,"Bill 10";#N/A,#N/A,FALSE,"Bill 12"}</definedName>
    <definedName name="wrn.Application." localSheetId="10" hidden="1">{#N/A,#N/A,FALSE,"GS";#N/A,#N/A,FALSE,"Cost Code Summary";#N/A,#N/A,FALSE,"VO";#N/A,#N/A,FALSE,"CUM FLUCT";#N/A,#N/A,FALSE,"Fluct";#N/A,#N/A,FALSE,"Bill 3";#N/A,#N/A,FALSE,"Bill 4";#N/A,#N/A,FALSE,"bill 5";#N/A,#N/A,FALSE,"Bill 7";#N/A,#N/A,FALSE,"Bill 8";#N/A,#N/A,FALSE,"Bill 10";#N/A,#N/A,FALSE,"Bill 12"}</definedName>
    <definedName name="wrn.Application." localSheetId="2" hidden="1">{#N/A,#N/A,FALSE,"GS";#N/A,#N/A,FALSE,"Cost Code Summary";#N/A,#N/A,FALSE,"VO";#N/A,#N/A,FALSE,"CUM FLUCT";#N/A,#N/A,FALSE,"Fluct";#N/A,#N/A,FALSE,"Bill 3";#N/A,#N/A,FALSE,"Bill 4";#N/A,#N/A,FALSE,"bill 5";#N/A,#N/A,FALSE,"Bill 7";#N/A,#N/A,FALSE,"Bill 8";#N/A,#N/A,FALSE,"Bill 10";#N/A,#N/A,FALSE,"Bill 12"}</definedName>
    <definedName name="wrn.Application." localSheetId="15" hidden="1">{#N/A,#N/A,FALSE,"GS";#N/A,#N/A,FALSE,"Cost Code Summary";#N/A,#N/A,FALSE,"VO";#N/A,#N/A,FALSE,"CUM FLUCT";#N/A,#N/A,FALSE,"Fluct";#N/A,#N/A,FALSE,"Bill 3";#N/A,#N/A,FALSE,"Bill 4";#N/A,#N/A,FALSE,"bill 5";#N/A,#N/A,FALSE,"Bill 7";#N/A,#N/A,FALSE,"Bill 8";#N/A,#N/A,FALSE,"Bill 10";#N/A,#N/A,FALSE,"Bill 12"}</definedName>
    <definedName name="wrn.Application." hidden="1">{#N/A,#N/A,FALSE,"GS";#N/A,#N/A,FALSE,"Cost Code Summary";#N/A,#N/A,FALSE,"VO";#N/A,#N/A,FALSE,"CUM FLUCT";#N/A,#N/A,FALSE,"Fluct";#N/A,#N/A,FALSE,"Bill 3";#N/A,#N/A,FALSE,"Bill 4";#N/A,#N/A,FALSE,"bill 5";#N/A,#N/A,FALSE,"Bill 7";#N/A,#N/A,FALSE,"Bill 8";#N/A,#N/A,FALSE,"Bill 10";#N/A,#N/A,FALSE,"Bill 12"}</definedName>
    <definedName name="wrn.BILLS._.OF._.QUANTITY." localSheetId="13" hidden="1">{#N/A,#N/A,TRUE,"Str.";#N/A,#N/A,TRUE,"Steel &amp; Roof";#N/A,#N/A,TRUE,"Arc.";#N/A,#N/A,TRUE,"Preliminary";#N/A,#N/A,TRUE,"Sum_Prelim"}</definedName>
    <definedName name="wrn.BILLS._.OF._.QUANTITY." localSheetId="14" hidden="1">{#N/A,#N/A,TRUE,"Str.";#N/A,#N/A,TRUE,"Steel &amp; Roof";#N/A,#N/A,TRUE,"Arc.";#N/A,#N/A,TRUE,"Preliminary";#N/A,#N/A,TRUE,"Sum_Prelim"}</definedName>
    <definedName name="wrn.BILLS._.OF._.QUANTITY." localSheetId="11" hidden="1">{#N/A,#N/A,TRUE,"Str.";#N/A,#N/A,TRUE,"Steel &amp; Roof";#N/A,#N/A,TRUE,"Arc.";#N/A,#N/A,TRUE,"Preliminary";#N/A,#N/A,TRUE,"Sum_Prelim"}</definedName>
    <definedName name="wrn.BILLS._.OF._.QUANTITY." localSheetId="10" hidden="1">{#N/A,#N/A,TRUE,"Str.";#N/A,#N/A,TRUE,"Steel &amp; Roof";#N/A,#N/A,TRUE,"Arc.";#N/A,#N/A,TRUE,"Preliminary";#N/A,#N/A,TRUE,"Sum_Prelim"}</definedName>
    <definedName name="wrn.BILLS._.OF._.QUANTITY." localSheetId="15" hidden="1">{#N/A,#N/A,TRUE,"Str.";#N/A,#N/A,TRUE,"Steel &amp; Roof";#N/A,#N/A,TRUE,"Arc.";#N/A,#N/A,TRUE,"Preliminary";#N/A,#N/A,TRUE,"Sum_Prelim"}</definedName>
    <definedName name="wrn.BILLS._.OF._.QUANTITY." hidden="1">{#N/A,#N/A,TRUE,"Str.";#N/A,#N/A,TRUE,"Steel &amp; Roof";#N/A,#N/A,TRUE,"Arc.";#N/A,#N/A,TRUE,"Preliminary";#N/A,#N/A,TRUE,"Sum_Prelim"}</definedName>
    <definedName name="wrn.BOOK11." localSheetId="13" hidden="1">{"SUM",#N/A,FALSE,"summary";"BOOK11-1",#N/A,FALSE,"1CityGarden";"BOOK11-2",#N/A,FALSE,"2CountryGarden";"BOOK11-3",#N/A,FALSE,"3JUNGLE";"BOOK11-4CIVIL",#N/A,FALSE,"CIVIL"}</definedName>
    <definedName name="wrn.BOOK11." localSheetId="14" hidden="1">{"SUM",#N/A,FALSE,"summary";"BOOK11-1",#N/A,FALSE,"1CityGarden";"BOOK11-2",#N/A,FALSE,"2CountryGarden";"BOOK11-3",#N/A,FALSE,"3JUNGLE";"BOOK11-4CIVIL",#N/A,FALSE,"CIVIL"}</definedName>
    <definedName name="wrn.BOOK11." localSheetId="11" hidden="1">{"SUM",#N/A,FALSE,"summary";"BOOK11-1",#N/A,FALSE,"1CityGarden";"BOOK11-2",#N/A,FALSE,"2CountryGarden";"BOOK11-3",#N/A,FALSE,"3JUNGLE";"BOOK11-4CIVIL",#N/A,FALSE,"CIVIL"}</definedName>
    <definedName name="wrn.BOOK11." localSheetId="10" hidden="1">{"SUM",#N/A,FALSE,"summary";"BOOK11-1",#N/A,FALSE,"1CityGarden";"BOOK11-2",#N/A,FALSE,"2CountryGarden";"BOOK11-3",#N/A,FALSE,"3JUNGLE";"BOOK11-4CIVIL",#N/A,FALSE,"CIVIL"}</definedName>
    <definedName name="wrn.BOOK11." localSheetId="15"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Full._.Set." localSheetId="13" hidden="1">{#N/A,#N/A,FALSE,"Summary";"Preliminary",#N/A,FALSE,"Prelim";#N/A,#N/A,FALSE,"MOS"}</definedName>
    <definedName name="wrn.Full._.Set." localSheetId="14" hidden="1">{#N/A,#N/A,FALSE,"Summary";"Preliminary",#N/A,FALSE,"Prelim";#N/A,#N/A,FALSE,"MOS"}</definedName>
    <definedName name="wrn.Full._.Set." localSheetId="11" hidden="1">{#N/A,#N/A,FALSE,"Summary";"Preliminary",#N/A,FALSE,"Prelim";#N/A,#N/A,FALSE,"MOS"}</definedName>
    <definedName name="wrn.Full._.Set." localSheetId="10" hidden="1">{#N/A,#N/A,FALSE,"Summary";"Preliminary",#N/A,FALSE,"Prelim";#N/A,#N/A,FALSE,"MOS"}</definedName>
    <definedName name="wrn.Full._.Set." localSheetId="2" hidden="1">{#N/A,#N/A,FALSE,"Summary";"Preliminary",#N/A,FALSE,"Prelim";#N/A,#N/A,FALSE,"MOS"}</definedName>
    <definedName name="wrn.Full._.Set." localSheetId="15" hidden="1">{#N/A,#N/A,FALSE,"Summary";"Preliminary",#N/A,FALSE,"Prelim";#N/A,#N/A,FALSE,"MOS"}</definedName>
    <definedName name="wrn.Full._.Set." hidden="1">{#N/A,#N/A,FALSE,"Summary";"Preliminary",#N/A,FALSE,"Prelim";#N/A,#N/A,FALSE,"MOS"}</definedName>
    <definedName name="wrn.NSCreport." localSheetId="13" hidden="1">{"NSC",#N/A,FALSE,"NSC"}</definedName>
    <definedName name="wrn.NSCreport." localSheetId="14" hidden="1">{"NSC",#N/A,FALSE,"NSC"}</definedName>
    <definedName name="wrn.NSCreport." localSheetId="11" hidden="1">{"NSC",#N/A,FALSE,"NSC"}</definedName>
    <definedName name="wrn.NSCreport." localSheetId="10" hidden="1">{"NSC",#N/A,FALSE,"NSC"}</definedName>
    <definedName name="wrn.NSCreport." localSheetId="2" hidden="1">{"NSC",#N/A,FALSE,"NSC"}</definedName>
    <definedName name="wrn.NSCreport." localSheetId="15" hidden="1">{"NSC",#N/A,FALSE,"NSC"}</definedName>
    <definedName name="wrn.NSCreport." hidden="1">{"NSC",#N/A,FALSE,"NSC"}</definedName>
    <definedName name="wrn.PrelimReport." localSheetId="13" hidden="1">{"Preliminary",#N/A,FALSE,"Prelim"}</definedName>
    <definedName name="wrn.PrelimReport." localSheetId="14" hidden="1">{"Preliminary",#N/A,FALSE,"Prelim"}</definedName>
    <definedName name="wrn.PrelimReport." localSheetId="11" hidden="1">{"Preliminary",#N/A,FALSE,"Prelim"}</definedName>
    <definedName name="wrn.PrelimReport." localSheetId="10" hidden="1">{"Preliminary",#N/A,FALSE,"Prelim"}</definedName>
    <definedName name="wrn.PrelimReport." localSheetId="2" hidden="1">{"Preliminary",#N/A,FALSE,"Prelim"}</definedName>
    <definedName name="wrn.PrelimReport." localSheetId="15" hidden="1">{"Preliminary",#N/A,FALSE,"Prelim"}</definedName>
    <definedName name="wrn.PrelimReport." hidden="1">{"Preliminary",#N/A,FALSE,"Prelim"}</definedName>
    <definedName name="wrn.SummaryReport." localSheetId="13" hidden="1">{#N/A,#N/A,FALSE,"Summary"}</definedName>
    <definedName name="wrn.SummaryReport." localSheetId="14" hidden="1">{#N/A,#N/A,FALSE,"Summary"}</definedName>
    <definedName name="wrn.SummaryReport." localSheetId="11" hidden="1">{#N/A,#N/A,FALSE,"Summary"}</definedName>
    <definedName name="wrn.SummaryReport." localSheetId="10" hidden="1">{#N/A,#N/A,FALSE,"Summary"}</definedName>
    <definedName name="wrn.SummaryReport." localSheetId="2" hidden="1">{#N/A,#N/A,FALSE,"Summary"}</definedName>
    <definedName name="wrn.SummaryReport." localSheetId="15" hidden="1">{#N/A,#N/A,FALSE,"Summary"}</definedName>
    <definedName name="wrn.SummaryReport." hidden="1">{#N/A,#N/A,FALSE,"Summary"}</definedName>
    <definedName name="wrn.TUTTO." localSheetId="13" hidden="1">{"SINTESI",#N/A,FALSE,"sintesi";"VOLCAN",#N/A,FALSE,"volcan";"MDC",#N/A,FALSE,"MDCBDG";"VOLPROD",#N/A,FALSE,"volprod";"SPESE",#N/A,FALSE,"SPESE";"_Current_",#N/A,FALSE,"VARFCT";"CE",#N/A,FALSE,"CENEW";"SP",#N/A,FALSE,"SPNEW";"INVESTIM",#N/A,FALSE,"INVESTIM";"FATPROD",#N/A,FALSE,"ricprod";"PRODUNIT",#N/A,FALSE,"ricprod";"FATCAN",#N/A,FALSE,"riccan";"CANUNIT",#N/A,FALSE,"riccan";#N/A,#N/A,FALSE,"MDC FCT";"VARIANTI",#N/A,FALSE,"VARBDG"}</definedName>
    <definedName name="wrn.TUTTO." localSheetId="14" hidden="1">{"SINTESI",#N/A,FALSE,"sintesi";"VOLCAN",#N/A,FALSE,"volcan";"MDC",#N/A,FALSE,"MDCBDG";"VOLPROD",#N/A,FALSE,"volprod";"SPESE",#N/A,FALSE,"SPESE";"_Current_",#N/A,FALSE,"VARFCT";"CE",#N/A,FALSE,"CENEW";"SP",#N/A,FALSE,"SPNEW";"INVESTIM",#N/A,FALSE,"INVESTIM";"FATPROD",#N/A,FALSE,"ricprod";"PRODUNIT",#N/A,FALSE,"ricprod";"FATCAN",#N/A,FALSE,"riccan";"CANUNIT",#N/A,FALSE,"riccan";#N/A,#N/A,FALSE,"MDC FCT";"VARIANTI",#N/A,FALSE,"VARBDG"}</definedName>
    <definedName name="wrn.TUTTO." localSheetId="11" hidden="1">{"SINTESI",#N/A,FALSE,"sintesi";"VOLCAN",#N/A,FALSE,"volcan";"MDC",#N/A,FALSE,"MDCBDG";"VOLPROD",#N/A,FALSE,"volprod";"SPESE",#N/A,FALSE,"SPESE";"_Current_",#N/A,FALSE,"VARFCT";"CE",#N/A,FALSE,"CENEW";"SP",#N/A,FALSE,"SPNEW";"INVESTIM",#N/A,FALSE,"INVESTIM";"FATPROD",#N/A,FALSE,"ricprod";"PRODUNIT",#N/A,FALSE,"ricprod";"FATCAN",#N/A,FALSE,"riccan";"CANUNIT",#N/A,FALSE,"riccan";#N/A,#N/A,FALSE,"MDC FCT";"VARIANTI",#N/A,FALSE,"VARBDG"}</definedName>
    <definedName name="wrn.TUTTO." localSheetId="10" hidden="1">{"SINTESI",#N/A,FALSE,"sintesi";"VOLCAN",#N/A,FALSE,"volcan";"MDC",#N/A,FALSE,"MDCBDG";"VOLPROD",#N/A,FALSE,"volprod";"SPESE",#N/A,FALSE,"SPESE";"_Current_",#N/A,FALSE,"VARFCT";"CE",#N/A,FALSE,"CENEW";"SP",#N/A,FALSE,"SPNEW";"INVESTIM",#N/A,FALSE,"INVESTIM";"FATPROD",#N/A,FALSE,"ricprod";"PRODUNIT",#N/A,FALSE,"ricprod";"FATCAN",#N/A,FALSE,"riccan";"CANUNIT",#N/A,FALSE,"riccan";#N/A,#N/A,FALSE,"MDC FCT";"VARIANTI",#N/A,FALSE,"VARBDG"}</definedName>
    <definedName name="wrn.TUTTO." localSheetId="15" hidden="1">{"SINTESI",#N/A,FALSE,"sintesi";"VOLCAN",#N/A,FALSE,"volcan";"MDC",#N/A,FALSE,"MDCBDG";"VOLPROD",#N/A,FALSE,"volprod";"SPESE",#N/A,FALSE,"SPESE";"_Current_",#N/A,FALSE,"VARFCT";"CE",#N/A,FALSE,"CENEW";"SP",#N/A,FALSE,"SPNEW";"INVESTIM",#N/A,FALSE,"INVESTIM";"FATPROD",#N/A,FALSE,"ricprod";"PRODUNIT",#N/A,FALSE,"ricprod";"FATCAN",#N/A,FALSE,"riccan";"CANUNIT",#N/A,FALSE,"riccan";#N/A,#N/A,FALSE,"MDC FCT";"VARIANTI",#N/A,FALSE,"VARBDG"}</definedName>
    <definedName name="wrn.TUTTO." hidden="1">{"SINTESI",#N/A,FALSE,"sintesi";"VOLCAN",#N/A,FALSE,"volcan";"MDC",#N/A,FALSE,"MDCBDG";"VOLPROD",#N/A,FALSE,"volprod";"SPESE",#N/A,FALSE,"SPESE";"_Current_",#N/A,FALSE,"VARFCT";"CE",#N/A,FALSE,"CENEW";"SP",#N/A,FALSE,"SPNEW";"INVESTIM",#N/A,FALSE,"INVESTIM";"FATPROD",#N/A,FALSE,"ricprod";"PRODUNIT",#N/A,FALSE,"ricprod";"FATCAN",#N/A,FALSE,"riccan";"CANUNIT",#N/A,FALSE,"riccan";#N/A,#N/A,FALSE,"MDC FCT";"VARIANTI",#N/A,FALSE,"VARBDG"}</definedName>
    <definedName name="wsas" localSheetId="13" hidden="1">{#N/A,#N/A,TRUE,"SUM";#N/A,#N/A,TRUE,"EE";#N/A,#N/A,TRUE,"AC";#N/A,#N/A,TRUE,"SN"}</definedName>
    <definedName name="wsas" localSheetId="14" hidden="1">{#N/A,#N/A,TRUE,"SUM";#N/A,#N/A,TRUE,"EE";#N/A,#N/A,TRUE,"AC";#N/A,#N/A,TRUE,"SN"}</definedName>
    <definedName name="wsas" localSheetId="11" hidden="1">{#N/A,#N/A,TRUE,"SUM";#N/A,#N/A,TRUE,"EE";#N/A,#N/A,TRUE,"AC";#N/A,#N/A,TRUE,"SN"}</definedName>
    <definedName name="wsas" localSheetId="10" hidden="1">{#N/A,#N/A,TRUE,"SUM";#N/A,#N/A,TRUE,"EE";#N/A,#N/A,TRUE,"AC";#N/A,#N/A,TRUE,"SN"}</definedName>
    <definedName name="wsas" localSheetId="15" hidden="1">{#N/A,#N/A,TRUE,"SUM";#N/A,#N/A,TRUE,"EE";#N/A,#N/A,TRUE,"AC";#N/A,#N/A,TRUE,"SN"}</definedName>
    <definedName name="wsas" hidden="1">{#N/A,#N/A,TRUE,"SUM";#N/A,#N/A,TRUE,"EE";#N/A,#N/A,TRUE,"AC";#N/A,#N/A,TRUE,"SN"}</definedName>
    <definedName name="wse" localSheetId="13" hidden="1">{#N/A,#N/A,TRUE,"SUM";#N/A,#N/A,TRUE,"EE";#N/A,#N/A,TRUE,"AC";#N/A,#N/A,TRUE,"SN"}</definedName>
    <definedName name="wse" localSheetId="14" hidden="1">{#N/A,#N/A,TRUE,"SUM";#N/A,#N/A,TRUE,"EE";#N/A,#N/A,TRUE,"AC";#N/A,#N/A,TRUE,"SN"}</definedName>
    <definedName name="wse" localSheetId="11" hidden="1">{#N/A,#N/A,TRUE,"SUM";#N/A,#N/A,TRUE,"EE";#N/A,#N/A,TRUE,"AC";#N/A,#N/A,TRUE,"SN"}</definedName>
    <definedName name="wse" localSheetId="10" hidden="1">{#N/A,#N/A,TRUE,"SUM";#N/A,#N/A,TRUE,"EE";#N/A,#N/A,TRUE,"AC";#N/A,#N/A,TRUE,"SN"}</definedName>
    <definedName name="wse" localSheetId="15" hidden="1">{#N/A,#N/A,TRUE,"SUM";#N/A,#N/A,TRUE,"EE";#N/A,#N/A,TRUE,"AC";#N/A,#N/A,TRUE,"SN"}</definedName>
    <definedName name="wse" hidden="1">{#N/A,#N/A,TRUE,"SUM";#N/A,#N/A,TRUE,"EE";#N/A,#N/A,TRUE,"AC";#N/A,#N/A,TRUE,"SN"}</definedName>
    <definedName name="wtertery" localSheetId="13" hidden="1">{#N/A,#N/A,TRUE,"SUM";#N/A,#N/A,TRUE,"EE";#N/A,#N/A,TRUE,"AC";#N/A,#N/A,TRUE,"SN"}</definedName>
    <definedName name="wtertery" localSheetId="14" hidden="1">{#N/A,#N/A,TRUE,"SUM";#N/A,#N/A,TRUE,"EE";#N/A,#N/A,TRUE,"AC";#N/A,#N/A,TRUE,"SN"}</definedName>
    <definedName name="wtertery" localSheetId="11" hidden="1">{#N/A,#N/A,TRUE,"SUM";#N/A,#N/A,TRUE,"EE";#N/A,#N/A,TRUE,"AC";#N/A,#N/A,TRUE,"SN"}</definedName>
    <definedName name="wtertery" localSheetId="10" hidden="1">{#N/A,#N/A,TRUE,"SUM";#N/A,#N/A,TRUE,"EE";#N/A,#N/A,TRUE,"AC";#N/A,#N/A,TRUE,"SN"}</definedName>
    <definedName name="wtertery" localSheetId="15" hidden="1">{#N/A,#N/A,TRUE,"SUM";#N/A,#N/A,TRUE,"EE";#N/A,#N/A,TRUE,"AC";#N/A,#N/A,TRUE,"SN"}</definedName>
    <definedName name="wtertery" hidden="1">{#N/A,#N/A,TRUE,"SUM";#N/A,#N/A,TRUE,"EE";#N/A,#N/A,TRUE,"AC";#N/A,#N/A,TRUE,"SN"}</definedName>
    <definedName name="x" localSheetId="13" hidden="1">{"'SUMMATION'!$B$2:$I$2"}</definedName>
    <definedName name="x" localSheetId="14" hidden="1">{"'SUMMATION'!$B$2:$I$2"}</definedName>
    <definedName name="x" localSheetId="11" hidden="1">{"'SUMMATION'!$B$2:$I$2"}</definedName>
    <definedName name="x" localSheetId="10" hidden="1">{"'SUMMATION'!$B$2:$I$2"}</definedName>
    <definedName name="x" localSheetId="15" hidden="1">{"'SUMMATION'!$B$2:$I$2"}</definedName>
    <definedName name="x" hidden="1">{"'SUMMATION'!$B$2:$I$2"}</definedName>
    <definedName name="xxx" localSheetId="13" hidden="1">{#N/A,#N/A,TRUE,"Str.";#N/A,#N/A,TRUE,"Steel &amp; Roof";#N/A,#N/A,TRUE,"Arc.";#N/A,#N/A,TRUE,"Preliminary";#N/A,#N/A,TRUE,"Sum_Prelim"}</definedName>
    <definedName name="xxx" localSheetId="14" hidden="1">{#N/A,#N/A,TRUE,"Str.";#N/A,#N/A,TRUE,"Steel &amp; Roof";#N/A,#N/A,TRUE,"Arc.";#N/A,#N/A,TRUE,"Preliminary";#N/A,#N/A,TRUE,"Sum_Prelim"}</definedName>
    <definedName name="xxx" localSheetId="11" hidden="1">{#N/A,#N/A,TRUE,"Str.";#N/A,#N/A,TRUE,"Steel &amp; Roof";#N/A,#N/A,TRUE,"Arc.";#N/A,#N/A,TRUE,"Preliminary";#N/A,#N/A,TRUE,"Sum_Prelim"}</definedName>
    <definedName name="xxx" localSheetId="10" hidden="1">{#N/A,#N/A,TRUE,"Str.";#N/A,#N/A,TRUE,"Steel &amp; Roof";#N/A,#N/A,TRUE,"Arc.";#N/A,#N/A,TRUE,"Preliminary";#N/A,#N/A,TRUE,"Sum_Prelim"}</definedName>
    <definedName name="xxx" localSheetId="15" hidden="1">{#N/A,#N/A,TRUE,"Str.";#N/A,#N/A,TRUE,"Steel &amp; Roof";#N/A,#N/A,TRUE,"Arc.";#N/A,#N/A,TRUE,"Preliminary";#N/A,#N/A,TRUE,"Sum_Prelim"}</definedName>
    <definedName name="xxx" hidden="1">{#N/A,#N/A,TRUE,"Str.";#N/A,#N/A,TRUE,"Steel &amp; Roof";#N/A,#N/A,TRUE,"Arc.";#N/A,#N/A,TRUE,"Preliminary";#N/A,#N/A,TRUE,"Sum_Prelim"}</definedName>
    <definedName name="yji" localSheetId="13" hidden="1">{#N/A,#N/A,TRUE,"SUM";#N/A,#N/A,TRUE,"EE";#N/A,#N/A,TRUE,"AC";#N/A,#N/A,TRUE,"SN"}</definedName>
    <definedName name="yji" localSheetId="14" hidden="1">{#N/A,#N/A,TRUE,"SUM";#N/A,#N/A,TRUE,"EE";#N/A,#N/A,TRUE,"AC";#N/A,#N/A,TRUE,"SN"}</definedName>
    <definedName name="yji" localSheetId="11" hidden="1">{#N/A,#N/A,TRUE,"SUM";#N/A,#N/A,TRUE,"EE";#N/A,#N/A,TRUE,"AC";#N/A,#N/A,TRUE,"SN"}</definedName>
    <definedName name="yji" localSheetId="10" hidden="1">{#N/A,#N/A,TRUE,"SUM";#N/A,#N/A,TRUE,"EE";#N/A,#N/A,TRUE,"AC";#N/A,#N/A,TRUE,"SN"}</definedName>
    <definedName name="yji" localSheetId="15" hidden="1">{#N/A,#N/A,TRUE,"SUM";#N/A,#N/A,TRUE,"EE";#N/A,#N/A,TRUE,"AC";#N/A,#N/A,TRUE,"SN"}</definedName>
    <definedName name="yji" hidden="1">{#N/A,#N/A,TRUE,"SUM";#N/A,#N/A,TRUE,"EE";#N/A,#N/A,TRUE,"AC";#N/A,#N/A,TRUE,"SN"}</definedName>
    <definedName name="zsds" localSheetId="13" hidden="1">{#N/A,#N/A,TRUE,"SUM";#N/A,#N/A,TRUE,"EE";#N/A,#N/A,TRUE,"AC";#N/A,#N/A,TRUE,"SN"}</definedName>
    <definedName name="zsds" localSheetId="14" hidden="1">{#N/A,#N/A,TRUE,"SUM";#N/A,#N/A,TRUE,"EE";#N/A,#N/A,TRUE,"AC";#N/A,#N/A,TRUE,"SN"}</definedName>
    <definedName name="zsds" localSheetId="11" hidden="1">{#N/A,#N/A,TRUE,"SUM";#N/A,#N/A,TRUE,"EE";#N/A,#N/A,TRUE,"AC";#N/A,#N/A,TRUE,"SN"}</definedName>
    <definedName name="zsds" localSheetId="10" hidden="1">{#N/A,#N/A,TRUE,"SUM";#N/A,#N/A,TRUE,"EE";#N/A,#N/A,TRUE,"AC";#N/A,#N/A,TRUE,"SN"}</definedName>
    <definedName name="zsds" localSheetId="15" hidden="1">{#N/A,#N/A,TRUE,"SUM";#N/A,#N/A,TRUE,"EE";#N/A,#N/A,TRUE,"AC";#N/A,#N/A,TRUE,"SN"}</definedName>
    <definedName name="zsds" hidden="1">{#N/A,#N/A,TRUE,"SUM";#N/A,#N/A,TRUE,"EE";#N/A,#N/A,TRUE,"AC";#N/A,#N/A,TRUE,"SN"}</definedName>
    <definedName name="เด้" localSheetId="13" hidden="1">{#N/A,#N/A,TRUE,"SUM";#N/A,#N/A,TRUE,"EE";#N/A,#N/A,TRUE,"AC";#N/A,#N/A,TRUE,"SN"}</definedName>
    <definedName name="เด้" localSheetId="14" hidden="1">{#N/A,#N/A,TRUE,"SUM";#N/A,#N/A,TRUE,"EE";#N/A,#N/A,TRUE,"AC";#N/A,#N/A,TRUE,"SN"}</definedName>
    <definedName name="เด้" localSheetId="11" hidden="1">{#N/A,#N/A,TRUE,"SUM";#N/A,#N/A,TRUE,"EE";#N/A,#N/A,TRUE,"AC";#N/A,#N/A,TRUE,"SN"}</definedName>
    <definedName name="เด้" localSheetId="10" hidden="1">{#N/A,#N/A,TRUE,"SUM";#N/A,#N/A,TRUE,"EE";#N/A,#N/A,TRUE,"AC";#N/A,#N/A,TRUE,"SN"}</definedName>
    <definedName name="เด้" localSheetId="15" hidden="1">{#N/A,#N/A,TRUE,"SUM";#N/A,#N/A,TRUE,"EE";#N/A,#N/A,TRUE,"AC";#N/A,#N/A,TRUE,"SN"}</definedName>
    <definedName name="เด้" hidden="1">{#N/A,#N/A,TRUE,"SUM";#N/A,#N/A,TRUE,"EE";#N/A,#N/A,TRUE,"AC";#N/A,#N/A,TRUE,"SN"}</definedName>
    <definedName name="เฟอร์นิเจอร์" localSheetId="13" hidden="1">{"'SUMMATION'!$B$2:$I$2"}</definedName>
    <definedName name="เฟอร์นิเจอร์" localSheetId="14" hidden="1">{"'SUMMATION'!$B$2:$I$2"}</definedName>
    <definedName name="เฟอร์นิเจอร์" localSheetId="11" hidden="1">{"'SUMMATION'!$B$2:$I$2"}</definedName>
    <definedName name="เฟอร์นิเจอร์" localSheetId="10" hidden="1">{"'SUMMATION'!$B$2:$I$2"}</definedName>
    <definedName name="เฟอร์นิเจอร์" localSheetId="15" hidden="1">{"'SUMMATION'!$B$2:$I$2"}</definedName>
    <definedName name="เฟอร์นิเจอร์" hidden="1">{"'SUMMATION'!$B$2:$I$2"}</definedName>
    <definedName name="กกก" localSheetId="13" hidden="1">{#N/A,#N/A,TRUE,"SUM";#N/A,#N/A,TRUE,"EE";#N/A,#N/A,TRUE,"AC";#N/A,#N/A,TRUE,"SN"}</definedName>
    <definedName name="กกก" localSheetId="14" hidden="1">{#N/A,#N/A,TRUE,"SUM";#N/A,#N/A,TRUE,"EE";#N/A,#N/A,TRUE,"AC";#N/A,#N/A,TRUE,"SN"}</definedName>
    <definedName name="กกก" localSheetId="11" hidden="1">{#N/A,#N/A,TRUE,"SUM";#N/A,#N/A,TRUE,"EE";#N/A,#N/A,TRUE,"AC";#N/A,#N/A,TRUE,"SN"}</definedName>
    <definedName name="กกก" localSheetId="10" hidden="1">{#N/A,#N/A,TRUE,"SUM";#N/A,#N/A,TRUE,"EE";#N/A,#N/A,TRUE,"AC";#N/A,#N/A,TRUE,"SN"}</definedName>
    <definedName name="กกก" localSheetId="15" hidden="1">{#N/A,#N/A,TRUE,"SUM";#N/A,#N/A,TRUE,"EE";#N/A,#N/A,TRUE,"AC";#N/A,#N/A,TRUE,"SN"}</definedName>
    <definedName name="กกก" hidden="1">{#N/A,#N/A,TRUE,"SUM";#N/A,#N/A,TRUE,"EE";#N/A,#N/A,TRUE,"AC";#N/A,#N/A,TRUE,"SN"}</definedName>
    <definedName name="กดเ" localSheetId="13" hidden="1">{#N/A,#N/A,TRUE,"SUM";#N/A,#N/A,TRUE,"EE";#N/A,#N/A,TRUE,"AC";#N/A,#N/A,TRUE,"SN"}</definedName>
    <definedName name="กดเ" localSheetId="14" hidden="1">{#N/A,#N/A,TRUE,"SUM";#N/A,#N/A,TRUE,"EE";#N/A,#N/A,TRUE,"AC";#N/A,#N/A,TRUE,"SN"}</definedName>
    <definedName name="กดเ" localSheetId="11" hidden="1">{#N/A,#N/A,TRUE,"SUM";#N/A,#N/A,TRUE,"EE";#N/A,#N/A,TRUE,"AC";#N/A,#N/A,TRUE,"SN"}</definedName>
    <definedName name="กดเ" localSheetId="10" hidden="1">{#N/A,#N/A,TRUE,"SUM";#N/A,#N/A,TRUE,"EE";#N/A,#N/A,TRUE,"AC";#N/A,#N/A,TRUE,"SN"}</definedName>
    <definedName name="กดเ" localSheetId="15" hidden="1">{#N/A,#N/A,TRUE,"SUM";#N/A,#N/A,TRUE,"EE";#N/A,#N/A,TRUE,"AC";#N/A,#N/A,TRUE,"SN"}</definedName>
    <definedName name="กดเ" hidden="1">{#N/A,#N/A,TRUE,"SUM";#N/A,#N/A,TRUE,"EE";#N/A,#N/A,TRUE,"AC";#N/A,#N/A,TRUE,"SN"}</definedName>
    <definedName name="กดเดก้" localSheetId="13" hidden="1">{#N/A,#N/A,TRUE,"SUM";#N/A,#N/A,TRUE,"EE";#N/A,#N/A,TRUE,"AC";#N/A,#N/A,TRUE,"SN"}</definedName>
    <definedName name="กดเดก้" localSheetId="14" hidden="1">{#N/A,#N/A,TRUE,"SUM";#N/A,#N/A,TRUE,"EE";#N/A,#N/A,TRUE,"AC";#N/A,#N/A,TRUE,"SN"}</definedName>
    <definedName name="กดเดก้" localSheetId="11" hidden="1">{#N/A,#N/A,TRUE,"SUM";#N/A,#N/A,TRUE,"EE";#N/A,#N/A,TRUE,"AC";#N/A,#N/A,TRUE,"SN"}</definedName>
    <definedName name="กดเดก้" localSheetId="10" hidden="1">{#N/A,#N/A,TRUE,"SUM";#N/A,#N/A,TRUE,"EE";#N/A,#N/A,TRUE,"AC";#N/A,#N/A,TRUE,"SN"}</definedName>
    <definedName name="กดเดก้" localSheetId="15" hidden="1">{#N/A,#N/A,TRUE,"SUM";#N/A,#N/A,TRUE,"EE";#N/A,#N/A,TRUE,"AC";#N/A,#N/A,TRUE,"SN"}</definedName>
    <definedName name="กดเดก้" hidden="1">{#N/A,#N/A,TRUE,"SUM";#N/A,#N/A,TRUE,"EE";#N/A,#N/A,TRUE,"AC";#N/A,#N/A,TRUE,"SN"}</definedName>
    <definedName name="กพพ" localSheetId="13" hidden="1">{#N/A,#N/A,TRUE,"SUM";#N/A,#N/A,TRUE,"EE";#N/A,#N/A,TRUE,"AC";#N/A,#N/A,TRUE,"SN"}</definedName>
    <definedName name="กพพ" localSheetId="14" hidden="1">{#N/A,#N/A,TRUE,"SUM";#N/A,#N/A,TRUE,"EE";#N/A,#N/A,TRUE,"AC";#N/A,#N/A,TRUE,"SN"}</definedName>
    <definedName name="กพพ" localSheetId="11" hidden="1">{#N/A,#N/A,TRUE,"SUM";#N/A,#N/A,TRUE,"EE";#N/A,#N/A,TRUE,"AC";#N/A,#N/A,TRUE,"SN"}</definedName>
    <definedName name="กพพ" localSheetId="10" hidden="1">{#N/A,#N/A,TRUE,"SUM";#N/A,#N/A,TRUE,"EE";#N/A,#N/A,TRUE,"AC";#N/A,#N/A,TRUE,"SN"}</definedName>
    <definedName name="กพพ" localSheetId="15" hidden="1">{#N/A,#N/A,TRUE,"SUM";#N/A,#N/A,TRUE,"EE";#N/A,#N/A,TRUE,"AC";#N/A,#N/A,TRUE,"SN"}</definedName>
    <definedName name="กพพ" hidden="1">{#N/A,#N/A,TRUE,"SUM";#N/A,#N/A,TRUE,"EE";#N/A,#N/A,TRUE,"AC";#N/A,#N/A,TRUE,"SN"}</definedName>
    <definedName name="งานชั้น2" localSheetId="13" hidden="1">#REF!</definedName>
    <definedName name="งานชั้น2" localSheetId="14" hidden="1">#REF!</definedName>
    <definedName name="งานชั้น2" localSheetId="11" hidden="1">#REF!</definedName>
    <definedName name="งานชั้น2" localSheetId="15" hidden="1">[6]PL!#REF!</definedName>
    <definedName name="งานชั้น2" hidden="1">#REF!</definedName>
    <definedName name="ปก32" localSheetId="13" hidden="1">{"'SUMMATION'!$B$2:$I$2"}</definedName>
    <definedName name="ปก32" localSheetId="14" hidden="1">{"'SUMMATION'!$B$2:$I$2"}</definedName>
    <definedName name="ปก32" localSheetId="11" hidden="1">{"'SUMMATION'!$B$2:$I$2"}</definedName>
    <definedName name="ปก32" localSheetId="10" hidden="1">{"'SUMMATION'!$B$2:$I$2"}</definedName>
    <definedName name="ปก32" localSheetId="15" hidden="1">{"'SUMMATION'!$B$2:$I$2"}</definedName>
    <definedName name="ปก32" hidden="1">{"'SUMMATION'!$B$2:$I$2"}</definedName>
    <definedName name="พพ" localSheetId="13" hidden="1">{#N/A,#N/A,TRUE,"SUM";#N/A,#N/A,TRUE,"EE";#N/A,#N/A,TRUE,"AC";#N/A,#N/A,TRUE,"SN"}</definedName>
    <definedName name="พพ" localSheetId="14" hidden="1">{#N/A,#N/A,TRUE,"SUM";#N/A,#N/A,TRUE,"EE";#N/A,#N/A,TRUE,"AC";#N/A,#N/A,TRUE,"SN"}</definedName>
    <definedName name="พพ" localSheetId="11" hidden="1">{#N/A,#N/A,TRUE,"SUM";#N/A,#N/A,TRUE,"EE";#N/A,#N/A,TRUE,"AC";#N/A,#N/A,TRUE,"SN"}</definedName>
    <definedName name="พพ" localSheetId="10" hidden="1">{#N/A,#N/A,TRUE,"SUM";#N/A,#N/A,TRUE,"EE";#N/A,#N/A,TRUE,"AC";#N/A,#N/A,TRUE,"SN"}</definedName>
    <definedName name="พพ" localSheetId="15" hidden="1">{#N/A,#N/A,TRUE,"SUM";#N/A,#N/A,TRUE,"EE";#N/A,#N/A,TRUE,"AC";#N/A,#N/A,TRUE,"SN"}</definedName>
    <definedName name="พพ" hidden="1">{#N/A,#N/A,TRUE,"SUM";#N/A,#N/A,TRUE,"EE";#N/A,#N/A,TRUE,"AC";#N/A,#N/A,TRUE,"SN"}</definedName>
    <definedName name="ฟฟ" localSheetId="13" hidden="1">{"'SUMMATION'!$B$2:$I$2"}</definedName>
    <definedName name="ฟฟ" localSheetId="14" hidden="1">{"'SUMMATION'!$B$2:$I$2"}</definedName>
    <definedName name="ฟฟ" localSheetId="11" hidden="1">{"'SUMMATION'!$B$2:$I$2"}</definedName>
    <definedName name="ฟฟ" localSheetId="10" hidden="1">{"'SUMMATION'!$B$2:$I$2"}</definedName>
    <definedName name="ฟฟ" localSheetId="15" hidden="1">{"'SUMMATION'!$B$2:$I$2"}</definedName>
    <definedName name="ฟฟ" hidden="1">{"'SUMMATION'!$B$2:$I$2"}</definedName>
    <definedName name="รวม" localSheetId="13" hidden="1">{#N/A,#N/A,TRUE,"Str.";#N/A,#N/A,TRUE,"Steel &amp; Roof";#N/A,#N/A,TRUE,"Arc.";#N/A,#N/A,TRUE,"Preliminary";#N/A,#N/A,TRUE,"Sum_Prelim"}</definedName>
    <definedName name="รวม" localSheetId="14" hidden="1">{#N/A,#N/A,TRUE,"Str.";#N/A,#N/A,TRUE,"Steel &amp; Roof";#N/A,#N/A,TRUE,"Arc.";#N/A,#N/A,TRUE,"Preliminary";#N/A,#N/A,TRUE,"Sum_Prelim"}</definedName>
    <definedName name="รวม" localSheetId="11" hidden="1">{#N/A,#N/A,TRUE,"Str.";#N/A,#N/A,TRUE,"Steel &amp; Roof";#N/A,#N/A,TRUE,"Arc.";#N/A,#N/A,TRUE,"Preliminary";#N/A,#N/A,TRUE,"Sum_Prelim"}</definedName>
    <definedName name="รวม" localSheetId="10" hidden="1">{#N/A,#N/A,TRUE,"Str.";#N/A,#N/A,TRUE,"Steel &amp; Roof";#N/A,#N/A,TRUE,"Arc.";#N/A,#N/A,TRUE,"Preliminary";#N/A,#N/A,TRUE,"Sum_Prelim"}</definedName>
    <definedName name="รวม" localSheetId="15" hidden="1">{#N/A,#N/A,TRUE,"Str.";#N/A,#N/A,TRUE,"Steel &amp; Roof";#N/A,#N/A,TRUE,"Arc.";#N/A,#N/A,TRUE,"Preliminary";#N/A,#N/A,TRUE,"Sum_Prelim"}</definedName>
    <definedName name="รวม" hidden="1">{#N/A,#N/A,TRUE,"Str.";#N/A,#N/A,TRUE,"Steel &amp; Roof";#N/A,#N/A,TRUE,"Arc.";#N/A,#N/A,TRUE,"Preliminary";#N/A,#N/A,TRUE,"Sum_Prelim"}</definedName>
    <definedName name="ส่วนต่าง" localSheetId="13" hidden="1">#REF!</definedName>
    <definedName name="ส่วนต่าง" localSheetId="14" hidden="1">#REF!</definedName>
    <definedName name="ส่วนต่าง" localSheetId="11" hidden="1">#REF!</definedName>
    <definedName name="ส่วนต่าง" localSheetId="15" hidden="1">[7]PL!#REF!</definedName>
    <definedName name="ส่วนต่าง" hidden="1">#REF!</definedName>
    <definedName name="สำเริง" localSheetId="13" hidden="1">{#N/A,#N/A,TRUE,"Str.";#N/A,#N/A,TRUE,"Steel &amp; Roof";#N/A,#N/A,TRUE,"Arc.";#N/A,#N/A,TRUE,"Preliminary";#N/A,#N/A,TRUE,"Sum_Prelim"}</definedName>
    <definedName name="สำเริง" localSheetId="14" hidden="1">{#N/A,#N/A,TRUE,"Str.";#N/A,#N/A,TRUE,"Steel &amp; Roof";#N/A,#N/A,TRUE,"Arc.";#N/A,#N/A,TRUE,"Preliminary";#N/A,#N/A,TRUE,"Sum_Prelim"}</definedName>
    <definedName name="สำเริง" localSheetId="11" hidden="1">{#N/A,#N/A,TRUE,"Str.";#N/A,#N/A,TRUE,"Steel &amp; Roof";#N/A,#N/A,TRUE,"Arc.";#N/A,#N/A,TRUE,"Preliminary";#N/A,#N/A,TRUE,"Sum_Prelim"}</definedName>
    <definedName name="สำเริง" localSheetId="10" hidden="1">{#N/A,#N/A,TRUE,"Str.";#N/A,#N/A,TRUE,"Steel &amp; Roof";#N/A,#N/A,TRUE,"Arc.";#N/A,#N/A,TRUE,"Preliminary";#N/A,#N/A,TRUE,"Sum_Prelim"}</definedName>
    <definedName name="สำเริง" localSheetId="15" hidden="1">{#N/A,#N/A,TRUE,"Str.";#N/A,#N/A,TRUE,"Steel &amp; Roof";#N/A,#N/A,TRUE,"Arc.";#N/A,#N/A,TRUE,"Preliminary";#N/A,#N/A,TRUE,"Sum_Prelim"}</definedName>
    <definedName name="สำเริง" hidden="1">{#N/A,#N/A,TRUE,"Str.";#N/A,#N/A,TRUE,"Steel &amp; Roof";#N/A,#N/A,TRUE,"Arc.";#N/A,#N/A,TRUE,"Preliminary";#N/A,#N/A,TRUE,"Sum_Prelim"}</definedName>
    <definedName name="หดกฟ" localSheetId="13" hidden="1">{#N/A,#N/A,TRUE,"SUM";#N/A,#N/A,TRUE,"EE";#N/A,#N/A,TRUE,"AC";#N/A,#N/A,TRUE,"SN"}</definedName>
    <definedName name="หดกฟ" localSheetId="14" hidden="1">{#N/A,#N/A,TRUE,"SUM";#N/A,#N/A,TRUE,"EE";#N/A,#N/A,TRUE,"AC";#N/A,#N/A,TRUE,"SN"}</definedName>
    <definedName name="หดกฟ" localSheetId="11" hidden="1">{#N/A,#N/A,TRUE,"SUM";#N/A,#N/A,TRUE,"EE";#N/A,#N/A,TRUE,"AC";#N/A,#N/A,TRUE,"SN"}</definedName>
    <definedName name="หดกฟ" localSheetId="10" hidden="1">{#N/A,#N/A,TRUE,"SUM";#N/A,#N/A,TRUE,"EE";#N/A,#N/A,TRUE,"AC";#N/A,#N/A,TRUE,"SN"}</definedName>
    <definedName name="หดกฟ" localSheetId="15" hidden="1">{#N/A,#N/A,TRUE,"SUM";#N/A,#N/A,TRUE,"EE";#N/A,#N/A,TRUE,"AC";#N/A,#N/A,TRUE,"SN"}</definedName>
    <definedName name="หดกฟ" hidden="1">{#N/A,#N/A,TRUE,"SUM";#N/A,#N/A,TRUE,"EE";#N/A,#N/A,TRUE,"AC";#N/A,#N/A,TRUE,"SN"}</definedName>
    <definedName name="หหาหหา" localSheetId="11" hidden="1">#REF!</definedName>
    <definedName name="หหาหหา" localSheetId="15" hidden="1">[8]PL!#REF!</definedName>
    <definedName name="หหาหหา" hidden="1">#REF!</definedName>
    <definedName name="ๆ" localSheetId="13" hidden="1">{#N/A,#N/A,TRUE,"SUM";#N/A,#N/A,TRUE,"EE";#N/A,#N/A,TRUE,"AC";#N/A,#N/A,TRUE,"SN"}</definedName>
    <definedName name="ๆ" localSheetId="14" hidden="1">{#N/A,#N/A,TRUE,"SUM";#N/A,#N/A,TRUE,"EE";#N/A,#N/A,TRUE,"AC";#N/A,#N/A,TRUE,"SN"}</definedName>
    <definedName name="ๆ" localSheetId="11" hidden="1">{#N/A,#N/A,TRUE,"SUM";#N/A,#N/A,TRUE,"EE";#N/A,#N/A,TRUE,"AC";#N/A,#N/A,TRUE,"SN"}</definedName>
    <definedName name="ๆ" localSheetId="10" hidden="1">{#N/A,#N/A,TRUE,"SUM";#N/A,#N/A,TRUE,"EE";#N/A,#N/A,TRUE,"AC";#N/A,#N/A,TRUE,"SN"}</definedName>
    <definedName name="ๆ" localSheetId="15" hidden="1">{#N/A,#N/A,TRUE,"SUM";#N/A,#N/A,TRUE,"EE";#N/A,#N/A,TRUE,"AC";#N/A,#N/A,TRUE,"SN"}</definedName>
    <definedName name="ๆ" hidden="1">{#N/A,#N/A,TRUE,"SUM";#N/A,#N/A,TRUE,"EE";#N/A,#N/A,TRUE,"AC";#N/A,#N/A,TRUE,"SN"}</definedName>
  </definedNames>
  <calcPr calcId="191029" calcMode="autoNoTable"/>
  <pivotCaches>
    <pivotCache cacheId="8" r:id="rId25"/>
    <pivotCache cacheId="9" r:id="rId2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8" i="43" l="1"/>
  <c r="L58" i="43" s="1"/>
  <c r="L55" i="43"/>
  <c r="K54" i="43"/>
  <c r="L54" i="43" s="1"/>
  <c r="P53" i="43"/>
  <c r="P54" i="43" s="1"/>
  <c r="K56" i="43" s="1"/>
  <c r="L56" i="43" s="1"/>
  <c r="C16" i="14" s="1"/>
  <c r="K53" i="43"/>
  <c r="L53" i="43" s="1"/>
  <c r="P52" i="43"/>
  <c r="K57" i="43" s="1"/>
  <c r="L57" i="43" s="1"/>
  <c r="L52" i="43"/>
  <c r="K52" i="43"/>
  <c r="K51" i="43"/>
  <c r="L51" i="43" s="1"/>
  <c r="L50" i="43"/>
  <c r="K50" i="43"/>
  <c r="I50" i="43"/>
  <c r="K49" i="43"/>
  <c r="I49" i="43"/>
  <c r="L49" i="43" s="1"/>
  <c r="K48" i="43"/>
  <c r="I48" i="43"/>
  <c r="L48" i="43" s="1"/>
  <c r="I47" i="43"/>
  <c r="L47" i="43" s="1"/>
  <c r="K46" i="43"/>
  <c r="L46" i="43" s="1"/>
  <c r="K42" i="43"/>
  <c r="K41" i="43"/>
  <c r="L41" i="43" s="1"/>
  <c r="L43" i="43" s="1"/>
  <c r="H41" i="43"/>
  <c r="K37" i="43"/>
  <c r="L37" i="43" s="1"/>
  <c r="L38" i="43" s="1"/>
  <c r="K12" i="43"/>
  <c r="H3" i="7"/>
  <c r="H2" i="7"/>
  <c r="C12" i="10"/>
  <c r="F56" i="16"/>
  <c r="F55" i="16"/>
  <c r="F54" i="16"/>
  <c r="F53" i="16"/>
  <c r="F52" i="16"/>
  <c r="F51" i="16"/>
  <c r="F50" i="16"/>
  <c r="F47" i="16"/>
  <c r="F46" i="16"/>
  <c r="F45" i="16"/>
  <c r="F44" i="16"/>
  <c r="F43" i="16"/>
  <c r="F42" i="16"/>
  <c r="F41"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G7" i="7"/>
  <c r="L59" i="43" l="1"/>
  <c r="C15" i="14" s="1"/>
  <c r="P63" i="43"/>
  <c r="D14" i="14" s="1"/>
  <c r="L62" i="43"/>
  <c r="L60" i="43" l="1"/>
  <c r="L63" i="43" s="1"/>
  <c r="U522" i="3"/>
  <c r="R522" i="3" s="1"/>
  <c r="W522" i="3"/>
  <c r="U523" i="3"/>
  <c r="R523" i="3" s="1"/>
  <c r="W523" i="3"/>
  <c r="L2" i="42"/>
  <c r="L3" i="42"/>
  <c r="L4" i="42"/>
  <c r="L5" i="42"/>
  <c r="L6" i="42"/>
  <c r="L7" i="42"/>
  <c r="L8" i="42"/>
  <c r="L9" i="42"/>
  <c r="L10" i="42"/>
  <c r="L11" i="42"/>
  <c r="L12" i="42"/>
  <c r="L13"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56" i="42"/>
  <c r="L57" i="42"/>
  <c r="L58" i="42"/>
  <c r="L59" i="42"/>
  <c r="L60" i="42"/>
  <c r="L61" i="42"/>
  <c r="L62" i="42"/>
  <c r="L63" i="42"/>
  <c r="L64" i="42"/>
  <c r="L65" i="42"/>
  <c r="L66" i="42"/>
  <c r="L67" i="42"/>
  <c r="L68" i="42"/>
  <c r="L69" i="42"/>
  <c r="L70" i="42"/>
  <c r="L71" i="42"/>
  <c r="L72" i="42"/>
  <c r="L73" i="42"/>
  <c r="L74" i="42"/>
  <c r="L75" i="42"/>
  <c r="L76" i="42"/>
  <c r="L77" i="42"/>
  <c r="L78" i="42"/>
  <c r="L79" i="42"/>
  <c r="L80" i="42"/>
  <c r="L81" i="42"/>
  <c r="L82" i="42"/>
  <c r="O2" i="42"/>
  <c r="O3" i="42"/>
  <c r="O4" i="42"/>
  <c r="O5" i="42"/>
  <c r="O6" i="42"/>
  <c r="O7" i="42"/>
  <c r="O8" i="42"/>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O52" i="42"/>
  <c r="O53" i="42"/>
  <c r="O54" i="42"/>
  <c r="O55" i="42"/>
  <c r="O56" i="42"/>
  <c r="O57" i="42"/>
  <c r="O58" i="42"/>
  <c r="O59" i="42"/>
  <c r="O60" i="42"/>
  <c r="O61" i="42"/>
  <c r="O62" i="42"/>
  <c r="O63" i="42"/>
  <c r="O64" i="42"/>
  <c r="O65" i="42"/>
  <c r="O66" i="42"/>
  <c r="O67" i="42"/>
  <c r="O68" i="42"/>
  <c r="O69" i="42"/>
  <c r="O70" i="42"/>
  <c r="O71" i="42"/>
  <c r="O72" i="42"/>
  <c r="O73" i="42"/>
  <c r="O74" i="42"/>
  <c r="O75" i="42"/>
  <c r="O76" i="42"/>
  <c r="O77" i="42"/>
  <c r="O78" i="42"/>
  <c r="O79" i="42"/>
  <c r="O80" i="42"/>
  <c r="O81" i="42"/>
  <c r="O82" i="42"/>
  <c r="P2"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P52" i="42"/>
  <c r="P53" i="42"/>
  <c r="P54" i="42"/>
  <c r="P55" i="42"/>
  <c r="P56" i="42"/>
  <c r="P57" i="42"/>
  <c r="P58" i="42"/>
  <c r="P59" i="42"/>
  <c r="P60" i="42"/>
  <c r="P61" i="42"/>
  <c r="P62" i="42"/>
  <c r="P63" i="42"/>
  <c r="P64" i="42"/>
  <c r="P65" i="42"/>
  <c r="P66" i="42"/>
  <c r="P67" i="42"/>
  <c r="P68" i="42"/>
  <c r="P69" i="42"/>
  <c r="P70" i="42"/>
  <c r="P71" i="42"/>
  <c r="P72" i="42"/>
  <c r="P73" i="42"/>
  <c r="P74" i="42"/>
  <c r="P75" i="42"/>
  <c r="P76" i="42"/>
  <c r="P77" i="42"/>
  <c r="P78" i="42"/>
  <c r="P79" i="42"/>
  <c r="P80" i="42"/>
  <c r="P81" i="42"/>
  <c r="P82" i="42"/>
  <c r="Q2" i="42"/>
  <c r="Q3" i="42"/>
  <c r="Q4" i="42"/>
  <c r="Q5" i="42"/>
  <c r="Q6" i="42"/>
  <c r="Q7" i="42"/>
  <c r="Q8" i="42"/>
  <c r="Q9" i="42"/>
  <c r="Q10" i="42"/>
  <c r="Q11" i="42"/>
  <c r="Q12" i="42"/>
  <c r="Q13" i="42"/>
  <c r="Q14" i="42"/>
  <c r="Q15" i="42"/>
  <c r="Q16" i="42"/>
  <c r="Q17" i="42"/>
  <c r="Q18" i="42"/>
  <c r="Q19" i="42"/>
  <c r="Q20" i="42"/>
  <c r="Q21" i="42"/>
  <c r="Q22" i="42"/>
  <c r="Q23" i="42"/>
  <c r="Q24" i="42"/>
  <c r="Q25" i="42"/>
  <c r="Q26" i="42"/>
  <c r="Q27" i="42"/>
  <c r="Q28" i="42"/>
  <c r="Q29" i="42"/>
  <c r="Q30" i="42"/>
  <c r="Q31" i="42"/>
  <c r="Q32" i="42"/>
  <c r="Q33" i="42"/>
  <c r="Q34" i="42"/>
  <c r="Q35" i="42"/>
  <c r="Q36" i="42"/>
  <c r="Q37" i="42"/>
  <c r="Q38" i="42"/>
  <c r="Q39" i="42"/>
  <c r="Q40" i="42"/>
  <c r="Q41" i="42"/>
  <c r="Q42" i="42"/>
  <c r="Q43" i="42"/>
  <c r="Q44" i="42"/>
  <c r="Q45" i="42"/>
  <c r="Q46" i="42"/>
  <c r="Q47" i="42"/>
  <c r="Q48" i="42"/>
  <c r="Q49" i="42"/>
  <c r="Q50" i="42"/>
  <c r="Q51" i="42"/>
  <c r="Q52" i="42"/>
  <c r="Q53" i="42"/>
  <c r="Q54" i="42"/>
  <c r="Q55" i="42"/>
  <c r="Q56" i="42"/>
  <c r="Q57" i="42"/>
  <c r="Q58" i="42"/>
  <c r="Q59" i="42"/>
  <c r="Q60" i="42"/>
  <c r="Q61" i="42"/>
  <c r="Q62" i="42"/>
  <c r="Q63" i="42"/>
  <c r="Q64" i="42"/>
  <c r="Q65" i="42"/>
  <c r="Q66" i="42"/>
  <c r="Q67" i="42"/>
  <c r="Q68" i="42"/>
  <c r="Q69" i="42"/>
  <c r="Q70" i="42"/>
  <c r="Q71" i="42"/>
  <c r="Q72" i="42"/>
  <c r="Q73" i="42"/>
  <c r="Q74" i="42"/>
  <c r="Q75" i="42"/>
  <c r="Q76" i="42"/>
  <c r="Q77" i="42"/>
  <c r="Q78" i="42"/>
  <c r="Q79" i="42"/>
  <c r="Q80" i="42"/>
  <c r="Q81" i="42"/>
  <c r="Q82" i="42"/>
  <c r="R2" i="42"/>
  <c r="R3" i="42"/>
  <c r="R4" i="42"/>
  <c r="R5" i="42"/>
  <c r="R6" i="42"/>
  <c r="R7" i="42"/>
  <c r="R8" i="42"/>
  <c r="R9" i="42"/>
  <c r="R10" i="42"/>
  <c r="R11" i="42"/>
  <c r="R12" i="42"/>
  <c r="R13" i="42"/>
  <c r="R14" i="42"/>
  <c r="R15" i="42"/>
  <c r="R16" i="42"/>
  <c r="R17" i="42"/>
  <c r="R18" i="42"/>
  <c r="R19" i="42"/>
  <c r="R20" i="42"/>
  <c r="R21" i="42"/>
  <c r="R22" i="42"/>
  <c r="R23" i="42"/>
  <c r="R24" i="42"/>
  <c r="R25" i="42"/>
  <c r="R26" i="42"/>
  <c r="R27" i="42"/>
  <c r="R28" i="42"/>
  <c r="R29" i="42"/>
  <c r="R30" i="42"/>
  <c r="R31" i="42"/>
  <c r="R32" i="42"/>
  <c r="R33" i="42"/>
  <c r="R34" i="42"/>
  <c r="R35" i="42"/>
  <c r="R36" i="42"/>
  <c r="R37" i="42"/>
  <c r="R38" i="42"/>
  <c r="R39" i="42"/>
  <c r="R40" i="42"/>
  <c r="R41" i="42"/>
  <c r="R42" i="42"/>
  <c r="R43" i="42"/>
  <c r="R44" i="42"/>
  <c r="R45" i="42"/>
  <c r="R46" i="42"/>
  <c r="R47" i="42"/>
  <c r="R48" i="42"/>
  <c r="R49" i="42"/>
  <c r="R50" i="42"/>
  <c r="R51" i="42"/>
  <c r="R52" i="42"/>
  <c r="R53" i="42"/>
  <c r="R54" i="42"/>
  <c r="R55" i="42"/>
  <c r="R56" i="42"/>
  <c r="R57" i="42"/>
  <c r="R58" i="42"/>
  <c r="R59" i="42"/>
  <c r="R60" i="42"/>
  <c r="R61" i="42"/>
  <c r="R62" i="42"/>
  <c r="R63" i="42"/>
  <c r="R64" i="42"/>
  <c r="R65" i="42"/>
  <c r="R66" i="42"/>
  <c r="R67" i="42"/>
  <c r="R68" i="42"/>
  <c r="R69" i="42"/>
  <c r="R70" i="42"/>
  <c r="R71" i="42"/>
  <c r="R72" i="42"/>
  <c r="R73" i="42"/>
  <c r="R74" i="42"/>
  <c r="R75" i="42"/>
  <c r="R76" i="42"/>
  <c r="R77" i="42"/>
  <c r="R78" i="42"/>
  <c r="R79" i="42"/>
  <c r="R80" i="42"/>
  <c r="R81" i="42"/>
  <c r="R82" i="42"/>
  <c r="S2" i="42"/>
  <c r="S3" i="42"/>
  <c r="S4" i="42"/>
  <c r="S5" i="42"/>
  <c r="S6" i="42"/>
  <c r="S7" i="42"/>
  <c r="S8" i="42"/>
  <c r="S9" i="42"/>
  <c r="S10" i="42"/>
  <c r="S11" i="42"/>
  <c r="S12" i="42"/>
  <c r="S13" i="42"/>
  <c r="S14" i="42"/>
  <c r="S15" i="42"/>
  <c r="S16" i="42"/>
  <c r="S17" i="42"/>
  <c r="S18" i="42"/>
  <c r="S19" i="42"/>
  <c r="S20" i="42"/>
  <c r="S21" i="42"/>
  <c r="S22" i="42"/>
  <c r="S23" i="42"/>
  <c r="S24" i="42"/>
  <c r="S25" i="42"/>
  <c r="S26" i="42"/>
  <c r="S27" i="42"/>
  <c r="S28" i="42"/>
  <c r="S29" i="42"/>
  <c r="S30" i="42"/>
  <c r="S31" i="42"/>
  <c r="S32" i="42"/>
  <c r="S33" i="42"/>
  <c r="S34" i="42"/>
  <c r="S35" i="42"/>
  <c r="S36" i="42"/>
  <c r="S37" i="42"/>
  <c r="S38" i="42"/>
  <c r="S39" i="42"/>
  <c r="S40" i="42"/>
  <c r="S41" i="42"/>
  <c r="S42" i="42"/>
  <c r="S43" i="42"/>
  <c r="S44" i="42"/>
  <c r="S45" i="42"/>
  <c r="S46" i="42"/>
  <c r="S47" i="42"/>
  <c r="S48" i="42"/>
  <c r="S49" i="42"/>
  <c r="S50" i="42"/>
  <c r="S51" i="42"/>
  <c r="S52" i="42"/>
  <c r="S53" i="42"/>
  <c r="S54" i="42"/>
  <c r="S55" i="42"/>
  <c r="S56" i="42"/>
  <c r="S57" i="42"/>
  <c r="S58" i="42"/>
  <c r="S59" i="42"/>
  <c r="S60" i="42"/>
  <c r="S61" i="42"/>
  <c r="S62" i="42"/>
  <c r="S63" i="42"/>
  <c r="S64" i="42"/>
  <c r="S65" i="42"/>
  <c r="S66" i="42"/>
  <c r="S67" i="42"/>
  <c r="S68" i="42"/>
  <c r="S69" i="42"/>
  <c r="S70" i="42"/>
  <c r="S71" i="42"/>
  <c r="S72" i="42"/>
  <c r="S73" i="42"/>
  <c r="S74" i="42"/>
  <c r="S75" i="42"/>
  <c r="S76" i="42"/>
  <c r="S77" i="42"/>
  <c r="S78" i="42"/>
  <c r="S79" i="42"/>
  <c r="S80" i="42"/>
  <c r="S81" i="42"/>
  <c r="S82" i="42"/>
  <c r="J6" i="42"/>
  <c r="V523" i="3" l="1"/>
  <c r="V522" i="3"/>
  <c r="T522" i="3"/>
  <c r="S522" i="3"/>
  <c r="T523" i="3"/>
  <c r="S523"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W463" i="3"/>
  <c r="W464" i="3"/>
  <c r="W465" i="3"/>
  <c r="W466" i="3"/>
  <c r="W467" i="3"/>
  <c r="W468" i="3"/>
  <c r="W469" i="3"/>
  <c r="W470" i="3"/>
  <c r="W471" i="3"/>
  <c r="W472" i="3"/>
  <c r="W473" i="3"/>
  <c r="W474" i="3"/>
  <c r="W475" i="3"/>
  <c r="W476" i="3"/>
  <c r="W477" i="3"/>
  <c r="W478" i="3"/>
  <c r="W479" i="3"/>
  <c r="W480" i="3"/>
  <c r="W481" i="3"/>
  <c r="W482" i="3"/>
  <c r="W483" i="3"/>
  <c r="W484" i="3"/>
  <c r="W485" i="3"/>
  <c r="W486" i="3"/>
  <c r="W487" i="3"/>
  <c r="W488" i="3"/>
  <c r="W489" i="3"/>
  <c r="W490" i="3"/>
  <c r="W491" i="3"/>
  <c r="W492" i="3"/>
  <c r="W493" i="3"/>
  <c r="W494" i="3"/>
  <c r="W495" i="3"/>
  <c r="W496" i="3"/>
  <c r="W497" i="3"/>
  <c r="W498" i="3"/>
  <c r="W499" i="3"/>
  <c r="W500" i="3"/>
  <c r="W501" i="3"/>
  <c r="W502" i="3"/>
  <c r="W503" i="3"/>
  <c r="W504" i="3"/>
  <c r="W505" i="3"/>
  <c r="W506" i="3"/>
  <c r="W507" i="3"/>
  <c r="W508" i="3"/>
  <c r="W509" i="3"/>
  <c r="W510" i="3"/>
  <c r="W511" i="3"/>
  <c r="W512" i="3"/>
  <c r="W513" i="3"/>
  <c r="W514" i="3"/>
  <c r="W515" i="3"/>
  <c r="W516" i="3"/>
  <c r="W517" i="3"/>
  <c r="W518" i="3"/>
  <c r="W519" i="3"/>
  <c r="W520" i="3"/>
  <c r="W521" i="3"/>
  <c r="W524" i="3"/>
  <c r="W525" i="3"/>
  <c r="W526" i="3"/>
  <c r="W527" i="3"/>
  <c r="W528" i="3"/>
  <c r="W529" i="3"/>
  <c r="W530" i="3"/>
  <c r="W531" i="3"/>
  <c r="W532" i="3"/>
  <c r="W533" i="3"/>
  <c r="W534" i="3"/>
  <c r="W535" i="3"/>
  <c r="W536" i="3"/>
  <c r="W537" i="3"/>
  <c r="W538" i="3"/>
  <c r="W539" i="3"/>
  <c r="W540" i="3"/>
  <c r="W541" i="3"/>
  <c r="W542" i="3"/>
  <c r="W543" i="3"/>
  <c r="W544" i="3"/>
  <c r="W545" i="3"/>
  <c r="W546" i="3"/>
  <c r="W547" i="3"/>
  <c r="W548" i="3"/>
  <c r="W549" i="3"/>
  <c r="W550" i="3"/>
  <c r="W551" i="3"/>
  <c r="W552" i="3"/>
  <c r="W553" i="3"/>
  <c r="W554" i="3"/>
  <c r="W555" i="3"/>
  <c r="W556" i="3"/>
  <c r="W557" i="3"/>
  <c r="W558" i="3"/>
  <c r="W559" i="3"/>
  <c r="W560" i="3"/>
  <c r="W561" i="3"/>
  <c r="W562" i="3"/>
  <c r="W563" i="3"/>
  <c r="W564" i="3"/>
  <c r="W565" i="3"/>
  <c r="W566" i="3"/>
  <c r="W567" i="3"/>
  <c r="W568" i="3"/>
  <c r="W569" i="3"/>
  <c r="W570" i="3"/>
  <c r="W571" i="3"/>
  <c r="W572" i="3"/>
  <c r="W573" i="3"/>
  <c r="W574" i="3"/>
  <c r="W575" i="3"/>
  <c r="W576" i="3"/>
  <c r="W577" i="3"/>
  <c r="W578" i="3"/>
  <c r="W579" i="3"/>
  <c r="W580" i="3"/>
  <c r="W581" i="3"/>
  <c r="W582" i="3"/>
  <c r="W583" i="3"/>
  <c r="W584" i="3"/>
  <c r="W585" i="3"/>
  <c r="W586" i="3"/>
  <c r="W587" i="3"/>
  <c r="W588" i="3"/>
  <c r="W589" i="3"/>
  <c r="W590" i="3"/>
  <c r="W591" i="3"/>
  <c r="W592" i="3"/>
  <c r="W593" i="3"/>
  <c r="W594" i="3"/>
  <c r="W595" i="3"/>
  <c r="W596" i="3"/>
  <c r="W597" i="3"/>
  <c r="W598" i="3"/>
  <c r="W599" i="3"/>
  <c r="W600" i="3"/>
  <c r="W601" i="3"/>
  <c r="W602" i="3"/>
  <c r="W603" i="3"/>
  <c r="W604" i="3"/>
  <c r="W605" i="3"/>
  <c r="W606" i="3"/>
  <c r="W607" i="3"/>
  <c r="W608" i="3"/>
  <c r="W609" i="3"/>
  <c r="W610" i="3"/>
  <c r="W611" i="3"/>
  <c r="W612" i="3"/>
  <c r="W613" i="3"/>
  <c r="W614" i="3"/>
  <c r="W615" i="3"/>
  <c r="W616" i="3"/>
  <c r="W617" i="3"/>
  <c r="W618" i="3"/>
  <c r="W619" i="3"/>
  <c r="W620" i="3"/>
  <c r="W621" i="3"/>
  <c r="W622" i="3"/>
  <c r="W623" i="3"/>
  <c r="W624" i="3"/>
  <c r="W625" i="3"/>
  <c r="W626" i="3"/>
  <c r="W627" i="3"/>
  <c r="W628" i="3"/>
  <c r="W629" i="3"/>
  <c r="W630" i="3"/>
  <c r="W631" i="3"/>
  <c r="W632" i="3"/>
  <c r="W633" i="3"/>
  <c r="W634" i="3"/>
  <c r="W635" i="3"/>
  <c r="W636" i="3"/>
  <c r="W637" i="3"/>
  <c r="W638" i="3"/>
  <c r="W639" i="3"/>
  <c r="W640" i="3"/>
  <c r="W641" i="3"/>
  <c r="W642" i="3"/>
  <c r="W643" i="3"/>
  <c r="W644" i="3"/>
  <c r="W645" i="3"/>
  <c r="W646" i="3"/>
  <c r="W647" i="3"/>
  <c r="W648" i="3"/>
  <c r="W649" i="3"/>
  <c r="W650" i="3"/>
  <c r="W651" i="3"/>
  <c r="W652" i="3"/>
  <c r="W653" i="3"/>
  <c r="W654" i="3"/>
  <c r="W655" i="3"/>
  <c r="W656" i="3"/>
  <c r="W657" i="3"/>
  <c r="W658" i="3"/>
  <c r="W659" i="3"/>
  <c r="W660" i="3"/>
  <c r="W661" i="3"/>
  <c r="W662" i="3"/>
  <c r="W663" i="3"/>
  <c r="W664" i="3"/>
  <c r="W665" i="3"/>
  <c r="W666" i="3"/>
  <c r="W667" i="3"/>
  <c r="W668" i="3"/>
  <c r="W669" i="3"/>
  <c r="W670" i="3"/>
  <c r="W671" i="3"/>
  <c r="W672" i="3"/>
  <c r="W673" i="3"/>
  <c r="W674" i="3"/>
  <c r="W675" i="3"/>
  <c r="W676" i="3"/>
  <c r="W677" i="3"/>
  <c r="W678" i="3"/>
  <c r="W679" i="3"/>
  <c r="W680" i="3"/>
  <c r="W681" i="3"/>
  <c r="W682" i="3"/>
  <c r="W683" i="3"/>
  <c r="W684" i="3"/>
  <c r="W685" i="3"/>
  <c r="W686" i="3"/>
  <c r="W687" i="3"/>
  <c r="W688" i="3"/>
  <c r="W689" i="3"/>
  <c r="W690" i="3"/>
  <c r="W691" i="3"/>
  <c r="W692" i="3"/>
  <c r="W693" i="3"/>
  <c r="W694" i="3"/>
  <c r="W695" i="3"/>
  <c r="W696" i="3"/>
  <c r="W697" i="3"/>
  <c r="W698" i="3"/>
  <c r="W699" i="3"/>
  <c r="W700" i="3"/>
  <c r="W701" i="3"/>
  <c r="W702" i="3"/>
  <c r="W703" i="3"/>
  <c r="W704" i="3"/>
  <c r="W705" i="3"/>
  <c r="W706" i="3"/>
  <c r="W707" i="3"/>
  <c r="W708" i="3"/>
  <c r="W709" i="3"/>
  <c r="W710" i="3"/>
  <c r="W711" i="3"/>
  <c r="W712" i="3"/>
  <c r="W713" i="3"/>
  <c r="W714" i="3"/>
  <c r="W715" i="3"/>
  <c r="W716" i="3"/>
  <c r="W717" i="3"/>
  <c r="W718" i="3"/>
  <c r="W719" i="3"/>
  <c r="W720" i="3"/>
  <c r="W721" i="3"/>
  <c r="W722" i="3"/>
  <c r="W723" i="3"/>
  <c r="W724" i="3"/>
  <c r="W725" i="3"/>
  <c r="W726" i="3"/>
  <c r="W727" i="3"/>
  <c r="W728" i="3"/>
  <c r="W729" i="3"/>
  <c r="W730" i="3"/>
  <c r="W731" i="3"/>
  <c r="W732" i="3"/>
  <c r="W733" i="3"/>
  <c r="W734" i="3"/>
  <c r="W735" i="3"/>
  <c r="W736" i="3"/>
  <c r="W737" i="3"/>
  <c r="W738" i="3"/>
  <c r="W739" i="3"/>
  <c r="W740" i="3"/>
  <c r="W741" i="3"/>
  <c r="W742" i="3"/>
  <c r="W743" i="3"/>
  <c r="W744" i="3"/>
  <c r="W745" i="3"/>
  <c r="W746" i="3"/>
  <c r="W747" i="3"/>
  <c r="W748" i="3"/>
  <c r="W749" i="3"/>
  <c r="W750" i="3"/>
  <c r="W751" i="3"/>
  <c r="W752" i="3"/>
  <c r="W753" i="3"/>
  <c r="W754" i="3"/>
  <c r="W755" i="3"/>
  <c r="W756" i="3"/>
  <c r="W757" i="3"/>
  <c r="W758" i="3"/>
  <c r="W759" i="3"/>
  <c r="W760" i="3"/>
  <c r="W761" i="3"/>
  <c r="W762" i="3"/>
  <c r="W763" i="3"/>
  <c r="W764" i="3"/>
  <c r="W765" i="3"/>
  <c r="W766" i="3"/>
  <c r="W767" i="3"/>
  <c r="W768" i="3"/>
  <c r="W769" i="3"/>
  <c r="W770" i="3"/>
  <c r="W771" i="3"/>
  <c r="W772" i="3"/>
  <c r="W773" i="3"/>
  <c r="W774" i="3"/>
  <c r="W775" i="3"/>
  <c r="W776" i="3"/>
  <c r="W777" i="3"/>
  <c r="W778" i="3"/>
  <c r="W779" i="3"/>
  <c r="W780" i="3"/>
  <c r="W781" i="3"/>
  <c r="W782" i="3"/>
  <c r="W783" i="3"/>
  <c r="W784" i="3"/>
  <c r="W785" i="3"/>
  <c r="W786" i="3"/>
  <c r="W787" i="3"/>
  <c r="W788" i="3"/>
  <c r="W789" i="3"/>
  <c r="W790" i="3"/>
  <c r="W791" i="3"/>
  <c r="W792" i="3"/>
  <c r="W793" i="3"/>
  <c r="W794" i="3"/>
  <c r="W795" i="3"/>
  <c r="W796" i="3"/>
  <c r="W797" i="3"/>
  <c r="W798" i="3"/>
  <c r="W799" i="3"/>
  <c r="W800" i="3"/>
  <c r="W801" i="3"/>
  <c r="W802" i="3"/>
  <c r="W803" i="3"/>
  <c r="W804" i="3"/>
  <c r="W805" i="3"/>
  <c r="W806" i="3"/>
  <c r="W807" i="3"/>
  <c r="W808" i="3"/>
  <c r="W809" i="3"/>
  <c r="W810" i="3"/>
  <c r="W811" i="3"/>
  <c r="W812" i="3"/>
  <c r="W813" i="3"/>
  <c r="W814" i="3"/>
  <c r="W815" i="3"/>
  <c r="W816" i="3"/>
  <c r="W817" i="3"/>
  <c r="W818" i="3"/>
  <c r="W819" i="3"/>
  <c r="W820" i="3"/>
  <c r="W821" i="3"/>
  <c r="W822" i="3"/>
  <c r="W823" i="3"/>
  <c r="W824" i="3"/>
  <c r="W825" i="3"/>
  <c r="W826" i="3"/>
  <c r="W827" i="3"/>
  <c r="W828" i="3"/>
  <c r="W829" i="3"/>
  <c r="W830" i="3"/>
  <c r="W831" i="3"/>
  <c r="W832" i="3"/>
  <c r="W833" i="3"/>
  <c r="W834" i="3"/>
  <c r="W835" i="3"/>
  <c r="W836" i="3"/>
  <c r="W837" i="3"/>
  <c r="W838" i="3"/>
  <c r="W839" i="3"/>
  <c r="W840" i="3"/>
  <c r="W841" i="3"/>
  <c r="W842" i="3"/>
  <c r="W843" i="3"/>
  <c r="W844" i="3"/>
  <c r="W845" i="3"/>
  <c r="W846" i="3"/>
  <c r="W847" i="3"/>
  <c r="W848" i="3"/>
  <c r="W849" i="3"/>
  <c r="W850" i="3"/>
  <c r="W851" i="3"/>
  <c r="W852" i="3"/>
  <c r="W853" i="3"/>
  <c r="W854" i="3"/>
  <c r="W855" i="3"/>
  <c r="W856" i="3"/>
  <c r="W857" i="3"/>
  <c r="W858" i="3"/>
  <c r="W859" i="3"/>
  <c r="W860" i="3"/>
  <c r="W861" i="3"/>
  <c r="W862" i="3"/>
  <c r="W863" i="3"/>
  <c r="W864" i="3"/>
  <c r="W865" i="3"/>
  <c r="W866" i="3"/>
  <c r="W867" i="3"/>
  <c r="W868" i="3"/>
  <c r="W869" i="3"/>
  <c r="W870" i="3"/>
  <c r="W871" i="3"/>
  <c r="W872" i="3"/>
  <c r="W873" i="3"/>
  <c r="W874" i="3"/>
  <c r="W875" i="3"/>
  <c r="W876" i="3"/>
  <c r="W877" i="3"/>
  <c r="W878" i="3"/>
  <c r="W879" i="3"/>
  <c r="W880" i="3"/>
  <c r="W881" i="3"/>
  <c r="W882" i="3"/>
  <c r="W883" i="3"/>
  <c r="W884" i="3"/>
  <c r="W885" i="3"/>
  <c r="W886" i="3"/>
  <c r="W887" i="3"/>
  <c r="W888" i="3"/>
  <c r="W889" i="3"/>
  <c r="W890" i="3"/>
  <c r="W891" i="3"/>
  <c r="W892" i="3"/>
  <c r="W893" i="3"/>
  <c r="W894" i="3"/>
  <c r="W895" i="3"/>
  <c r="W896" i="3"/>
  <c r="W897" i="3"/>
  <c r="W898" i="3"/>
  <c r="W899" i="3"/>
  <c r="W900" i="3"/>
  <c r="W901" i="3"/>
  <c r="W902" i="3"/>
  <c r="W903" i="3"/>
  <c r="W904" i="3"/>
  <c r="W905" i="3"/>
  <c r="W906" i="3"/>
  <c r="W907" i="3"/>
  <c r="W908" i="3"/>
  <c r="W909" i="3"/>
  <c r="W910" i="3"/>
  <c r="W911" i="3"/>
  <c r="W912" i="3"/>
  <c r="W913" i="3"/>
  <c r="W914" i="3"/>
  <c r="W915" i="3"/>
  <c r="W916" i="3"/>
  <c r="W917" i="3"/>
  <c r="W918" i="3"/>
  <c r="W919" i="3"/>
  <c r="W920" i="3"/>
  <c r="W921" i="3"/>
  <c r="W922" i="3"/>
  <c r="W923" i="3"/>
  <c r="W924" i="3"/>
  <c r="W925" i="3"/>
  <c r="W926" i="3"/>
  <c r="W927" i="3"/>
  <c r="W928" i="3"/>
  <c r="W929" i="3"/>
  <c r="W930" i="3"/>
  <c r="W931" i="3"/>
  <c r="W932" i="3"/>
  <c r="W933" i="3"/>
  <c r="W934" i="3"/>
  <c r="W935" i="3"/>
  <c r="W936" i="3"/>
  <c r="W937" i="3"/>
  <c r="W938" i="3"/>
  <c r="W939" i="3"/>
  <c r="W940" i="3"/>
  <c r="W941" i="3"/>
  <c r="W942" i="3"/>
  <c r="W943" i="3"/>
  <c r="W944" i="3"/>
  <c r="W945" i="3"/>
  <c r="W946" i="3"/>
  <c r="W947" i="3"/>
  <c r="W948" i="3"/>
  <c r="W949" i="3"/>
  <c r="W950" i="3"/>
  <c r="W951" i="3"/>
  <c r="W952" i="3"/>
  <c r="W953" i="3"/>
  <c r="W954" i="3"/>
  <c r="W955" i="3"/>
  <c r="W956" i="3"/>
  <c r="W957" i="3"/>
  <c r="W958" i="3"/>
  <c r="W959" i="3"/>
  <c r="W960" i="3"/>
  <c r="W961" i="3"/>
  <c r="W962" i="3"/>
  <c r="W963" i="3"/>
  <c r="W964" i="3"/>
  <c r="W965" i="3"/>
  <c r="W966" i="3"/>
  <c r="W967" i="3"/>
  <c r="W968" i="3"/>
  <c r="W969" i="3"/>
  <c r="W970" i="3"/>
  <c r="W971" i="3"/>
  <c r="W972" i="3"/>
  <c r="W973" i="3"/>
  <c r="W974" i="3"/>
  <c r="J9" i="42" l="1"/>
  <c r="J3" i="42"/>
  <c r="J2" i="42"/>
  <c r="U483" i="3" l="1"/>
  <c r="R483" i="3" s="1"/>
  <c r="U484" i="3"/>
  <c r="R484" i="3" s="1"/>
  <c r="U468" i="3"/>
  <c r="R468" i="3" s="1"/>
  <c r="U464" i="3"/>
  <c r="R464" i="3" s="1"/>
  <c r="U303" i="3"/>
  <c r="V303" i="3" s="1"/>
  <c r="U302" i="3"/>
  <c r="T302" i="3" s="1"/>
  <c r="U301" i="3"/>
  <c r="R301" i="3" s="1"/>
  <c r="U300" i="3"/>
  <c r="V300" i="3" s="1"/>
  <c r="U299" i="3"/>
  <c r="T299" i="3" s="1"/>
  <c r="U298" i="3"/>
  <c r="V298" i="3" s="1"/>
  <c r="U297" i="3"/>
  <c r="V297" i="3" s="1"/>
  <c r="U296" i="3"/>
  <c r="S296" i="3" s="1"/>
  <c r="U295" i="3"/>
  <c r="V295" i="3" s="1"/>
  <c r="U294" i="3"/>
  <c r="S294" i="3" s="1"/>
  <c r="U293" i="3"/>
  <c r="R293" i="3" s="1"/>
  <c r="U292" i="3"/>
  <c r="T292" i="3" s="1"/>
  <c r="U291" i="3"/>
  <c r="V291" i="3" s="1"/>
  <c r="U290" i="3"/>
  <c r="T290" i="3" s="1"/>
  <c r="U289" i="3"/>
  <c r="R289" i="3" s="1"/>
  <c r="U288" i="3"/>
  <c r="V288" i="3" s="1"/>
  <c r="U287" i="3"/>
  <c r="T287" i="3" s="1"/>
  <c r="U286" i="3"/>
  <c r="V286" i="3" s="1"/>
  <c r="U285" i="3"/>
  <c r="V285" i="3" s="1"/>
  <c r="U284" i="3"/>
  <c r="R284" i="3" s="1"/>
  <c r="U283" i="3"/>
  <c r="R283" i="3" s="1"/>
  <c r="U282" i="3"/>
  <c r="V282" i="3" s="1"/>
  <c r="U281" i="3"/>
  <c r="T281" i="3" s="1"/>
  <c r="U280" i="3"/>
  <c r="V280" i="3" s="1"/>
  <c r="U279" i="3"/>
  <c r="V279" i="3" s="1"/>
  <c r="U278" i="3"/>
  <c r="V278" i="3" s="1"/>
  <c r="U277" i="3"/>
  <c r="S277" i="3" s="1"/>
  <c r="U276" i="3"/>
  <c r="V276" i="3" s="1"/>
  <c r="U275" i="3"/>
  <c r="V275" i="3" s="1"/>
  <c r="U274" i="3"/>
  <c r="R274" i="3" s="1"/>
  <c r="H50" i="41"/>
  <c r="H49" i="41"/>
  <c r="H48" i="41"/>
  <c r="H47" i="41"/>
  <c r="H46" i="41"/>
  <c r="H45" i="41"/>
  <c r="H44" i="41"/>
  <c r="H43" i="41"/>
  <c r="H42" i="41"/>
  <c r="H41" i="41"/>
  <c r="H40" i="41"/>
  <c r="H39" i="41"/>
  <c r="H38" i="41"/>
  <c r="H37" i="41"/>
  <c r="H36" i="41"/>
  <c r="H35" i="41"/>
  <c r="H34" i="41"/>
  <c r="H32" i="41"/>
  <c r="H31" i="41"/>
  <c r="H30" i="41"/>
  <c r="H29" i="41"/>
  <c r="H27" i="41"/>
  <c r="H26" i="41"/>
  <c r="H25" i="41"/>
  <c r="H24" i="41"/>
  <c r="H23" i="41"/>
  <c r="H22" i="41"/>
  <c r="H21" i="41"/>
  <c r="H19" i="41"/>
  <c r="H18" i="41"/>
  <c r="H17" i="41"/>
  <c r="H16" i="41"/>
  <c r="H15" i="41"/>
  <c r="H14" i="41"/>
  <c r="H13" i="41"/>
  <c r="H12" i="41"/>
  <c r="H11" i="41"/>
  <c r="O8" i="41"/>
  <c r="N8" i="41"/>
  <c r="T275" i="3" l="1"/>
  <c r="S285" i="3"/>
  <c r="T291" i="3"/>
  <c r="T301" i="3"/>
  <c r="T279" i="3"/>
  <c r="S291" i="3"/>
  <c r="S301" i="3"/>
  <c r="T296" i="3"/>
  <c r="S275" i="3"/>
  <c r="S298" i="3"/>
  <c r="T298" i="3"/>
  <c r="S282" i="3"/>
  <c r="T282" i="3"/>
  <c r="V483" i="3"/>
  <c r="T483" i="3"/>
  <c r="S483" i="3"/>
  <c r="S278" i="3"/>
  <c r="T278" i="3"/>
  <c r="V484" i="3"/>
  <c r="T484" i="3"/>
  <c r="S484" i="3"/>
  <c r="S289" i="3"/>
  <c r="R275" i="3"/>
  <c r="T289" i="3"/>
  <c r="V468" i="3"/>
  <c r="T468" i="3"/>
  <c r="S468" i="3"/>
  <c r="R294" i="3"/>
  <c r="T280" i="3"/>
  <c r="R285" i="3"/>
  <c r="T294" i="3"/>
  <c r="V464" i="3"/>
  <c r="T464" i="3"/>
  <c r="S464" i="3"/>
  <c r="R303" i="3"/>
  <c r="S303" i="3"/>
  <c r="R278" i="3"/>
  <c r="R291" i="3"/>
  <c r="T303" i="3"/>
  <c r="R286" i="3"/>
  <c r="S274" i="3"/>
  <c r="T277" i="3"/>
  <c r="R280" i="3"/>
  <c r="S283" i="3"/>
  <c r="S286" i="3"/>
  <c r="R290" i="3"/>
  <c r="V290" i="3"/>
  <c r="T274" i="3"/>
  <c r="S280" i="3"/>
  <c r="T283" i="3"/>
  <c r="T286" i="3"/>
  <c r="S290" i="3"/>
  <c r="R298" i="3"/>
  <c r="V302" i="3"/>
  <c r="V294" i="3"/>
  <c r="R295" i="3"/>
  <c r="R302" i="3"/>
  <c r="S284" i="3"/>
  <c r="S293" i="3"/>
  <c r="S295" i="3"/>
  <c r="S302" i="3"/>
  <c r="S279" i="3"/>
  <c r="R282" i="3"/>
  <c r="T284" i="3"/>
  <c r="T293" i="3"/>
  <c r="T295" i="3"/>
  <c r="V292" i="3"/>
  <c r="V284" i="3"/>
  <c r="R276" i="3"/>
  <c r="R288" i="3"/>
  <c r="R292" i="3"/>
  <c r="S276" i="3"/>
  <c r="T285" i="3"/>
  <c r="S288" i="3"/>
  <c r="S292" i="3"/>
  <c r="S300" i="3"/>
  <c r="R300" i="3"/>
  <c r="T276" i="3"/>
  <c r="R279" i="3"/>
  <c r="T288" i="3"/>
  <c r="T300" i="3"/>
  <c r="V299" i="3"/>
  <c r="V301" i="3"/>
  <c r="R299" i="3"/>
  <c r="S299" i="3"/>
  <c r="V293" i="3"/>
  <c r="R297" i="3"/>
  <c r="S297" i="3"/>
  <c r="V296" i="3"/>
  <c r="T297" i="3"/>
  <c r="R296" i="3"/>
  <c r="V287" i="3"/>
  <c r="V289" i="3"/>
  <c r="R287" i="3"/>
  <c r="S287" i="3"/>
  <c r="V281" i="3"/>
  <c r="V283" i="3"/>
  <c r="R281" i="3"/>
  <c r="S281" i="3"/>
  <c r="V277" i="3"/>
  <c r="V274" i="3"/>
  <c r="R277" i="3"/>
  <c r="H51" i="41"/>
  <c r="U336" i="3" l="1"/>
  <c r="T336" i="3" s="1"/>
  <c r="U337" i="3"/>
  <c r="U338" i="3"/>
  <c r="U339" i="3"/>
  <c r="T339" i="3" s="1"/>
  <c r="U340" i="3"/>
  <c r="U341" i="3"/>
  <c r="U342" i="3"/>
  <c r="T342" i="3" s="1"/>
  <c r="U343" i="3"/>
  <c r="T343" i="3" s="1"/>
  <c r="U344" i="3"/>
  <c r="T344" i="3" s="1"/>
  <c r="U345" i="3"/>
  <c r="T345" i="3" s="1"/>
  <c r="U346" i="3"/>
  <c r="U347" i="3"/>
  <c r="U348" i="3"/>
  <c r="U349" i="3"/>
  <c r="U350" i="3"/>
  <c r="R350" i="3" s="1"/>
  <c r="U351" i="3"/>
  <c r="U352" i="3"/>
  <c r="S352" i="3" s="1"/>
  <c r="U353" i="3"/>
  <c r="S353" i="3" s="1"/>
  <c r="U354" i="3"/>
  <c r="U355" i="3"/>
  <c r="U356" i="3"/>
  <c r="U357" i="3"/>
  <c r="U358" i="3"/>
  <c r="U359" i="3"/>
  <c r="U360" i="3"/>
  <c r="T360" i="3" s="1"/>
  <c r="U361" i="3"/>
  <c r="S361" i="3" s="1"/>
  <c r="U362" i="3"/>
  <c r="V362" i="3" s="1"/>
  <c r="U363" i="3"/>
  <c r="U364" i="3"/>
  <c r="S364" i="3" s="1"/>
  <c r="U365" i="3"/>
  <c r="S365" i="3" s="1"/>
  <c r="U366" i="3"/>
  <c r="R366" i="3" s="1"/>
  <c r="U367" i="3"/>
  <c r="R367" i="3" s="1"/>
  <c r="U368" i="3"/>
  <c r="U369" i="3"/>
  <c r="U370" i="3"/>
  <c r="V370" i="3" s="1"/>
  <c r="U371" i="3"/>
  <c r="U372" i="3"/>
  <c r="S372" i="3" s="1"/>
  <c r="U373" i="3"/>
  <c r="S373" i="3" s="1"/>
  <c r="U374" i="3"/>
  <c r="V374" i="3" s="1"/>
  <c r="U375" i="3"/>
  <c r="V375" i="3" s="1"/>
  <c r="U376" i="3"/>
  <c r="U377" i="3"/>
  <c r="U378" i="3"/>
  <c r="R378" i="3" s="1"/>
  <c r="U379" i="3"/>
  <c r="U380" i="3"/>
  <c r="U381" i="3"/>
  <c r="S381" i="3" s="1"/>
  <c r="U382" i="3"/>
  <c r="S382" i="3" s="1"/>
  <c r="U383" i="3"/>
  <c r="S383" i="3" s="1"/>
  <c r="U384" i="3"/>
  <c r="V384" i="3" s="1"/>
  <c r="U385" i="3"/>
  <c r="T385" i="3" s="1"/>
  <c r="U386" i="3"/>
  <c r="T386" i="3" s="1"/>
  <c r="U387" i="3"/>
  <c r="T387" i="3" s="1"/>
  <c r="U388" i="3"/>
  <c r="V388" i="3" s="1"/>
  <c r="U389" i="3"/>
  <c r="V389" i="3" s="1"/>
  <c r="U390" i="3"/>
  <c r="T390" i="3" s="1"/>
  <c r="U391" i="3"/>
  <c r="R391" i="3" s="1"/>
  <c r="U392" i="3"/>
  <c r="U393" i="3"/>
  <c r="U394" i="3"/>
  <c r="S394" i="3" s="1"/>
  <c r="U395" i="3"/>
  <c r="U396" i="3"/>
  <c r="U397" i="3"/>
  <c r="U398" i="3"/>
  <c r="T398" i="3" s="1"/>
  <c r="U399" i="3"/>
  <c r="T399" i="3" s="1"/>
  <c r="U400" i="3"/>
  <c r="R400" i="3" s="1"/>
  <c r="U401" i="3"/>
  <c r="U402" i="3"/>
  <c r="V402" i="3" s="1"/>
  <c r="U403" i="3"/>
  <c r="U404" i="3"/>
  <c r="U405" i="3"/>
  <c r="U406" i="3"/>
  <c r="V406" i="3" s="1"/>
  <c r="U407" i="3"/>
  <c r="V407" i="3" s="1"/>
  <c r="U408" i="3"/>
  <c r="T408" i="3" s="1"/>
  <c r="U409" i="3"/>
  <c r="U410" i="3"/>
  <c r="S410" i="3" s="1"/>
  <c r="U411" i="3"/>
  <c r="U412" i="3"/>
  <c r="S412" i="3" s="1"/>
  <c r="U413" i="3"/>
  <c r="S413" i="3" s="1"/>
  <c r="U414" i="3"/>
  <c r="V414" i="3" s="1"/>
  <c r="U415" i="3"/>
  <c r="V415" i="3" s="1"/>
  <c r="U416" i="3"/>
  <c r="U417" i="3"/>
  <c r="V417" i="3" s="1"/>
  <c r="U418" i="3"/>
  <c r="U419" i="3"/>
  <c r="U420" i="3"/>
  <c r="R420" i="3" s="1"/>
  <c r="U421" i="3"/>
  <c r="R421" i="3" s="1"/>
  <c r="U422" i="3"/>
  <c r="R422" i="3" s="1"/>
  <c r="U423" i="3"/>
  <c r="U424" i="3"/>
  <c r="U425" i="3"/>
  <c r="U426" i="3"/>
  <c r="S426" i="3" s="1"/>
  <c r="U427" i="3"/>
  <c r="S427" i="3" s="1"/>
  <c r="U428" i="3"/>
  <c r="V428" i="3" s="1"/>
  <c r="U429" i="3"/>
  <c r="U430" i="3"/>
  <c r="S430" i="3" s="1"/>
  <c r="U431" i="3"/>
  <c r="U432" i="3"/>
  <c r="S432" i="3" s="1"/>
  <c r="U433" i="3"/>
  <c r="S433" i="3" s="1"/>
  <c r="U434" i="3"/>
  <c r="U435" i="3"/>
  <c r="S435" i="3" s="1"/>
  <c r="U436" i="3"/>
  <c r="R436" i="3" s="1"/>
  <c r="U437" i="3"/>
  <c r="R437" i="3" s="1"/>
  <c r="U438" i="3"/>
  <c r="U439" i="3"/>
  <c r="U440" i="3"/>
  <c r="U441" i="3"/>
  <c r="U442" i="3"/>
  <c r="U443" i="3"/>
  <c r="V443" i="3" s="1"/>
  <c r="U444" i="3"/>
  <c r="U445" i="3"/>
  <c r="S445" i="3" s="1"/>
  <c r="U446" i="3"/>
  <c r="S446" i="3" s="1"/>
  <c r="U447" i="3"/>
  <c r="U448" i="3"/>
  <c r="T448" i="3" s="1"/>
  <c r="U449" i="3"/>
  <c r="S449" i="3" s="1"/>
  <c r="U450" i="3"/>
  <c r="U451" i="3"/>
  <c r="U452" i="3"/>
  <c r="R452" i="3" s="1"/>
  <c r="U453" i="3"/>
  <c r="V453" i="3" s="1"/>
  <c r="U454" i="3"/>
  <c r="R454" i="3" s="1"/>
  <c r="U455" i="3"/>
  <c r="U456" i="3"/>
  <c r="U457" i="3"/>
  <c r="S457" i="3" s="1"/>
  <c r="U458" i="3"/>
  <c r="S458" i="3" s="1"/>
  <c r="U459" i="3"/>
  <c r="R459" i="3" s="1"/>
  <c r="U460" i="3"/>
  <c r="R460" i="3" s="1"/>
  <c r="U461" i="3"/>
  <c r="R461" i="3" s="1"/>
  <c r="U462" i="3"/>
  <c r="R462" i="3" s="1"/>
  <c r="U463" i="3"/>
  <c r="U465" i="3"/>
  <c r="U466" i="3"/>
  <c r="U467" i="3"/>
  <c r="U469" i="3"/>
  <c r="V469" i="3" s="1"/>
  <c r="U470" i="3"/>
  <c r="R470" i="3" s="1"/>
  <c r="U471" i="3"/>
  <c r="S471" i="3" s="1"/>
  <c r="U472" i="3"/>
  <c r="U473" i="3"/>
  <c r="U474" i="3"/>
  <c r="U475" i="3"/>
  <c r="R475" i="3" s="1"/>
  <c r="U476" i="3"/>
  <c r="U477" i="3"/>
  <c r="U478" i="3"/>
  <c r="U479" i="3"/>
  <c r="S479" i="3" s="1"/>
  <c r="U480" i="3"/>
  <c r="U481" i="3"/>
  <c r="U482" i="3"/>
  <c r="V482" i="3" s="1"/>
  <c r="U485" i="3"/>
  <c r="U486" i="3"/>
  <c r="V486" i="3" s="1"/>
  <c r="U487" i="3"/>
  <c r="S487" i="3" s="1"/>
  <c r="U488" i="3"/>
  <c r="S488" i="3" s="1"/>
  <c r="U489" i="3"/>
  <c r="U490" i="3"/>
  <c r="U491" i="3"/>
  <c r="T491" i="3" s="1"/>
  <c r="U492" i="3"/>
  <c r="U493" i="3"/>
  <c r="U494" i="3"/>
  <c r="U495" i="3"/>
  <c r="U496" i="3"/>
  <c r="T496" i="3" s="1"/>
  <c r="U497" i="3"/>
  <c r="T497" i="3" s="1"/>
  <c r="U498" i="3"/>
  <c r="T498" i="3" s="1"/>
  <c r="U499" i="3"/>
  <c r="U500" i="3"/>
  <c r="U501" i="3"/>
  <c r="S501" i="3" s="1"/>
  <c r="U502" i="3"/>
  <c r="V502" i="3" s="1"/>
  <c r="U503" i="3"/>
  <c r="S503" i="3" s="1"/>
  <c r="U504" i="3"/>
  <c r="V504" i="3" s="1"/>
  <c r="U505" i="3"/>
  <c r="U506" i="3"/>
  <c r="U507" i="3"/>
  <c r="V507" i="3" s="1"/>
  <c r="U508" i="3"/>
  <c r="V508" i="3" s="1"/>
  <c r="U509" i="3"/>
  <c r="U510" i="3"/>
  <c r="U511" i="3"/>
  <c r="U512" i="3"/>
  <c r="S512" i="3" s="1"/>
  <c r="U513" i="3"/>
  <c r="S513" i="3" s="1"/>
  <c r="U514" i="3"/>
  <c r="V514" i="3" s="1"/>
  <c r="U515" i="3"/>
  <c r="V515" i="3" s="1"/>
  <c r="U516" i="3"/>
  <c r="S516" i="3" s="1"/>
  <c r="U517" i="3"/>
  <c r="U518" i="3"/>
  <c r="V518" i="3" s="1"/>
  <c r="U519" i="3"/>
  <c r="V519" i="3" s="1"/>
  <c r="U520" i="3"/>
  <c r="S520" i="3" s="1"/>
  <c r="U521" i="3"/>
  <c r="R521" i="3" s="1"/>
  <c r="U524" i="3"/>
  <c r="V524" i="3" s="1"/>
  <c r="U525" i="3"/>
  <c r="S525" i="3" s="1"/>
  <c r="U526" i="3"/>
  <c r="T526" i="3" s="1"/>
  <c r="U527" i="3"/>
  <c r="T527" i="3" s="1"/>
  <c r="U528" i="3"/>
  <c r="U529" i="3"/>
  <c r="S529" i="3" s="1"/>
  <c r="U530" i="3"/>
  <c r="S530" i="3" s="1"/>
  <c r="U531" i="3"/>
  <c r="S531" i="3" s="1"/>
  <c r="U532" i="3"/>
  <c r="U533" i="3"/>
  <c r="T533" i="3" s="1"/>
  <c r="U534" i="3"/>
  <c r="V534" i="3" s="1"/>
  <c r="U535" i="3"/>
  <c r="T535" i="3" s="1"/>
  <c r="U536" i="3"/>
  <c r="T536" i="3" s="1"/>
  <c r="U537" i="3"/>
  <c r="R537" i="3" s="1"/>
  <c r="U538" i="3"/>
  <c r="R538" i="3" s="1"/>
  <c r="U539" i="3"/>
  <c r="R539" i="3" s="1"/>
  <c r="U540" i="3"/>
  <c r="U541" i="3"/>
  <c r="R541" i="3" s="1"/>
  <c r="U542" i="3"/>
  <c r="T542" i="3" s="1"/>
  <c r="U543" i="3"/>
  <c r="R543" i="3" s="1"/>
  <c r="U544" i="3"/>
  <c r="V544" i="3" s="1"/>
  <c r="U545" i="3"/>
  <c r="V545" i="3" s="1"/>
  <c r="U546" i="3"/>
  <c r="V546" i="3" s="1"/>
  <c r="U547" i="3"/>
  <c r="U548" i="3"/>
  <c r="U549" i="3"/>
  <c r="U550" i="3"/>
  <c r="T550" i="3" s="1"/>
  <c r="U551" i="3"/>
  <c r="S551" i="3" s="1"/>
  <c r="U552" i="3"/>
  <c r="S552" i="3" s="1"/>
  <c r="U553" i="3"/>
  <c r="U554" i="3"/>
  <c r="S554" i="3" s="1"/>
  <c r="U555" i="3"/>
  <c r="V555" i="3" s="1"/>
  <c r="U556" i="3"/>
  <c r="R556" i="3" s="1"/>
  <c r="U557" i="3"/>
  <c r="U558" i="3"/>
  <c r="T558" i="3" s="1"/>
  <c r="U559" i="3"/>
  <c r="U560" i="3"/>
  <c r="R560" i="3" s="1"/>
  <c r="U561" i="3"/>
  <c r="R561" i="3" s="1"/>
  <c r="U562" i="3"/>
  <c r="R562" i="3" s="1"/>
  <c r="U563" i="3"/>
  <c r="U564" i="3"/>
  <c r="T564" i="3" s="1"/>
  <c r="U565" i="3"/>
  <c r="S565" i="3" s="1"/>
  <c r="U566" i="3"/>
  <c r="S566" i="3" s="1"/>
  <c r="U567" i="3"/>
  <c r="U568" i="3"/>
  <c r="T568" i="3" s="1"/>
  <c r="U569" i="3"/>
  <c r="R569" i="3" s="1"/>
  <c r="U570" i="3"/>
  <c r="U571" i="3"/>
  <c r="V571" i="3" s="1"/>
  <c r="U572" i="3"/>
  <c r="U573" i="3"/>
  <c r="U574" i="3"/>
  <c r="U575" i="3"/>
  <c r="U576" i="3"/>
  <c r="U577" i="3"/>
  <c r="U578" i="3"/>
  <c r="S578" i="3" s="1"/>
  <c r="U579" i="3"/>
  <c r="S579" i="3" s="1"/>
  <c r="U580" i="3"/>
  <c r="S580" i="3" s="1"/>
  <c r="U581" i="3"/>
  <c r="S581" i="3" s="1"/>
  <c r="U582" i="3"/>
  <c r="V582" i="3" s="1"/>
  <c r="U583" i="3"/>
  <c r="V583" i="3" s="1"/>
  <c r="U584" i="3"/>
  <c r="T584" i="3" s="1"/>
  <c r="U585" i="3"/>
  <c r="U586" i="3"/>
  <c r="S586" i="3" s="1"/>
  <c r="U587" i="3"/>
  <c r="S587" i="3" s="1"/>
  <c r="U588" i="3"/>
  <c r="R588" i="3" s="1"/>
  <c r="U589" i="3"/>
  <c r="S589" i="3" s="1"/>
  <c r="U590" i="3"/>
  <c r="S590" i="3" s="1"/>
  <c r="U591" i="3"/>
  <c r="V591" i="3" s="1"/>
  <c r="U592" i="3"/>
  <c r="U593" i="3"/>
  <c r="U594" i="3"/>
  <c r="U595" i="3"/>
  <c r="V595" i="3" s="1"/>
  <c r="U596" i="3"/>
  <c r="U597" i="3"/>
  <c r="T597" i="3" s="1"/>
  <c r="U598" i="3"/>
  <c r="T598" i="3" s="1"/>
  <c r="U599" i="3"/>
  <c r="T599" i="3" s="1"/>
  <c r="U600" i="3"/>
  <c r="U601" i="3"/>
  <c r="U602" i="3"/>
  <c r="V602" i="3" s="1"/>
  <c r="U603" i="3"/>
  <c r="V603" i="3" s="1"/>
  <c r="U604" i="3"/>
  <c r="T604" i="3" s="1"/>
  <c r="U605" i="3"/>
  <c r="T605" i="3" s="1"/>
  <c r="U606" i="3"/>
  <c r="R606" i="3" s="1"/>
  <c r="U607" i="3"/>
  <c r="V607" i="3" s="1"/>
  <c r="U608" i="3"/>
  <c r="U609" i="3"/>
  <c r="U610" i="3"/>
  <c r="U611" i="3"/>
  <c r="U612" i="3"/>
  <c r="T612" i="3" s="1"/>
  <c r="U613" i="3"/>
  <c r="U614" i="3"/>
  <c r="U615" i="3"/>
  <c r="U616" i="3"/>
  <c r="U617" i="3"/>
  <c r="U618" i="3"/>
  <c r="R618" i="3" s="1"/>
  <c r="U619" i="3"/>
  <c r="U620" i="3"/>
  <c r="R620" i="3" s="1"/>
  <c r="U621" i="3"/>
  <c r="S621" i="3" s="1"/>
  <c r="U622" i="3"/>
  <c r="S622" i="3" s="1"/>
  <c r="U623" i="3"/>
  <c r="R623" i="3" s="1"/>
  <c r="U624" i="3"/>
  <c r="T624" i="3" s="1"/>
  <c r="U625" i="3"/>
  <c r="U626" i="3"/>
  <c r="T626" i="3" s="1"/>
  <c r="U627" i="3"/>
  <c r="T627" i="3" s="1"/>
  <c r="U628" i="3"/>
  <c r="S628" i="3" s="1"/>
  <c r="U629" i="3"/>
  <c r="U630" i="3"/>
  <c r="V630" i="3" s="1"/>
  <c r="U631" i="3"/>
  <c r="V631" i="3" s="1"/>
  <c r="U632" i="3"/>
  <c r="V632" i="3" s="1"/>
  <c r="U633" i="3"/>
  <c r="V633" i="3" s="1"/>
  <c r="U634" i="3"/>
  <c r="U635" i="3"/>
  <c r="T635" i="3" s="1"/>
  <c r="U636" i="3"/>
  <c r="S636" i="3" s="1"/>
  <c r="U637" i="3"/>
  <c r="S637" i="3" s="1"/>
  <c r="U638" i="3"/>
  <c r="S638" i="3" s="1"/>
  <c r="U639" i="3"/>
  <c r="U640" i="3"/>
  <c r="R640" i="3" s="1"/>
  <c r="U641" i="3"/>
  <c r="V641" i="3" s="1"/>
  <c r="U642" i="3"/>
  <c r="T642" i="3" s="1"/>
  <c r="U643" i="3"/>
  <c r="V643" i="3" s="1"/>
  <c r="U644" i="3"/>
  <c r="U645" i="3"/>
  <c r="V645" i="3" s="1"/>
  <c r="U646" i="3"/>
  <c r="V646" i="3" s="1"/>
  <c r="U647" i="3"/>
  <c r="U648" i="3"/>
  <c r="U649" i="3"/>
  <c r="T649" i="3" s="1"/>
  <c r="U650" i="3"/>
  <c r="U651" i="3"/>
  <c r="R651" i="3" s="1"/>
  <c r="U652" i="3"/>
  <c r="R652" i="3" s="1"/>
  <c r="U653" i="3"/>
  <c r="S653" i="3" s="1"/>
  <c r="U654" i="3"/>
  <c r="U655" i="3"/>
  <c r="U656" i="3"/>
  <c r="U657" i="3"/>
  <c r="V657" i="3" s="1"/>
  <c r="U658" i="3"/>
  <c r="S658" i="3" s="1"/>
  <c r="U659" i="3"/>
  <c r="T659" i="3" s="1"/>
  <c r="U660" i="3"/>
  <c r="U661" i="3"/>
  <c r="U662" i="3"/>
  <c r="U663" i="3"/>
  <c r="U664" i="3"/>
  <c r="T664" i="3" s="1"/>
  <c r="U665" i="3"/>
  <c r="S665" i="3" s="1"/>
  <c r="U666" i="3"/>
  <c r="S666" i="3" s="1"/>
  <c r="U667" i="3"/>
  <c r="U668" i="3"/>
  <c r="U669" i="3"/>
  <c r="S669" i="3" s="1"/>
  <c r="U670" i="3"/>
  <c r="S670" i="3" s="1"/>
  <c r="U671" i="3"/>
  <c r="U672" i="3"/>
  <c r="T672" i="3" s="1"/>
  <c r="U673" i="3"/>
  <c r="U674" i="3"/>
  <c r="U675" i="3"/>
  <c r="V675" i="3" s="1"/>
  <c r="U676" i="3"/>
  <c r="V676" i="3" s="1"/>
  <c r="U677" i="3"/>
  <c r="U678" i="3"/>
  <c r="T678" i="3" s="1"/>
  <c r="U679" i="3"/>
  <c r="U680" i="3"/>
  <c r="V680" i="3" s="1"/>
  <c r="U681" i="3"/>
  <c r="U682" i="3"/>
  <c r="U683" i="3"/>
  <c r="U684" i="3"/>
  <c r="R684" i="3" s="1"/>
  <c r="U685" i="3"/>
  <c r="U686" i="3"/>
  <c r="U687" i="3"/>
  <c r="S687" i="3" s="1"/>
  <c r="U688" i="3"/>
  <c r="T688" i="3" s="1"/>
  <c r="U689" i="3"/>
  <c r="S689" i="3" s="1"/>
  <c r="U690" i="3"/>
  <c r="S690" i="3" s="1"/>
  <c r="U691" i="3"/>
  <c r="V691" i="3" s="1"/>
  <c r="U692" i="3"/>
  <c r="R692" i="3" s="1"/>
  <c r="U693" i="3"/>
  <c r="U694" i="3"/>
  <c r="U695" i="3"/>
  <c r="T695" i="3" s="1"/>
  <c r="U696" i="3"/>
  <c r="T696" i="3" s="1"/>
  <c r="U697" i="3"/>
  <c r="U698" i="3"/>
  <c r="R698" i="3" s="1"/>
  <c r="U699" i="3"/>
  <c r="S699" i="3" s="1"/>
  <c r="U700" i="3"/>
  <c r="V700" i="3" s="1"/>
  <c r="U701" i="3"/>
  <c r="V701" i="3" s="1"/>
  <c r="U702" i="3"/>
  <c r="V702" i="3" s="1"/>
  <c r="U703" i="3"/>
  <c r="T703" i="3" s="1"/>
  <c r="U704" i="3"/>
  <c r="U705" i="3"/>
  <c r="U706" i="3"/>
  <c r="U707" i="3"/>
  <c r="S707" i="3" s="1"/>
  <c r="U708" i="3"/>
  <c r="S708" i="3" s="1"/>
  <c r="U709" i="3"/>
  <c r="S709" i="3" s="1"/>
  <c r="U710" i="3"/>
  <c r="S710" i="3" s="1"/>
  <c r="U711" i="3"/>
  <c r="U712" i="3"/>
  <c r="V712" i="3" s="1"/>
  <c r="U713" i="3"/>
  <c r="V713" i="3" s="1"/>
  <c r="U714" i="3"/>
  <c r="R714" i="3" s="1"/>
  <c r="U715" i="3"/>
  <c r="V715" i="3" s="1"/>
  <c r="U716" i="3"/>
  <c r="U717" i="3"/>
  <c r="U718" i="3"/>
  <c r="U719" i="3"/>
  <c r="U720" i="3"/>
  <c r="T720" i="3" s="1"/>
  <c r="U721" i="3"/>
  <c r="U722" i="3"/>
  <c r="U723" i="3"/>
  <c r="U724" i="3"/>
  <c r="U725" i="3"/>
  <c r="T725" i="3" s="1"/>
  <c r="U726" i="3"/>
  <c r="U727" i="3"/>
  <c r="U728" i="3"/>
  <c r="U729" i="3"/>
  <c r="R729" i="3" s="1"/>
  <c r="U730" i="3"/>
  <c r="R730" i="3" s="1"/>
  <c r="U731" i="3"/>
  <c r="R731" i="3" s="1"/>
  <c r="U732" i="3"/>
  <c r="R732" i="3" s="1"/>
  <c r="U733" i="3"/>
  <c r="U734" i="3"/>
  <c r="S734" i="3" s="1"/>
  <c r="U735" i="3"/>
  <c r="S735" i="3" s="1"/>
  <c r="U736" i="3"/>
  <c r="T736" i="3" s="1"/>
  <c r="U737" i="3"/>
  <c r="S737" i="3" s="1"/>
  <c r="U738" i="3"/>
  <c r="U739" i="3"/>
  <c r="S739" i="3" s="1"/>
  <c r="U740" i="3"/>
  <c r="V740" i="3" s="1"/>
  <c r="U741" i="3"/>
  <c r="U742" i="3"/>
  <c r="U743" i="3"/>
  <c r="R743" i="3" s="1"/>
  <c r="U744" i="3"/>
  <c r="U745" i="3"/>
  <c r="R745" i="3" s="1"/>
  <c r="U746" i="3"/>
  <c r="V746" i="3" s="1"/>
  <c r="U747" i="3"/>
  <c r="U748" i="3"/>
  <c r="S748" i="3" s="1"/>
  <c r="U749" i="3"/>
  <c r="S749" i="3" s="1"/>
  <c r="U750" i="3"/>
  <c r="S750" i="3" s="1"/>
  <c r="U751" i="3"/>
  <c r="V751" i="3" s="1"/>
  <c r="U752" i="3"/>
  <c r="U753" i="3"/>
  <c r="R753" i="3" s="1"/>
  <c r="U754" i="3"/>
  <c r="R754" i="3" s="1"/>
  <c r="U755" i="3"/>
  <c r="R755" i="3" s="1"/>
  <c r="U756" i="3"/>
  <c r="R756" i="3" s="1"/>
  <c r="U757" i="3"/>
  <c r="V757" i="3" s="1"/>
  <c r="U758" i="3"/>
  <c r="V758" i="3" s="1"/>
  <c r="U759" i="3"/>
  <c r="U760" i="3"/>
  <c r="U761" i="3"/>
  <c r="V761" i="3" s="1"/>
  <c r="U762" i="3"/>
  <c r="V762" i="3" s="1"/>
  <c r="U763" i="3"/>
  <c r="U764" i="3"/>
  <c r="U765" i="3"/>
  <c r="R765" i="3" s="1"/>
  <c r="U766" i="3"/>
  <c r="V766" i="3" s="1"/>
  <c r="U767" i="3"/>
  <c r="V767" i="3" s="1"/>
  <c r="U768" i="3"/>
  <c r="U769" i="3"/>
  <c r="U770" i="3"/>
  <c r="U771" i="3"/>
  <c r="S771" i="3" s="1"/>
  <c r="U772" i="3"/>
  <c r="S772" i="3" s="1"/>
  <c r="U773" i="3"/>
  <c r="V773" i="3" s="1"/>
  <c r="U774" i="3"/>
  <c r="S774" i="3" s="1"/>
  <c r="U775" i="3"/>
  <c r="S775" i="3" s="1"/>
  <c r="U776" i="3"/>
  <c r="U777" i="3"/>
  <c r="S777" i="3" s="1"/>
  <c r="U778" i="3"/>
  <c r="S778" i="3" s="1"/>
  <c r="U779" i="3"/>
  <c r="S779" i="3" s="1"/>
  <c r="U780" i="3"/>
  <c r="S780" i="3" s="1"/>
  <c r="U781" i="3"/>
  <c r="U782" i="3"/>
  <c r="T782" i="3" s="1"/>
  <c r="U783" i="3"/>
  <c r="R783" i="3" s="1"/>
  <c r="U784" i="3"/>
  <c r="R784" i="3" s="1"/>
  <c r="U785" i="3"/>
  <c r="S785" i="3" s="1"/>
  <c r="U786" i="3"/>
  <c r="S786" i="3" s="1"/>
  <c r="U787" i="3"/>
  <c r="V787" i="3" s="1"/>
  <c r="U788" i="3"/>
  <c r="U789" i="3"/>
  <c r="T789" i="3" s="1"/>
  <c r="U790" i="3"/>
  <c r="T790" i="3" s="1"/>
  <c r="U791" i="3"/>
  <c r="T791" i="3" s="1"/>
  <c r="U792" i="3"/>
  <c r="S792" i="3" s="1"/>
  <c r="U793" i="3"/>
  <c r="V793" i="3" s="1"/>
  <c r="U794" i="3"/>
  <c r="U795" i="3"/>
  <c r="U796" i="3"/>
  <c r="T796" i="3" s="1"/>
  <c r="U797" i="3"/>
  <c r="T797" i="3" s="1"/>
  <c r="U798" i="3"/>
  <c r="U799" i="3"/>
  <c r="U800" i="3"/>
  <c r="S800" i="3" s="1"/>
  <c r="U801" i="3"/>
  <c r="V801" i="3" s="1"/>
  <c r="U802" i="3"/>
  <c r="R802" i="3" s="1"/>
  <c r="U803" i="3"/>
  <c r="U804" i="3"/>
  <c r="T804" i="3" s="1"/>
  <c r="U805" i="3"/>
  <c r="U806" i="3"/>
  <c r="U807" i="3"/>
  <c r="U808" i="3"/>
  <c r="U809" i="3"/>
  <c r="U810" i="3"/>
  <c r="R810" i="3" s="1"/>
  <c r="U811" i="3"/>
  <c r="T811" i="3" s="1"/>
  <c r="U812" i="3"/>
  <c r="T812" i="3" s="1"/>
  <c r="U813" i="3"/>
  <c r="U814" i="3"/>
  <c r="S814" i="3" s="1"/>
  <c r="U815" i="3"/>
  <c r="R815" i="3" s="1"/>
  <c r="U816" i="3"/>
  <c r="R816" i="3" s="1"/>
  <c r="U817" i="3"/>
  <c r="S817" i="3" s="1"/>
  <c r="U818" i="3"/>
  <c r="U819" i="3"/>
  <c r="R819" i="3" s="1"/>
  <c r="U820" i="3"/>
  <c r="U821" i="3"/>
  <c r="U822" i="3"/>
  <c r="S822" i="3" s="1"/>
  <c r="U823" i="3"/>
  <c r="S823" i="3" s="1"/>
  <c r="U824" i="3"/>
  <c r="U825" i="3"/>
  <c r="U826" i="3"/>
  <c r="U827" i="3"/>
  <c r="U828" i="3"/>
  <c r="T828" i="3" s="1"/>
  <c r="U829" i="3"/>
  <c r="V829" i="3" s="1"/>
  <c r="U830" i="3"/>
  <c r="R830" i="3" s="1"/>
  <c r="U831" i="3"/>
  <c r="R831" i="3" s="1"/>
  <c r="U832" i="3"/>
  <c r="V832" i="3" s="1"/>
  <c r="U833" i="3"/>
  <c r="U834" i="3"/>
  <c r="U835" i="3"/>
  <c r="R835" i="3" s="1"/>
  <c r="U836" i="3"/>
  <c r="R836" i="3" s="1"/>
  <c r="U837" i="3"/>
  <c r="S837" i="3" s="1"/>
  <c r="U838" i="3"/>
  <c r="U839" i="3"/>
  <c r="T839" i="3" s="1"/>
  <c r="U840" i="3"/>
  <c r="U841" i="3"/>
  <c r="U842" i="3"/>
  <c r="T842" i="3" s="1"/>
  <c r="U843" i="3"/>
  <c r="U844" i="3"/>
  <c r="U845" i="3"/>
  <c r="T845" i="3" s="1"/>
  <c r="U846" i="3"/>
  <c r="U847" i="3"/>
  <c r="T847" i="3" s="1"/>
  <c r="U848" i="3"/>
  <c r="U849" i="3"/>
  <c r="S849" i="3" s="1"/>
  <c r="U850" i="3"/>
  <c r="S850" i="3" s="1"/>
  <c r="U851" i="3"/>
  <c r="U852" i="3"/>
  <c r="U853" i="3"/>
  <c r="R853" i="3" s="1"/>
  <c r="U854" i="3"/>
  <c r="R854" i="3" s="1"/>
  <c r="U855" i="3"/>
  <c r="U856" i="3"/>
  <c r="R856" i="3" s="1"/>
  <c r="U857" i="3"/>
  <c r="U858" i="3"/>
  <c r="U859" i="3"/>
  <c r="V859" i="3" s="1"/>
  <c r="U860" i="3"/>
  <c r="R860" i="3" s="1"/>
  <c r="U861" i="3"/>
  <c r="U862" i="3"/>
  <c r="U863" i="3"/>
  <c r="V863" i="3" s="1"/>
  <c r="U864" i="3"/>
  <c r="U865" i="3"/>
  <c r="U866" i="3"/>
  <c r="S866" i="3" s="1"/>
  <c r="U867" i="3"/>
  <c r="S867" i="3" s="1"/>
  <c r="U868" i="3"/>
  <c r="U869" i="3"/>
  <c r="U870" i="3"/>
  <c r="T870" i="3" s="1"/>
  <c r="U871" i="3"/>
  <c r="T871" i="3" s="1"/>
  <c r="U872" i="3"/>
  <c r="U873" i="3"/>
  <c r="V873" i="3" s="1"/>
  <c r="U874" i="3"/>
  <c r="U875" i="3"/>
  <c r="V875" i="3" s="1"/>
  <c r="U876" i="3"/>
  <c r="V876" i="3" s="1"/>
  <c r="U877" i="3"/>
  <c r="R877" i="3" s="1"/>
  <c r="U878" i="3"/>
  <c r="U879" i="3"/>
  <c r="U880" i="3"/>
  <c r="U881" i="3"/>
  <c r="S881" i="3" s="1"/>
  <c r="U882" i="3"/>
  <c r="S882" i="3" s="1"/>
  <c r="U883" i="3"/>
  <c r="T883" i="3" s="1"/>
  <c r="U884" i="3"/>
  <c r="U885" i="3"/>
  <c r="T885" i="3" s="1"/>
  <c r="U886" i="3"/>
  <c r="T886" i="3" s="1"/>
  <c r="U887" i="3"/>
  <c r="U888" i="3"/>
  <c r="U889" i="3"/>
  <c r="V889" i="3" s="1"/>
  <c r="U890" i="3"/>
  <c r="T890" i="3" s="1"/>
  <c r="U891" i="3"/>
  <c r="U892" i="3"/>
  <c r="U893" i="3"/>
  <c r="U894" i="3"/>
  <c r="S894" i="3" s="1"/>
  <c r="U895" i="3"/>
  <c r="R895" i="3" s="1"/>
  <c r="U896" i="3"/>
  <c r="S896" i="3" s="1"/>
  <c r="U897" i="3"/>
  <c r="S897" i="3" s="1"/>
  <c r="U898" i="3"/>
  <c r="S898" i="3" s="1"/>
  <c r="U899" i="3"/>
  <c r="V899" i="3" s="1"/>
  <c r="U900" i="3"/>
  <c r="V900" i="3" s="1"/>
  <c r="U901" i="3"/>
  <c r="V901" i="3" s="1"/>
  <c r="U902" i="3"/>
  <c r="V902" i="3" s="1"/>
  <c r="U903" i="3"/>
  <c r="T903" i="3" s="1"/>
  <c r="U904" i="3"/>
  <c r="V904" i="3" s="1"/>
  <c r="U905" i="3"/>
  <c r="V905" i="3" s="1"/>
  <c r="U906" i="3"/>
  <c r="U907" i="3"/>
  <c r="U908" i="3"/>
  <c r="V908" i="3" s="1"/>
  <c r="U909" i="3"/>
  <c r="V909" i="3" s="1"/>
  <c r="U910" i="3"/>
  <c r="V910" i="3" s="1"/>
  <c r="U911" i="3"/>
  <c r="R911" i="3" s="1"/>
  <c r="U912" i="3"/>
  <c r="U913" i="3"/>
  <c r="U914" i="3"/>
  <c r="U915" i="3"/>
  <c r="U916" i="3"/>
  <c r="R916" i="3" s="1"/>
  <c r="U917" i="3"/>
  <c r="U918" i="3"/>
  <c r="S918" i="3" s="1"/>
  <c r="U919" i="3"/>
  <c r="V919" i="3" s="1"/>
  <c r="U920" i="3"/>
  <c r="U921" i="3"/>
  <c r="R921" i="3" s="1"/>
  <c r="U922" i="3"/>
  <c r="R922" i="3" s="1"/>
  <c r="U923" i="3"/>
  <c r="R923" i="3" s="1"/>
  <c r="U924" i="3"/>
  <c r="R924" i="3" s="1"/>
  <c r="U925" i="3"/>
  <c r="R925" i="3" s="1"/>
  <c r="U926" i="3"/>
  <c r="R926" i="3" s="1"/>
  <c r="U927" i="3"/>
  <c r="U928" i="3"/>
  <c r="T928" i="3" s="1"/>
  <c r="U929" i="3"/>
  <c r="U930" i="3"/>
  <c r="R930" i="3" s="1"/>
  <c r="U931" i="3"/>
  <c r="R931" i="3" s="1"/>
  <c r="U932" i="3"/>
  <c r="U933" i="3"/>
  <c r="U934" i="3"/>
  <c r="U935" i="3"/>
  <c r="U936" i="3"/>
  <c r="U937" i="3"/>
  <c r="U938" i="3"/>
  <c r="U939" i="3"/>
  <c r="V939" i="3" s="1"/>
  <c r="U940" i="3"/>
  <c r="V940" i="3" s="1"/>
  <c r="U941" i="3"/>
  <c r="T941" i="3" s="1"/>
  <c r="U942" i="3"/>
  <c r="T942" i="3" s="1"/>
  <c r="U943" i="3"/>
  <c r="U944" i="3"/>
  <c r="V944" i="3" s="1"/>
  <c r="U945" i="3"/>
  <c r="S945" i="3" s="1"/>
  <c r="U946" i="3"/>
  <c r="S946" i="3" s="1"/>
  <c r="U947" i="3"/>
  <c r="S947" i="3" s="1"/>
  <c r="U948" i="3"/>
  <c r="S948" i="3" s="1"/>
  <c r="U949" i="3"/>
  <c r="U950" i="3"/>
  <c r="U951" i="3"/>
  <c r="U952" i="3"/>
  <c r="U953" i="3"/>
  <c r="T953" i="3" s="1"/>
  <c r="U954" i="3"/>
  <c r="T954" i="3" s="1"/>
  <c r="U955" i="3"/>
  <c r="R955" i="3" s="1"/>
  <c r="U956" i="3"/>
  <c r="T956" i="3" s="1"/>
  <c r="U957" i="3"/>
  <c r="V957" i="3" s="1"/>
  <c r="U958" i="3"/>
  <c r="U959" i="3"/>
  <c r="U960" i="3"/>
  <c r="U961" i="3"/>
  <c r="U962" i="3"/>
  <c r="V962" i="3" s="1"/>
  <c r="U963" i="3"/>
  <c r="U964" i="3"/>
  <c r="V964" i="3" s="1"/>
  <c r="U965" i="3"/>
  <c r="V965" i="3" s="1"/>
  <c r="U966" i="3"/>
  <c r="T966" i="3" s="1"/>
  <c r="U967" i="3"/>
  <c r="U968" i="3"/>
  <c r="S968" i="3" s="1"/>
  <c r="U969" i="3"/>
  <c r="U970" i="3"/>
  <c r="S970" i="3" s="1"/>
  <c r="U971" i="3"/>
  <c r="U972" i="3"/>
  <c r="S972" i="3" s="1"/>
  <c r="U973" i="3"/>
  <c r="V973" i="3" s="1"/>
  <c r="U974" i="3"/>
  <c r="E77" i="7"/>
  <c r="E78" i="7"/>
  <c r="E79" i="7"/>
  <c r="E80" i="7"/>
  <c r="E81" i="7"/>
  <c r="E82" i="7"/>
  <c r="E83" i="7"/>
  <c r="E89" i="7"/>
  <c r="E134" i="7"/>
  <c r="B70" i="5"/>
  <c r="E63" i="5"/>
  <c r="B68" i="5"/>
  <c r="B64" i="5"/>
  <c r="B41" i="6"/>
  <c r="B40" i="6"/>
  <c r="V736" i="3" l="1"/>
  <c r="V565" i="3"/>
  <c r="V737" i="3"/>
  <c r="V536" i="3"/>
  <c r="V710" i="3"/>
  <c r="V561" i="3"/>
  <c r="V385" i="3"/>
  <c r="V566" i="3"/>
  <c r="V804" i="3"/>
  <c r="V771" i="3"/>
  <c r="T435" i="3"/>
  <c r="S659" i="3"/>
  <c r="S627" i="3"/>
  <c r="V708" i="3"/>
  <c r="V828" i="3"/>
  <c r="T391" i="3"/>
  <c r="R757" i="3"/>
  <c r="T539" i="3"/>
  <c r="S420" i="3"/>
  <c r="V709" i="3"/>
  <c r="T471" i="3"/>
  <c r="S391" i="3"/>
  <c r="V884" i="3"/>
  <c r="T884" i="3"/>
  <c r="V788" i="3"/>
  <c r="T788" i="3"/>
  <c r="V619" i="3"/>
  <c r="R619" i="3"/>
  <c r="S833" i="3"/>
  <c r="V833" i="3"/>
  <c r="T444" i="3"/>
  <c r="V444" i="3"/>
  <c r="V372" i="3"/>
  <c r="S657" i="3"/>
  <c r="S632" i="3"/>
  <c r="R824" i="3"/>
  <c r="T824" i="3"/>
  <c r="R843" i="3"/>
  <c r="T843" i="3"/>
  <c r="T896" i="3"/>
  <c r="R680" i="3"/>
  <c r="R848" i="3"/>
  <c r="T848" i="3"/>
  <c r="T737" i="3"/>
  <c r="T872" i="3"/>
  <c r="S872" i="3"/>
  <c r="V872" i="3"/>
  <c r="V584" i="3"/>
  <c r="R584" i="3"/>
  <c r="R785" i="3"/>
  <c r="T603" i="3"/>
  <c r="S854" i="3"/>
  <c r="R587" i="3"/>
  <c r="T588" i="3"/>
  <c r="S588" i="3"/>
  <c r="S540" i="3"/>
  <c r="R540" i="3"/>
  <c r="S853" i="3"/>
  <c r="S903" i="3"/>
  <c r="V903" i="3"/>
  <c r="R591" i="3"/>
  <c r="V413" i="3"/>
  <c r="S600" i="3"/>
  <c r="T600" i="3"/>
  <c r="S528" i="3"/>
  <c r="T528" i="3"/>
  <c r="S476" i="3"/>
  <c r="V476" i="3"/>
  <c r="R451" i="3"/>
  <c r="V451" i="3"/>
  <c r="S355" i="3"/>
  <c r="V355" i="3"/>
  <c r="V478" i="3"/>
  <c r="S478" i="3"/>
  <c r="V405" i="3"/>
  <c r="R405" i="3"/>
  <c r="R813" i="3"/>
  <c r="T813" i="3"/>
  <c r="S813" i="3"/>
  <c r="V813" i="3"/>
  <c r="V373" i="3"/>
  <c r="R738" i="3"/>
  <c r="V738" i="3"/>
  <c r="S952" i="3"/>
  <c r="V952" i="3"/>
  <c r="R760" i="3"/>
  <c r="V760" i="3"/>
  <c r="T419" i="3"/>
  <c r="V419" i="3"/>
  <c r="R419" i="3"/>
  <c r="S419" i="3"/>
  <c r="T449" i="3"/>
  <c r="R371" i="3"/>
  <c r="V371" i="3"/>
  <c r="T470" i="3"/>
  <c r="R766" i="3"/>
  <c r="V858" i="3"/>
  <c r="S858" i="3"/>
  <c r="R808" i="3"/>
  <c r="V808" i="3"/>
  <c r="R494" i="3"/>
  <c r="S494" i="3"/>
  <c r="T494" i="3"/>
  <c r="R347" i="3"/>
  <c r="T347" i="3"/>
  <c r="V470" i="3"/>
  <c r="S421" i="3"/>
  <c r="T693" i="3"/>
  <c r="S693" i="3"/>
  <c r="R693" i="3"/>
  <c r="R573" i="3"/>
  <c r="T573" i="3"/>
  <c r="T467" i="3"/>
  <c r="V467" i="3"/>
  <c r="R467" i="3"/>
  <c r="S640" i="3"/>
  <c r="V664" i="3"/>
  <c r="S568" i="3"/>
  <c r="V843" i="3"/>
  <c r="V449" i="3"/>
  <c r="T957" i="3"/>
  <c r="T400" i="3"/>
  <c r="R574" i="3"/>
  <c r="T574" i="3"/>
  <c r="V717" i="3"/>
  <c r="T717" i="3"/>
  <c r="T499" i="3"/>
  <c r="V499" i="3"/>
  <c r="S448" i="3"/>
  <c r="R448" i="3"/>
  <c r="V906" i="3"/>
  <c r="T906" i="3"/>
  <c r="V570" i="3"/>
  <c r="S570" i="3"/>
  <c r="R712" i="3"/>
  <c r="S712" i="3"/>
  <c r="S616" i="3"/>
  <c r="R616" i="3"/>
  <c r="V616" i="3"/>
  <c r="T395" i="3"/>
  <c r="S395" i="3"/>
  <c r="T616" i="3"/>
  <c r="V597" i="3"/>
  <c r="V568" i="3"/>
  <c r="V448" i="3"/>
  <c r="V963" i="3"/>
  <c r="R963" i="3"/>
  <c r="V915" i="3"/>
  <c r="R915" i="3"/>
  <c r="S915" i="3"/>
  <c r="T867" i="3"/>
  <c r="V867" i="3"/>
  <c r="S819" i="3"/>
  <c r="T819" i="3"/>
  <c r="S795" i="3"/>
  <c r="T795" i="3"/>
  <c r="V747" i="3"/>
  <c r="S747" i="3"/>
  <c r="R723" i="3"/>
  <c r="S723" i="3"/>
  <c r="V531" i="3"/>
  <c r="T531" i="3"/>
  <c r="R531" i="3"/>
  <c r="S505" i="3"/>
  <c r="V505" i="3"/>
  <c r="S358" i="3"/>
  <c r="R358" i="3"/>
  <c r="T358" i="3"/>
  <c r="T939" i="3"/>
  <c r="V716" i="3"/>
  <c r="T716" i="3"/>
  <c r="S668" i="3"/>
  <c r="T668" i="3"/>
  <c r="S644" i="3"/>
  <c r="V644" i="3"/>
  <c r="V572" i="3"/>
  <c r="T572" i="3"/>
  <c r="S472" i="3"/>
  <c r="R472" i="3"/>
  <c r="T472" i="3"/>
  <c r="S447" i="3"/>
  <c r="T447" i="3"/>
  <c r="V447" i="3"/>
  <c r="R447" i="3"/>
  <c r="V423" i="3"/>
  <c r="R423" i="3"/>
  <c r="S351" i="3"/>
  <c r="V351" i="3"/>
  <c r="V969" i="3"/>
  <c r="S969" i="3"/>
  <c r="R825" i="3"/>
  <c r="V825" i="3"/>
  <c r="S511" i="3"/>
  <c r="V511" i="3"/>
  <c r="V498" i="3"/>
  <c r="S776" i="3"/>
  <c r="V776" i="3"/>
  <c r="V752" i="3"/>
  <c r="R752" i="3"/>
  <c r="S728" i="3"/>
  <c r="T728" i="3"/>
  <c r="S704" i="3"/>
  <c r="T704" i="3"/>
  <c r="T608" i="3"/>
  <c r="R608" i="3"/>
  <c r="V608" i="3"/>
  <c r="R363" i="3"/>
  <c r="T363" i="3"/>
  <c r="R872" i="3"/>
  <c r="R524" i="3"/>
  <c r="R471" i="3"/>
  <c r="V812" i="3"/>
  <c r="V671" i="3"/>
  <c r="S671" i="3"/>
  <c r="R450" i="3"/>
  <c r="V450" i="3"/>
  <c r="R971" i="3"/>
  <c r="S971" i="3"/>
  <c r="T971" i="3"/>
  <c r="T827" i="3"/>
  <c r="V827" i="3"/>
  <c r="R767" i="3"/>
  <c r="V857" i="3"/>
  <c r="S857" i="3"/>
  <c r="S809" i="3"/>
  <c r="V809" i="3"/>
  <c r="R713" i="3"/>
  <c r="S713" i="3"/>
  <c r="S617" i="3"/>
  <c r="R617" i="3"/>
  <c r="R495" i="3"/>
  <c r="S495" i="3"/>
  <c r="S569" i="3"/>
  <c r="T846" i="3"/>
  <c r="V846" i="3"/>
  <c r="R737" i="3"/>
  <c r="T361" i="3"/>
  <c r="T617" i="3"/>
  <c r="T566" i="3"/>
  <c r="T565" i="3"/>
  <c r="R967" i="3"/>
  <c r="T967" i="3"/>
  <c r="R943" i="3"/>
  <c r="S943" i="3"/>
  <c r="R799" i="3"/>
  <c r="T799" i="3"/>
  <c r="R727" i="3"/>
  <c r="T727" i="3"/>
  <c r="T559" i="3"/>
  <c r="V559" i="3"/>
  <c r="S559" i="3"/>
  <c r="T485" i="3"/>
  <c r="S485" i="3"/>
  <c r="V485" i="3"/>
  <c r="T751" i="3"/>
  <c r="V750" i="3"/>
  <c r="V942" i="3"/>
  <c r="R455" i="3"/>
  <c r="V455" i="3"/>
  <c r="V739" i="3"/>
  <c r="T955" i="3"/>
  <c r="T823" i="3"/>
  <c r="T583" i="3"/>
  <c r="V918" i="3"/>
  <c r="V642" i="3"/>
  <c r="T822" i="3"/>
  <c r="T715" i="3"/>
  <c r="S535" i="3"/>
  <c r="R446" i="3"/>
  <c r="V535" i="3"/>
  <c r="T714" i="3"/>
  <c r="R871" i="3"/>
  <c r="R445" i="3"/>
  <c r="V727" i="3"/>
  <c r="V640" i="3"/>
  <c r="S959" i="3"/>
  <c r="T959" i="3"/>
  <c r="S911" i="3"/>
  <c r="T911" i="3"/>
  <c r="V887" i="3"/>
  <c r="S887" i="3"/>
  <c r="R887" i="3"/>
  <c r="V719" i="3"/>
  <c r="T719" i="3"/>
  <c r="V647" i="3"/>
  <c r="T647" i="3"/>
  <c r="T354" i="3"/>
  <c r="S354" i="3"/>
  <c r="T943" i="3"/>
  <c r="T713" i="3"/>
  <c r="T446" i="3"/>
  <c r="V354" i="3"/>
  <c r="S958" i="3"/>
  <c r="T958" i="3"/>
  <c r="R910" i="3"/>
  <c r="T910" i="3"/>
  <c r="V886" i="3"/>
  <c r="S886" i="3"/>
  <c r="R886" i="3"/>
  <c r="V718" i="3"/>
  <c r="T718" i="3"/>
  <c r="S694" i="3"/>
  <c r="T694" i="3"/>
  <c r="R694" i="3"/>
  <c r="T712" i="3"/>
  <c r="T571" i="3"/>
  <c r="T445" i="3"/>
  <c r="S967" i="3"/>
  <c r="S810" i="3"/>
  <c r="R859" i="3"/>
  <c r="V811" i="3"/>
  <c r="V446" i="3"/>
  <c r="R909" i="3"/>
  <c r="T909" i="3"/>
  <c r="S765" i="3"/>
  <c r="T765" i="3"/>
  <c r="V765" i="3"/>
  <c r="V549" i="3"/>
  <c r="S549" i="3"/>
  <c r="V400" i="3"/>
  <c r="S400" i="3"/>
  <c r="S508" i="3"/>
  <c r="S371" i="3"/>
  <c r="R858" i="3"/>
  <c r="R751" i="3"/>
  <c r="R583" i="3"/>
  <c r="V353" i="3"/>
  <c r="V810" i="3"/>
  <c r="V714" i="3"/>
  <c r="V617" i="3"/>
  <c r="V445" i="3"/>
  <c r="V352" i="3"/>
  <c r="S812" i="3"/>
  <c r="R812" i="3"/>
  <c r="S764" i="3"/>
  <c r="T764" i="3"/>
  <c r="R764" i="3"/>
  <c r="S716" i="3"/>
  <c r="R716" i="3"/>
  <c r="V596" i="3"/>
  <c r="R596" i="3"/>
  <c r="T810" i="3"/>
  <c r="S362" i="3"/>
  <c r="R857" i="3"/>
  <c r="R568" i="3"/>
  <c r="T895" i="3"/>
  <c r="R823" i="3"/>
  <c r="V823" i="3"/>
  <c r="V655" i="3"/>
  <c r="S655" i="3"/>
  <c r="S509" i="3"/>
  <c r="T509" i="3"/>
  <c r="V509" i="3"/>
  <c r="R509" i="3"/>
  <c r="R434" i="3"/>
  <c r="S434" i="3"/>
  <c r="R338" i="3"/>
  <c r="T338" i="3"/>
  <c r="V338" i="3"/>
  <c r="S583" i="3"/>
  <c r="R654" i="3"/>
  <c r="V654" i="3"/>
  <c r="S654" i="3"/>
  <c r="T482" i="3"/>
  <c r="V457" i="3"/>
  <c r="S763" i="3"/>
  <c r="T763" i="3"/>
  <c r="R763" i="3"/>
  <c r="S667" i="3"/>
  <c r="R667" i="3"/>
  <c r="S643" i="3"/>
  <c r="T643" i="3"/>
  <c r="S374" i="3"/>
  <c r="T374" i="3"/>
  <c r="T434" i="3"/>
  <c r="S799" i="3"/>
  <c r="V350" i="3"/>
  <c r="S954" i="3"/>
  <c r="R954" i="3"/>
  <c r="T690" i="3"/>
  <c r="V690" i="3"/>
  <c r="T666" i="3"/>
  <c r="R666" i="3"/>
  <c r="S618" i="3"/>
  <c r="V618" i="3"/>
  <c r="R397" i="3"/>
  <c r="S397" i="3"/>
  <c r="V397" i="3"/>
  <c r="T349" i="3"/>
  <c r="R349" i="3"/>
  <c r="S349" i="3"/>
  <c r="R410" i="3"/>
  <c r="V434" i="3"/>
  <c r="S953" i="3"/>
  <c r="R953" i="3"/>
  <c r="T809" i="3"/>
  <c r="R809" i="3"/>
  <c r="T665" i="3"/>
  <c r="R665" i="3"/>
  <c r="R641" i="3"/>
  <c r="S641" i="3"/>
  <c r="T641" i="3"/>
  <c r="S444" i="3"/>
  <c r="R444" i="3"/>
  <c r="R396" i="3"/>
  <c r="S396" i="3"/>
  <c r="V396" i="3"/>
  <c r="T348" i="3"/>
  <c r="R348" i="3"/>
  <c r="R833" i="3"/>
  <c r="V883" i="3"/>
  <c r="V348" i="3"/>
  <c r="R928" i="3"/>
  <c r="V928" i="3"/>
  <c r="S880" i="3"/>
  <c r="R880" i="3"/>
  <c r="T880" i="3"/>
  <c r="T856" i="3"/>
  <c r="V856" i="3"/>
  <c r="T832" i="3"/>
  <c r="S832" i="3"/>
  <c r="S784" i="3"/>
  <c r="T784" i="3"/>
  <c r="R736" i="3"/>
  <c r="S736" i="3"/>
  <c r="R688" i="3"/>
  <c r="S688" i="3"/>
  <c r="S592" i="3"/>
  <c r="T592" i="3"/>
  <c r="R592" i="3"/>
  <c r="R544" i="3"/>
  <c r="S544" i="3"/>
  <c r="T544" i="3"/>
  <c r="T667" i="3"/>
  <c r="T397" i="3"/>
  <c r="R832" i="3"/>
  <c r="V880" i="3"/>
  <c r="T887" i="3"/>
  <c r="T396" i="3"/>
  <c r="S760" i="3"/>
  <c r="S475" i="3"/>
  <c r="S338" i="3"/>
  <c r="R691" i="3"/>
  <c r="V497" i="3"/>
  <c r="S751" i="3"/>
  <c r="S470" i="3"/>
  <c r="R690" i="3"/>
  <c r="R535" i="3"/>
  <c r="V871" i="3"/>
  <c r="V688" i="3"/>
  <c r="T786" i="3"/>
  <c r="R959" i="3"/>
  <c r="V870" i="3"/>
  <c r="V494" i="3"/>
  <c r="T653" i="3"/>
  <c r="R958" i="3"/>
  <c r="V959" i="3"/>
  <c r="V775" i="3"/>
  <c r="R563" i="3"/>
  <c r="T563" i="3"/>
  <c r="T762" i="3"/>
  <c r="T519" i="3"/>
  <c r="S895" i="3"/>
  <c r="R362" i="3"/>
  <c r="V678" i="3"/>
  <c r="T371" i="3"/>
  <c r="S727" i="3"/>
  <c r="R668" i="3"/>
  <c r="V954" i="3"/>
  <c r="V472" i="3"/>
  <c r="T897" i="3"/>
  <c r="V897" i="3"/>
  <c r="T858" i="3"/>
  <c r="T760" i="3"/>
  <c r="S871" i="3"/>
  <c r="R519" i="3"/>
  <c r="R354" i="3"/>
  <c r="R919" i="3"/>
  <c r="S919" i="3"/>
  <c r="S847" i="3"/>
  <c r="R847" i="3"/>
  <c r="T679" i="3"/>
  <c r="S679" i="3"/>
  <c r="T607" i="3"/>
  <c r="R607" i="3"/>
  <c r="R457" i="3"/>
  <c r="T457" i="3"/>
  <c r="R942" i="3"/>
  <c r="S942" i="3"/>
  <c r="R798" i="3"/>
  <c r="S798" i="3"/>
  <c r="V798" i="3"/>
  <c r="T798" i="3"/>
  <c r="V726" i="3"/>
  <c r="T726" i="3"/>
  <c r="R433" i="3"/>
  <c r="T433" i="3"/>
  <c r="V433" i="3"/>
  <c r="R409" i="3"/>
  <c r="S409" i="3"/>
  <c r="S582" i="3"/>
  <c r="V943" i="3"/>
  <c r="S811" i="3"/>
  <c r="R811" i="3"/>
  <c r="S834" i="3"/>
  <c r="R834" i="3"/>
  <c r="V594" i="3"/>
  <c r="S594" i="3"/>
  <c r="R373" i="3"/>
  <c r="T373" i="3"/>
  <c r="T410" i="3"/>
  <c r="S773" i="3"/>
  <c r="R559" i="3"/>
  <c r="V895" i="3"/>
  <c r="V349" i="3"/>
  <c r="S929" i="3"/>
  <c r="V929" i="3"/>
  <c r="T689" i="3"/>
  <c r="V689" i="3"/>
  <c r="T593" i="3"/>
  <c r="V593" i="3"/>
  <c r="S593" i="3"/>
  <c r="R593" i="3"/>
  <c r="R469" i="3"/>
  <c r="T469" i="3"/>
  <c r="T420" i="3"/>
  <c r="V420" i="3"/>
  <c r="R372" i="3"/>
  <c r="T372" i="3"/>
  <c r="S348" i="3"/>
  <c r="V799" i="3"/>
  <c r="V606" i="3"/>
  <c r="T952" i="3"/>
  <c r="R952" i="3"/>
  <c r="T904" i="3"/>
  <c r="R904" i="3"/>
  <c r="S808" i="3"/>
  <c r="T808" i="3"/>
  <c r="S664" i="3"/>
  <c r="R664" i="3"/>
  <c r="S518" i="3"/>
  <c r="T518" i="3"/>
  <c r="R518" i="3"/>
  <c r="R443" i="3"/>
  <c r="S443" i="3"/>
  <c r="V395" i="3"/>
  <c r="R395" i="3"/>
  <c r="S906" i="3"/>
  <c r="S631" i="3"/>
  <c r="S347" i="3"/>
  <c r="V786" i="3"/>
  <c r="V347" i="3"/>
  <c r="S905" i="3"/>
  <c r="S630" i="3"/>
  <c r="V785" i="3"/>
  <c r="T787" i="3"/>
  <c r="S904" i="3"/>
  <c r="V967" i="3"/>
  <c r="V784" i="3"/>
  <c r="V496" i="3"/>
  <c r="T654" i="3"/>
  <c r="S469" i="3"/>
  <c r="R689" i="3"/>
  <c r="V966" i="3"/>
  <c r="V592" i="3"/>
  <c r="V410" i="3"/>
  <c r="T785" i="3"/>
  <c r="S467" i="3"/>
  <c r="V679" i="3"/>
  <c r="V409" i="3"/>
  <c r="T875" i="3"/>
  <c r="T640" i="3"/>
  <c r="S738" i="3"/>
  <c r="S606" i="3"/>
  <c r="R957" i="3"/>
  <c r="R679" i="3"/>
  <c r="V958" i="3"/>
  <c r="V774" i="3"/>
  <c r="T761" i="3"/>
  <c r="R520" i="3"/>
  <c r="V953" i="3"/>
  <c r="V847" i="3"/>
  <c r="V569" i="3"/>
  <c r="V471" i="3"/>
  <c r="R944" i="3"/>
  <c r="S944" i="3"/>
  <c r="R920" i="3"/>
  <c r="V920" i="3"/>
  <c r="R896" i="3"/>
  <c r="V896" i="3"/>
  <c r="V848" i="3"/>
  <c r="S848" i="3"/>
  <c r="S824" i="3"/>
  <c r="V824" i="3"/>
  <c r="R800" i="3"/>
  <c r="T800" i="3"/>
  <c r="T680" i="3"/>
  <c r="S680" i="3"/>
  <c r="V656" i="3"/>
  <c r="S656" i="3"/>
  <c r="S560" i="3"/>
  <c r="V560" i="3"/>
  <c r="R510" i="3"/>
  <c r="T510" i="3"/>
  <c r="V510" i="3"/>
  <c r="T486" i="3"/>
  <c r="S486" i="3"/>
  <c r="R411" i="3"/>
  <c r="T411" i="3"/>
  <c r="S363" i="3"/>
  <c r="V363" i="3"/>
  <c r="T857" i="3"/>
  <c r="T752" i="3"/>
  <c r="T618" i="3"/>
  <c r="T362" i="3"/>
  <c r="S714" i="3"/>
  <c r="R929" i="3"/>
  <c r="R786" i="3"/>
  <c r="R351" i="3"/>
  <c r="V699" i="3"/>
  <c r="S843" i="3"/>
  <c r="S555" i="3"/>
  <c r="V358" i="3"/>
  <c r="T877" i="3"/>
  <c r="T454" i="3"/>
  <c r="R699" i="3"/>
  <c r="V819" i="3"/>
  <c r="V479" i="3"/>
  <c r="T876" i="3"/>
  <c r="T453" i="3"/>
  <c r="R505" i="3"/>
  <c r="T915" i="3"/>
  <c r="R555" i="3"/>
  <c r="V795" i="3"/>
  <c r="V454" i="3"/>
  <c r="S973" i="3"/>
  <c r="R758" i="3"/>
  <c r="R542" i="3"/>
  <c r="R430" i="3"/>
  <c r="T932" i="3"/>
  <c r="R932" i="3"/>
  <c r="V941" i="3"/>
  <c r="R956" i="3"/>
  <c r="T951" i="3"/>
  <c r="R951" i="3"/>
  <c r="R927" i="3"/>
  <c r="S927" i="3"/>
  <c r="V927" i="3"/>
  <c r="T927" i="3"/>
  <c r="T879" i="3"/>
  <c r="R879" i="3"/>
  <c r="V879" i="3"/>
  <c r="T855" i="3"/>
  <c r="R855" i="3"/>
  <c r="S855" i="3"/>
  <c r="T831" i="3"/>
  <c r="S831" i="3"/>
  <c r="V831" i="3"/>
  <c r="S807" i="3"/>
  <c r="T807" i="3"/>
  <c r="R807" i="3"/>
  <c r="S783" i="3"/>
  <c r="V783" i="3"/>
  <c r="R759" i="3"/>
  <c r="S759" i="3"/>
  <c r="T759" i="3"/>
  <c r="R735" i="3"/>
  <c r="T735" i="3"/>
  <c r="V735" i="3"/>
  <c r="V711" i="3"/>
  <c r="R711" i="3"/>
  <c r="R687" i="3"/>
  <c r="V687" i="3"/>
  <c r="T687" i="3"/>
  <c r="T663" i="3"/>
  <c r="S663" i="3"/>
  <c r="V663" i="3"/>
  <c r="R663" i="3"/>
  <c r="S639" i="3"/>
  <c r="R639" i="3"/>
  <c r="V639" i="3"/>
  <c r="T615" i="3"/>
  <c r="S615" i="3"/>
  <c r="T567" i="3"/>
  <c r="R567" i="3"/>
  <c r="V567" i="3"/>
  <c r="V543" i="3"/>
  <c r="S543" i="3"/>
  <c r="T543" i="3"/>
  <c r="S517" i="3"/>
  <c r="R517" i="3"/>
  <c r="V517" i="3"/>
  <c r="R493" i="3"/>
  <c r="T493" i="3"/>
  <c r="T466" i="3"/>
  <c r="V466" i="3"/>
  <c r="R442" i="3"/>
  <c r="S442" i="3"/>
  <c r="R418" i="3"/>
  <c r="V418" i="3"/>
  <c r="T418" i="3"/>
  <c r="S370" i="3"/>
  <c r="T370" i="3"/>
  <c r="S346" i="3"/>
  <c r="V346" i="3"/>
  <c r="R346" i="3"/>
  <c r="T346" i="3"/>
  <c r="T940" i="3"/>
  <c r="T407" i="3"/>
  <c r="S567" i="3"/>
  <c r="R394" i="3"/>
  <c r="V807" i="3"/>
  <c r="V759" i="3"/>
  <c r="V394" i="3"/>
  <c r="T639" i="3"/>
  <c r="S556" i="3"/>
  <c r="V855" i="3"/>
  <c r="R466" i="3"/>
  <c r="V911" i="3"/>
  <c r="V797" i="3"/>
  <c r="V552" i="3"/>
  <c r="T711" i="3"/>
  <c r="T394" i="3"/>
  <c r="S879" i="3"/>
  <c r="S711" i="3"/>
  <c r="S466" i="3"/>
  <c r="R370" i="3"/>
  <c r="V796" i="3"/>
  <c r="V551" i="3"/>
  <c r="V493" i="3"/>
  <c r="T455" i="3"/>
  <c r="V615" i="3"/>
  <c r="V442" i="3"/>
  <c r="T783" i="3"/>
  <c r="S951" i="3"/>
  <c r="S550" i="3"/>
  <c r="R449" i="3"/>
  <c r="R941" i="3"/>
  <c r="S941" i="3"/>
  <c r="S917" i="3"/>
  <c r="T917" i="3"/>
  <c r="V869" i="3"/>
  <c r="S869" i="3"/>
  <c r="R821" i="3"/>
  <c r="V821" i="3"/>
  <c r="S821" i="3"/>
  <c r="T629" i="3"/>
  <c r="V629" i="3"/>
  <c r="R557" i="3"/>
  <c r="V557" i="3"/>
  <c r="S557" i="3"/>
  <c r="T557" i="3"/>
  <c r="S481" i="3"/>
  <c r="V481" i="3"/>
  <c r="T964" i="3"/>
  <c r="S964" i="3"/>
  <c r="V916" i="3"/>
  <c r="S916" i="3"/>
  <c r="T916" i="3"/>
  <c r="T868" i="3"/>
  <c r="V868" i="3"/>
  <c r="R868" i="3"/>
  <c r="S868" i="3"/>
  <c r="R844" i="3"/>
  <c r="S844" i="3"/>
  <c r="T844" i="3"/>
  <c r="S820" i="3"/>
  <c r="R820" i="3"/>
  <c r="V820" i="3"/>
  <c r="T820" i="3"/>
  <c r="T772" i="3"/>
  <c r="R772" i="3"/>
  <c r="R724" i="3"/>
  <c r="S724" i="3"/>
  <c r="S700" i="3"/>
  <c r="R700" i="3"/>
  <c r="R628" i="3"/>
  <c r="T628" i="3"/>
  <c r="V628" i="3"/>
  <c r="V556" i="3"/>
  <c r="T556" i="3"/>
  <c r="S532" i="3"/>
  <c r="T532" i="3"/>
  <c r="S506" i="3"/>
  <c r="T506" i="3"/>
  <c r="V506" i="3"/>
  <c r="R506" i="3"/>
  <c r="S480" i="3"/>
  <c r="V480" i="3"/>
  <c r="S431" i="3"/>
  <c r="R431" i="3"/>
  <c r="S359" i="3"/>
  <c r="R359" i="3"/>
  <c r="T359" i="3"/>
  <c r="T821" i="3"/>
  <c r="V360" i="3"/>
  <c r="V533" i="3"/>
  <c r="V359" i="3"/>
  <c r="R938" i="3"/>
  <c r="S938" i="3"/>
  <c r="V938" i="3"/>
  <c r="T938" i="3"/>
  <c r="V914" i="3"/>
  <c r="T914" i="3"/>
  <c r="R842" i="3"/>
  <c r="V842" i="3"/>
  <c r="S818" i="3"/>
  <c r="R818" i="3"/>
  <c r="V818" i="3"/>
  <c r="S794" i="3"/>
  <c r="T794" i="3"/>
  <c r="R794" i="3"/>
  <c r="V794" i="3"/>
  <c r="V770" i="3"/>
  <c r="S770" i="3"/>
  <c r="R746" i="3"/>
  <c r="S746" i="3"/>
  <c r="T746" i="3"/>
  <c r="V722" i="3"/>
  <c r="T722" i="3"/>
  <c r="R722" i="3"/>
  <c r="S722" i="3"/>
  <c r="V674" i="3"/>
  <c r="T674" i="3"/>
  <c r="T650" i="3"/>
  <c r="S650" i="3"/>
  <c r="R650" i="3"/>
  <c r="S602" i="3"/>
  <c r="R602" i="3"/>
  <c r="T602" i="3"/>
  <c r="V554" i="3"/>
  <c r="T554" i="3"/>
  <c r="R554" i="3"/>
  <c r="T530" i="3"/>
  <c r="R530" i="3"/>
  <c r="V530" i="3"/>
  <c r="S504" i="3"/>
  <c r="T504" i="3"/>
  <c r="R504" i="3"/>
  <c r="R453" i="3"/>
  <c r="S453" i="3"/>
  <c r="S429" i="3"/>
  <c r="R429" i="3"/>
  <c r="V357" i="3"/>
  <c r="R357" i="3"/>
  <c r="T818" i="3"/>
  <c r="R903" i="3"/>
  <c r="V532" i="3"/>
  <c r="T517" i="3"/>
  <c r="R890" i="3"/>
  <c r="R532" i="3"/>
  <c r="V650" i="3"/>
  <c r="R912" i="3"/>
  <c r="V912" i="3"/>
  <c r="S624" i="3"/>
  <c r="R624" i="3"/>
  <c r="V624" i="3"/>
  <c r="V600" i="3"/>
  <c r="R600" i="3"/>
  <c r="R576" i="3"/>
  <c r="T576" i="3"/>
  <c r="S576" i="3"/>
  <c r="V576" i="3"/>
  <c r="R552" i="3"/>
  <c r="T552" i="3"/>
  <c r="R528" i="3"/>
  <c r="V528" i="3"/>
  <c r="T502" i="3"/>
  <c r="S502" i="3"/>
  <c r="R502" i="3"/>
  <c r="T476" i="3"/>
  <c r="R476" i="3"/>
  <c r="S451" i="3"/>
  <c r="T451" i="3"/>
  <c r="R427" i="3"/>
  <c r="T427" i="3"/>
  <c r="V427" i="3"/>
  <c r="V403" i="3"/>
  <c r="S403" i="3"/>
  <c r="T403" i="3"/>
  <c r="R403" i="3"/>
  <c r="R379" i="3"/>
  <c r="T379" i="3"/>
  <c r="V379" i="3"/>
  <c r="S379" i="3"/>
  <c r="R355" i="3"/>
  <c r="T355" i="3"/>
  <c r="T591" i="3"/>
  <c r="T442" i="3"/>
  <c r="S591" i="3"/>
  <c r="R615" i="3"/>
  <c r="S935" i="3"/>
  <c r="R935" i="3"/>
  <c r="V935" i="3"/>
  <c r="T935" i="3"/>
  <c r="R863" i="3"/>
  <c r="S863" i="3"/>
  <c r="T863" i="3"/>
  <c r="R839" i="3"/>
  <c r="V839" i="3"/>
  <c r="T815" i="3"/>
  <c r="S815" i="3"/>
  <c r="R791" i="3"/>
  <c r="S791" i="3"/>
  <c r="V791" i="3"/>
  <c r="S767" i="3"/>
  <c r="T767" i="3"/>
  <c r="S743" i="3"/>
  <c r="T743" i="3"/>
  <c r="V743" i="3"/>
  <c r="S719" i="3"/>
  <c r="R719" i="3"/>
  <c r="S695" i="3"/>
  <c r="V695" i="3"/>
  <c r="R671" i="3"/>
  <c r="T671" i="3"/>
  <c r="S647" i="3"/>
  <c r="R647" i="3"/>
  <c r="V623" i="3"/>
  <c r="S623" i="3"/>
  <c r="T623" i="3"/>
  <c r="S599" i="3"/>
  <c r="V599" i="3"/>
  <c r="R599" i="3"/>
  <c r="R575" i="3"/>
  <c r="S575" i="3"/>
  <c r="V575" i="3"/>
  <c r="R551" i="3"/>
  <c r="T551" i="3"/>
  <c r="R527" i="3"/>
  <c r="V527" i="3"/>
  <c r="S527" i="3"/>
  <c r="V501" i="3"/>
  <c r="R501" i="3"/>
  <c r="T475" i="3"/>
  <c r="V475" i="3"/>
  <c r="S450" i="3"/>
  <c r="T450" i="3"/>
  <c r="T426" i="3"/>
  <c r="R426" i="3"/>
  <c r="V426" i="3"/>
  <c r="S402" i="3"/>
  <c r="T402" i="3"/>
  <c r="R402" i="3"/>
  <c r="T378" i="3"/>
  <c r="V378" i="3"/>
  <c r="S378" i="3"/>
  <c r="S842" i="3"/>
  <c r="V815" i="3"/>
  <c r="V772" i="3"/>
  <c r="T934" i="3"/>
  <c r="S934" i="3"/>
  <c r="R934" i="3"/>
  <c r="V934" i="3"/>
  <c r="S862" i="3"/>
  <c r="T862" i="3"/>
  <c r="R862" i="3"/>
  <c r="T838" i="3"/>
  <c r="R838" i="3"/>
  <c r="R814" i="3"/>
  <c r="T814" i="3"/>
  <c r="S790" i="3"/>
  <c r="V790" i="3"/>
  <c r="R790" i="3"/>
  <c r="S766" i="3"/>
  <c r="T766" i="3"/>
  <c r="R742" i="3"/>
  <c r="S742" i="3"/>
  <c r="V742" i="3"/>
  <c r="S718" i="3"/>
  <c r="R718" i="3"/>
  <c r="V670" i="3"/>
  <c r="R670" i="3"/>
  <c r="T670" i="3"/>
  <c r="V622" i="3"/>
  <c r="R622" i="3"/>
  <c r="T622" i="3"/>
  <c r="R598" i="3"/>
  <c r="S598" i="3"/>
  <c r="V598" i="3"/>
  <c r="R526" i="3"/>
  <c r="S526" i="3"/>
  <c r="S500" i="3"/>
  <c r="V500" i="3"/>
  <c r="R500" i="3"/>
  <c r="S474" i="3"/>
  <c r="T474" i="3"/>
  <c r="V474" i="3"/>
  <c r="R425" i="3"/>
  <c r="S425" i="3"/>
  <c r="T425" i="3"/>
  <c r="V425" i="3"/>
  <c r="T401" i="3"/>
  <c r="R401" i="3"/>
  <c r="T377" i="3"/>
  <c r="S377" i="3"/>
  <c r="V377" i="3"/>
  <c r="T353" i="3"/>
  <c r="R353" i="3"/>
  <c r="T501" i="3"/>
  <c r="S910" i="3"/>
  <c r="S839" i="3"/>
  <c r="V951" i="3"/>
  <c r="V814" i="3"/>
  <c r="R933" i="3"/>
  <c r="V933" i="3"/>
  <c r="S885" i="3"/>
  <c r="R885" i="3"/>
  <c r="V885" i="3"/>
  <c r="S861" i="3"/>
  <c r="T861" i="3"/>
  <c r="R861" i="3"/>
  <c r="T837" i="3"/>
  <c r="R837" i="3"/>
  <c r="S789" i="3"/>
  <c r="V789" i="3"/>
  <c r="R789" i="3"/>
  <c r="R741" i="3"/>
  <c r="V741" i="3"/>
  <c r="R717" i="3"/>
  <c r="S717" i="3"/>
  <c r="V669" i="3"/>
  <c r="R669" i="3"/>
  <c r="T669" i="3"/>
  <c r="R621" i="3"/>
  <c r="V621" i="3"/>
  <c r="T621" i="3"/>
  <c r="R597" i="3"/>
  <c r="S597" i="3"/>
  <c r="S499" i="3"/>
  <c r="R499" i="3"/>
  <c r="S473" i="3"/>
  <c r="T473" i="3"/>
  <c r="V473" i="3"/>
  <c r="R424" i="3"/>
  <c r="S424" i="3"/>
  <c r="V424" i="3"/>
  <c r="T424" i="3"/>
  <c r="T376" i="3"/>
  <c r="S376" i="3"/>
  <c r="V376" i="3"/>
  <c r="T352" i="3"/>
  <c r="R352" i="3"/>
  <c r="T575" i="3"/>
  <c r="T500" i="3"/>
  <c r="S909" i="3"/>
  <c r="S838" i="3"/>
  <c r="S741" i="3"/>
  <c r="S493" i="3"/>
  <c r="S418" i="3"/>
  <c r="R962" i="3"/>
  <c r="R695" i="3"/>
  <c r="V974" i="3"/>
  <c r="S974" i="3"/>
  <c r="S926" i="3"/>
  <c r="T926" i="3"/>
  <c r="R878" i="3"/>
  <c r="T878" i="3"/>
  <c r="R686" i="3"/>
  <c r="T686" i="3"/>
  <c r="S662" i="3"/>
  <c r="V662" i="3"/>
  <c r="R662" i="3"/>
  <c r="T393" i="3"/>
  <c r="S393" i="3"/>
  <c r="S925" i="3"/>
  <c r="T925" i="3"/>
  <c r="S733" i="3"/>
  <c r="T733" i="3"/>
  <c r="R685" i="3"/>
  <c r="T685" i="3"/>
  <c r="S661" i="3"/>
  <c r="V661" i="3"/>
  <c r="R661" i="3"/>
  <c r="V392" i="3"/>
  <c r="S392" i="3"/>
  <c r="R734" i="3"/>
  <c r="S924" i="3"/>
  <c r="T924" i="3"/>
  <c r="T852" i="3"/>
  <c r="S852" i="3"/>
  <c r="T660" i="3"/>
  <c r="V660" i="3"/>
  <c r="S564" i="3"/>
  <c r="V564" i="3"/>
  <c r="V490" i="3"/>
  <c r="T490" i="3"/>
  <c r="T684" i="3"/>
  <c r="R733" i="3"/>
  <c r="R566" i="3"/>
  <c r="T899" i="3"/>
  <c r="S899" i="3"/>
  <c r="R851" i="3"/>
  <c r="S851" i="3"/>
  <c r="T803" i="3"/>
  <c r="V803" i="3"/>
  <c r="V489" i="3"/>
  <c r="T489" i="3"/>
  <c r="R390" i="3"/>
  <c r="S390" i="3"/>
  <c r="T366" i="3"/>
  <c r="S366" i="3"/>
  <c r="S515" i="3"/>
  <c r="R565" i="3"/>
  <c r="S514" i="3"/>
  <c r="R804" i="3"/>
  <c r="R564" i="3"/>
  <c r="T825" i="3"/>
  <c r="S825" i="3"/>
  <c r="V585" i="3"/>
  <c r="S585" i="3"/>
  <c r="T732" i="3"/>
  <c r="R803" i="3"/>
  <c r="T731" i="3"/>
  <c r="T851" i="3"/>
  <c r="V971" i="3"/>
  <c r="R918" i="3"/>
  <c r="T918" i="3"/>
  <c r="R894" i="3"/>
  <c r="V894" i="3"/>
  <c r="T894" i="3"/>
  <c r="R870" i="3"/>
  <c r="S870" i="3"/>
  <c r="R846" i="3"/>
  <c r="S846" i="3"/>
  <c r="R822" i="3"/>
  <c r="V822" i="3"/>
  <c r="R774" i="3"/>
  <c r="T774" i="3"/>
  <c r="R726" i="3"/>
  <c r="S726" i="3"/>
  <c r="R702" i="3"/>
  <c r="S702" i="3"/>
  <c r="T702" i="3"/>
  <c r="R630" i="3"/>
  <c r="T630" i="3"/>
  <c r="R582" i="3"/>
  <c r="T582" i="3"/>
  <c r="R558" i="3"/>
  <c r="V558" i="3"/>
  <c r="S558" i="3"/>
  <c r="R534" i="3"/>
  <c r="S534" i="3"/>
  <c r="T534" i="3"/>
  <c r="R508" i="3"/>
  <c r="T508" i="3"/>
  <c r="R482" i="3"/>
  <c r="S482" i="3"/>
  <c r="T337" i="3"/>
  <c r="S337" i="3"/>
  <c r="T540" i="3"/>
  <c r="T409" i="3"/>
  <c r="S860" i="3"/>
  <c r="T860" i="3"/>
  <c r="S596" i="3"/>
  <c r="T596" i="3"/>
  <c r="S423" i="3"/>
  <c r="T423" i="3"/>
  <c r="V764" i="3"/>
  <c r="V620" i="3"/>
  <c r="S859" i="3"/>
  <c r="T859" i="3"/>
  <c r="S595" i="3"/>
  <c r="T595" i="3"/>
  <c r="R595" i="3"/>
  <c r="S422" i="3"/>
  <c r="T422" i="3"/>
  <c r="V422" i="3"/>
  <c r="S608" i="3"/>
  <c r="S510" i="3"/>
  <c r="V800" i="3"/>
  <c r="V763" i="3"/>
  <c r="R642" i="3"/>
  <c r="S642" i="3"/>
  <c r="T594" i="3"/>
  <c r="R594" i="3"/>
  <c r="R570" i="3"/>
  <c r="T570" i="3"/>
  <c r="R496" i="3"/>
  <c r="S496" i="3"/>
  <c r="T421" i="3"/>
  <c r="V421" i="3"/>
  <c r="T944" i="3"/>
  <c r="S607" i="3"/>
  <c r="R968" i="3"/>
  <c r="T968" i="3"/>
  <c r="V968" i="3"/>
  <c r="T776" i="3"/>
  <c r="R776" i="3"/>
  <c r="R728" i="3"/>
  <c r="V728" i="3"/>
  <c r="R656" i="3"/>
  <c r="T656" i="3"/>
  <c r="R632" i="3"/>
  <c r="T632" i="3"/>
  <c r="R536" i="3"/>
  <c r="S536" i="3"/>
  <c r="T458" i="3"/>
  <c r="V458" i="3"/>
  <c r="R458" i="3"/>
  <c r="V435" i="3"/>
  <c r="R435" i="3"/>
  <c r="V387" i="3"/>
  <c r="R387" i="3"/>
  <c r="R339" i="3"/>
  <c r="S339" i="3"/>
  <c r="V339" i="3"/>
  <c r="T560" i="3"/>
  <c r="R704" i="3"/>
  <c r="T775" i="3"/>
  <c r="R775" i="3"/>
  <c r="S703" i="3"/>
  <c r="R703" i="3"/>
  <c r="R655" i="3"/>
  <c r="T655" i="3"/>
  <c r="R631" i="3"/>
  <c r="T631" i="3"/>
  <c r="V386" i="3"/>
  <c r="R386" i="3"/>
  <c r="S920" i="3"/>
  <c r="S752" i="3"/>
  <c r="S584" i="3"/>
  <c r="T569" i="3"/>
  <c r="T443" i="3"/>
  <c r="S856" i="3"/>
  <c r="R795" i="3"/>
  <c r="T905" i="3"/>
  <c r="T555" i="3"/>
  <c r="S928" i="3"/>
  <c r="R867" i="3"/>
  <c r="T505" i="3"/>
  <c r="S519" i="3"/>
  <c r="R937" i="3"/>
  <c r="T937" i="3"/>
  <c r="R865" i="3"/>
  <c r="T865" i="3"/>
  <c r="V865" i="3"/>
  <c r="S865" i="3"/>
  <c r="R841" i="3"/>
  <c r="T841" i="3"/>
  <c r="R769" i="3"/>
  <c r="T769" i="3"/>
  <c r="S769" i="3"/>
  <c r="T721" i="3"/>
  <c r="V721" i="3"/>
  <c r="S673" i="3"/>
  <c r="R673" i="3"/>
  <c r="V601" i="3"/>
  <c r="S601" i="3"/>
  <c r="T553" i="3"/>
  <c r="V553" i="3"/>
  <c r="T404" i="3"/>
  <c r="S404" i="3"/>
  <c r="V404" i="3"/>
  <c r="S356" i="3"/>
  <c r="V356" i="3"/>
  <c r="T356" i="3"/>
  <c r="T960" i="3"/>
  <c r="S960" i="3"/>
  <c r="S888" i="3"/>
  <c r="V888" i="3"/>
  <c r="R840" i="3"/>
  <c r="T840" i="3"/>
  <c r="V840" i="3"/>
  <c r="S696" i="3"/>
  <c r="V696" i="3"/>
  <c r="S648" i="3"/>
  <c r="T648" i="3"/>
  <c r="R648" i="3"/>
  <c r="S452" i="3"/>
  <c r="V769" i="3"/>
  <c r="S961" i="3"/>
  <c r="T961" i="3"/>
  <c r="S913" i="3"/>
  <c r="R913" i="3"/>
  <c r="T697" i="3"/>
  <c r="S697" i="3"/>
  <c r="V697" i="3"/>
  <c r="S625" i="3"/>
  <c r="R625" i="3"/>
  <c r="V625" i="3"/>
  <c r="R577" i="3"/>
  <c r="T577" i="3"/>
  <c r="S577" i="3"/>
  <c r="T477" i="3"/>
  <c r="R477" i="3"/>
  <c r="S477" i="3"/>
  <c r="T380" i="3"/>
  <c r="R380" i="3"/>
  <c r="S793" i="3"/>
  <c r="R936" i="3"/>
  <c r="T936" i="3"/>
  <c r="T864" i="3"/>
  <c r="V864" i="3"/>
  <c r="S864" i="3"/>
  <c r="R768" i="3"/>
  <c r="T768" i="3"/>
  <c r="S768" i="3"/>
  <c r="R744" i="3"/>
  <c r="T744" i="3"/>
  <c r="V841" i="3"/>
  <c r="V745" i="3"/>
  <c r="S672" i="3"/>
  <c r="R961" i="3"/>
  <c r="V744" i="3"/>
  <c r="V673" i="3"/>
  <c r="T452" i="3"/>
  <c r="R960" i="3"/>
  <c r="R503" i="3"/>
  <c r="V672" i="3"/>
  <c r="V380" i="3"/>
  <c r="V529" i="3"/>
  <c r="R793" i="3"/>
  <c r="V452" i="3"/>
  <c r="R792" i="3"/>
  <c r="V937" i="3"/>
  <c r="S745" i="3"/>
  <c r="R864" i="3"/>
  <c r="V936" i="3"/>
  <c r="S744" i="3"/>
  <c r="T913" i="3"/>
  <c r="T529" i="3"/>
  <c r="S937" i="3"/>
  <c r="S816" i="3"/>
  <c r="S553" i="3"/>
  <c r="R404" i="3"/>
  <c r="V768" i="3"/>
  <c r="T912" i="3"/>
  <c r="T601" i="3"/>
  <c r="S936" i="3"/>
  <c r="R697" i="3"/>
  <c r="T950" i="3"/>
  <c r="V950" i="3"/>
  <c r="R950" i="3"/>
  <c r="S902" i="3"/>
  <c r="T902" i="3"/>
  <c r="T830" i="3"/>
  <c r="V830" i="3"/>
  <c r="S830" i="3"/>
  <c r="V806" i="3"/>
  <c r="T806" i="3"/>
  <c r="S782" i="3"/>
  <c r="V782" i="3"/>
  <c r="R782" i="3"/>
  <c r="R710" i="3"/>
  <c r="T710" i="3"/>
  <c r="T638" i="3"/>
  <c r="V638" i="3"/>
  <c r="T614" i="3"/>
  <c r="R614" i="3"/>
  <c r="R516" i="3"/>
  <c r="V516" i="3"/>
  <c r="T516" i="3"/>
  <c r="S492" i="3"/>
  <c r="T492" i="3"/>
  <c r="V492" i="3"/>
  <c r="V465" i="3"/>
  <c r="S465" i="3"/>
  <c r="R441" i="3"/>
  <c r="S441" i="3"/>
  <c r="R417" i="3"/>
  <c r="S417" i="3"/>
  <c r="T417" i="3"/>
  <c r="R369" i="3"/>
  <c r="V369" i="3"/>
  <c r="S369" i="3"/>
  <c r="R345" i="3"/>
  <c r="V345" i="3"/>
  <c r="T758" i="3"/>
  <c r="S889" i="3"/>
  <c r="R902" i="3"/>
  <c r="R696" i="3"/>
  <c r="V590" i="3"/>
  <c r="T949" i="3"/>
  <c r="V949" i="3"/>
  <c r="R949" i="3"/>
  <c r="S901" i="3"/>
  <c r="T901" i="3"/>
  <c r="T829" i="3"/>
  <c r="R829" i="3"/>
  <c r="S829" i="3"/>
  <c r="V805" i="3"/>
  <c r="T805" i="3"/>
  <c r="S781" i="3"/>
  <c r="V781" i="3"/>
  <c r="T781" i="3"/>
  <c r="R781" i="3"/>
  <c r="R709" i="3"/>
  <c r="T709" i="3"/>
  <c r="T637" i="3"/>
  <c r="V637" i="3"/>
  <c r="T613" i="3"/>
  <c r="R613" i="3"/>
  <c r="V613" i="3"/>
  <c r="T541" i="3"/>
  <c r="S541" i="3"/>
  <c r="R515" i="3"/>
  <c r="T515" i="3"/>
  <c r="S491" i="3"/>
  <c r="V491" i="3"/>
  <c r="V463" i="3"/>
  <c r="T463" i="3"/>
  <c r="V440" i="3"/>
  <c r="R440" i="3"/>
  <c r="S440" i="3"/>
  <c r="V416" i="3"/>
  <c r="R416" i="3"/>
  <c r="S416" i="3"/>
  <c r="T416" i="3"/>
  <c r="V368" i="3"/>
  <c r="R368" i="3"/>
  <c r="S368" i="3"/>
  <c r="V344" i="3"/>
  <c r="R344" i="3"/>
  <c r="T757" i="3"/>
  <c r="T369" i="3"/>
  <c r="R901" i="3"/>
  <c r="R492" i="3"/>
  <c r="V734" i="3"/>
  <c r="V589" i="3"/>
  <c r="V477" i="3"/>
  <c r="R972" i="3"/>
  <c r="V972" i="3"/>
  <c r="V948" i="3"/>
  <c r="R948" i="3"/>
  <c r="S900" i="3"/>
  <c r="T900" i="3"/>
  <c r="S876" i="3"/>
  <c r="R876" i="3"/>
  <c r="R828" i="3"/>
  <c r="S828" i="3"/>
  <c r="V780" i="3"/>
  <c r="T780" i="3"/>
  <c r="R780" i="3"/>
  <c r="S756" i="3"/>
  <c r="V756" i="3"/>
  <c r="S732" i="3"/>
  <c r="V732" i="3"/>
  <c r="T708" i="3"/>
  <c r="R708" i="3"/>
  <c r="R660" i="3"/>
  <c r="S660" i="3"/>
  <c r="T636" i="3"/>
  <c r="V636" i="3"/>
  <c r="R612" i="3"/>
  <c r="V612" i="3"/>
  <c r="T514" i="3"/>
  <c r="R514" i="3"/>
  <c r="S462" i="3"/>
  <c r="T462" i="3"/>
  <c r="V462" i="3"/>
  <c r="V439" i="3"/>
  <c r="R439" i="3"/>
  <c r="S439" i="3"/>
  <c r="S415" i="3"/>
  <c r="T415" i="3"/>
  <c r="R415" i="3"/>
  <c r="S367" i="3"/>
  <c r="V367" i="3"/>
  <c r="R343" i="3"/>
  <c r="V343" i="3"/>
  <c r="S343" i="3"/>
  <c r="T948" i="3"/>
  <c r="T793" i="3"/>
  <c r="T756" i="3"/>
  <c r="T368" i="3"/>
  <c r="R900" i="3"/>
  <c r="R601" i="3"/>
  <c r="R529" i="3"/>
  <c r="R491" i="3"/>
  <c r="R356" i="3"/>
  <c r="V854" i="3"/>
  <c r="V733" i="3"/>
  <c r="V588" i="3"/>
  <c r="V947" i="3"/>
  <c r="R947" i="3"/>
  <c r="T923" i="3"/>
  <c r="S923" i="3"/>
  <c r="S875" i="3"/>
  <c r="R875" i="3"/>
  <c r="R827" i="3"/>
  <c r="S827" i="3"/>
  <c r="T779" i="3"/>
  <c r="V779" i="3"/>
  <c r="R779" i="3"/>
  <c r="S755" i="3"/>
  <c r="V755" i="3"/>
  <c r="S731" i="3"/>
  <c r="V731" i="3"/>
  <c r="V707" i="3"/>
  <c r="R707" i="3"/>
  <c r="R683" i="3"/>
  <c r="V683" i="3"/>
  <c r="T683" i="3"/>
  <c r="V659" i="3"/>
  <c r="R659" i="3"/>
  <c r="V635" i="3"/>
  <c r="S635" i="3"/>
  <c r="V611" i="3"/>
  <c r="T611" i="3"/>
  <c r="R611" i="3"/>
  <c r="V587" i="3"/>
  <c r="T587" i="3"/>
  <c r="V563" i="3"/>
  <c r="S563" i="3"/>
  <c r="V539" i="3"/>
  <c r="S539" i="3"/>
  <c r="T513" i="3"/>
  <c r="V513" i="3"/>
  <c r="R513" i="3"/>
  <c r="S461" i="3"/>
  <c r="V461" i="3"/>
  <c r="T461" i="3"/>
  <c r="V438" i="3"/>
  <c r="R438" i="3"/>
  <c r="S438" i="3"/>
  <c r="S414" i="3"/>
  <c r="T414" i="3"/>
  <c r="R414" i="3"/>
  <c r="R342" i="3"/>
  <c r="S342" i="3"/>
  <c r="V342" i="3"/>
  <c r="T947" i="3"/>
  <c r="T792" i="3"/>
  <c r="T755" i="3"/>
  <c r="T673" i="3"/>
  <c r="T441" i="3"/>
  <c r="T367" i="3"/>
  <c r="S614" i="3"/>
  <c r="R899" i="3"/>
  <c r="R817" i="3"/>
  <c r="R649" i="3"/>
  <c r="R490" i="3"/>
  <c r="V926" i="3"/>
  <c r="V853" i="3"/>
  <c r="V366" i="3"/>
  <c r="T970" i="3"/>
  <c r="V970" i="3"/>
  <c r="R970" i="3"/>
  <c r="T946" i="3"/>
  <c r="V946" i="3"/>
  <c r="R946" i="3"/>
  <c r="T922" i="3"/>
  <c r="V922" i="3"/>
  <c r="S922" i="3"/>
  <c r="T898" i="3"/>
  <c r="V898" i="3"/>
  <c r="T874" i="3"/>
  <c r="V874" i="3"/>
  <c r="S874" i="3"/>
  <c r="R874" i="3"/>
  <c r="T850" i="3"/>
  <c r="V850" i="3"/>
  <c r="T826" i="3"/>
  <c r="V826" i="3"/>
  <c r="R826" i="3"/>
  <c r="S826" i="3"/>
  <c r="T802" i="3"/>
  <c r="V802" i="3"/>
  <c r="T778" i="3"/>
  <c r="V778" i="3"/>
  <c r="R778" i="3"/>
  <c r="T754" i="3"/>
  <c r="V754" i="3"/>
  <c r="T730" i="3"/>
  <c r="V730" i="3"/>
  <c r="S730" i="3"/>
  <c r="T706" i="3"/>
  <c r="V706" i="3"/>
  <c r="S706" i="3"/>
  <c r="R706" i="3"/>
  <c r="T682" i="3"/>
  <c r="V682" i="3"/>
  <c r="R682" i="3"/>
  <c r="T658" i="3"/>
  <c r="V658" i="3"/>
  <c r="R658" i="3"/>
  <c r="T634" i="3"/>
  <c r="V634" i="3"/>
  <c r="S634" i="3"/>
  <c r="T610" i="3"/>
  <c r="V610" i="3"/>
  <c r="R610" i="3"/>
  <c r="T586" i="3"/>
  <c r="V586" i="3"/>
  <c r="R586" i="3"/>
  <c r="T562" i="3"/>
  <c r="V562" i="3"/>
  <c r="S562" i="3"/>
  <c r="T538" i="3"/>
  <c r="V538" i="3"/>
  <c r="S538" i="3"/>
  <c r="T512" i="3"/>
  <c r="V512" i="3"/>
  <c r="R512" i="3"/>
  <c r="T488" i="3"/>
  <c r="V488" i="3"/>
  <c r="R488" i="3"/>
  <c r="T460" i="3"/>
  <c r="V460" i="3"/>
  <c r="T437" i="3"/>
  <c r="S437" i="3"/>
  <c r="V437" i="3"/>
  <c r="T413" i="3"/>
  <c r="R413" i="3"/>
  <c r="T389" i="3"/>
  <c r="S389" i="3"/>
  <c r="T365" i="3"/>
  <c r="R365" i="3"/>
  <c r="T341" i="3"/>
  <c r="R341" i="3"/>
  <c r="V341" i="3"/>
  <c r="S341" i="3"/>
  <c r="T440" i="3"/>
  <c r="S806" i="3"/>
  <c r="S613" i="3"/>
  <c r="S463" i="3"/>
  <c r="S428" i="3"/>
  <c r="R898" i="3"/>
  <c r="R489" i="3"/>
  <c r="V961" i="3"/>
  <c r="V925" i="3"/>
  <c r="V852" i="3"/>
  <c r="V792" i="3"/>
  <c r="V649" i="3"/>
  <c r="V365" i="3"/>
  <c r="T969" i="3"/>
  <c r="R969" i="3"/>
  <c r="T945" i="3"/>
  <c r="R945" i="3"/>
  <c r="V945" i="3"/>
  <c r="T921" i="3"/>
  <c r="S921" i="3"/>
  <c r="V921" i="3"/>
  <c r="T873" i="3"/>
  <c r="S873" i="3"/>
  <c r="R873" i="3"/>
  <c r="T849" i="3"/>
  <c r="R849" i="3"/>
  <c r="T801" i="3"/>
  <c r="R801" i="3"/>
  <c r="T777" i="3"/>
  <c r="V777" i="3"/>
  <c r="R777" i="3"/>
  <c r="T753" i="3"/>
  <c r="V753" i="3"/>
  <c r="T729" i="3"/>
  <c r="S729" i="3"/>
  <c r="V729" i="3"/>
  <c r="T705" i="3"/>
  <c r="S705" i="3"/>
  <c r="V705" i="3"/>
  <c r="R705" i="3"/>
  <c r="T681" i="3"/>
  <c r="R681" i="3"/>
  <c r="T657" i="3"/>
  <c r="R657" i="3"/>
  <c r="T633" i="3"/>
  <c r="S633" i="3"/>
  <c r="T609" i="3"/>
  <c r="R609" i="3"/>
  <c r="V609" i="3"/>
  <c r="T585" i="3"/>
  <c r="R585" i="3"/>
  <c r="T561" i="3"/>
  <c r="S561" i="3"/>
  <c r="T537" i="3"/>
  <c r="S537" i="3"/>
  <c r="T511" i="3"/>
  <c r="R511" i="3"/>
  <c r="T487" i="3"/>
  <c r="R487" i="3"/>
  <c r="V487" i="3"/>
  <c r="T459" i="3"/>
  <c r="V459" i="3"/>
  <c r="T436" i="3"/>
  <c r="S436" i="3"/>
  <c r="V436" i="3"/>
  <c r="T412" i="3"/>
  <c r="V412" i="3"/>
  <c r="R412" i="3"/>
  <c r="T388" i="3"/>
  <c r="S388" i="3"/>
  <c r="T364" i="3"/>
  <c r="R364" i="3"/>
  <c r="T340" i="3"/>
  <c r="R340" i="3"/>
  <c r="V340" i="3"/>
  <c r="S340" i="3"/>
  <c r="T439" i="3"/>
  <c r="S805" i="3"/>
  <c r="S612" i="3"/>
  <c r="S542" i="3"/>
  <c r="S460" i="3"/>
  <c r="S345" i="3"/>
  <c r="R897" i="3"/>
  <c r="R393" i="3"/>
  <c r="V960" i="3"/>
  <c r="V924" i="3"/>
  <c r="V851" i="3"/>
  <c r="V686" i="3"/>
  <c r="V648" i="3"/>
  <c r="V441" i="3"/>
  <c r="V364" i="3"/>
  <c r="T707" i="3"/>
  <c r="T438" i="3"/>
  <c r="S804" i="3"/>
  <c r="S611" i="3"/>
  <c r="S459" i="3"/>
  <c r="S380" i="3"/>
  <c r="S344" i="3"/>
  <c r="R852" i="3"/>
  <c r="R392" i="3"/>
  <c r="V923" i="3"/>
  <c r="V849" i="3"/>
  <c r="V817" i="3"/>
  <c r="V720" i="3"/>
  <c r="V685" i="3"/>
  <c r="V542" i="3"/>
  <c r="T745" i="3"/>
  <c r="S803" i="3"/>
  <c r="S686" i="3"/>
  <c r="S649" i="3"/>
  <c r="S610" i="3"/>
  <c r="R638" i="3"/>
  <c r="R389" i="3"/>
  <c r="V816" i="3"/>
  <c r="V684" i="3"/>
  <c r="V614" i="3"/>
  <c r="V577" i="3"/>
  <c r="V541" i="3"/>
  <c r="T590" i="3"/>
  <c r="S878" i="3"/>
  <c r="S802" i="3"/>
  <c r="S685" i="3"/>
  <c r="S609" i="3"/>
  <c r="R850" i="3"/>
  <c r="R637" i="3"/>
  <c r="R388" i="3"/>
  <c r="V681" i="3"/>
  <c r="V540" i="3"/>
  <c r="V503" i="3"/>
  <c r="R965" i="3"/>
  <c r="S965" i="3"/>
  <c r="T965" i="3"/>
  <c r="R917" i="3"/>
  <c r="V917" i="3"/>
  <c r="R893" i="3"/>
  <c r="T893" i="3"/>
  <c r="S893" i="3"/>
  <c r="V893" i="3"/>
  <c r="R869" i="3"/>
  <c r="T869" i="3"/>
  <c r="R845" i="3"/>
  <c r="S845" i="3"/>
  <c r="R797" i="3"/>
  <c r="S797" i="3"/>
  <c r="R773" i="3"/>
  <c r="T773" i="3"/>
  <c r="R749" i="3"/>
  <c r="T749" i="3"/>
  <c r="V749" i="3"/>
  <c r="R725" i="3"/>
  <c r="S725" i="3"/>
  <c r="V725" i="3"/>
  <c r="R701" i="3"/>
  <c r="S701" i="3"/>
  <c r="R677" i="3"/>
  <c r="S677" i="3"/>
  <c r="V677" i="3"/>
  <c r="T677" i="3"/>
  <c r="R653" i="3"/>
  <c r="V653" i="3"/>
  <c r="R629" i="3"/>
  <c r="S629" i="3"/>
  <c r="R605" i="3"/>
  <c r="V605" i="3"/>
  <c r="S605" i="3"/>
  <c r="R581" i="3"/>
  <c r="T581" i="3"/>
  <c r="V581" i="3"/>
  <c r="R533" i="3"/>
  <c r="S533" i="3"/>
  <c r="R507" i="3"/>
  <c r="T507" i="3"/>
  <c r="S507" i="3"/>
  <c r="R481" i="3"/>
  <c r="T481" i="3"/>
  <c r="R456" i="3"/>
  <c r="T456" i="3"/>
  <c r="V456" i="3"/>
  <c r="R432" i="3"/>
  <c r="T432" i="3"/>
  <c r="V432" i="3"/>
  <c r="R408" i="3"/>
  <c r="V408" i="3"/>
  <c r="S408" i="3"/>
  <c r="R384" i="3"/>
  <c r="S384" i="3"/>
  <c r="T384" i="3"/>
  <c r="R360" i="3"/>
  <c r="S360" i="3"/>
  <c r="R336" i="3"/>
  <c r="V336" i="3"/>
  <c r="S336" i="3"/>
  <c r="T817" i="3"/>
  <c r="T625" i="3"/>
  <c r="T589" i="3"/>
  <c r="S877" i="3"/>
  <c r="S801" i="3"/>
  <c r="S758" i="3"/>
  <c r="S684" i="3"/>
  <c r="R889" i="3"/>
  <c r="R636" i="3"/>
  <c r="V537" i="3"/>
  <c r="V393" i="3"/>
  <c r="S940" i="3"/>
  <c r="R940" i="3"/>
  <c r="R892" i="3"/>
  <c r="T892" i="3"/>
  <c r="S892" i="3"/>
  <c r="V892" i="3"/>
  <c r="R796" i="3"/>
  <c r="S796" i="3"/>
  <c r="T748" i="3"/>
  <c r="R748" i="3"/>
  <c r="T724" i="3"/>
  <c r="V724" i="3"/>
  <c r="S676" i="3"/>
  <c r="T676" i="3"/>
  <c r="R676" i="3"/>
  <c r="S652" i="3"/>
  <c r="V652" i="3"/>
  <c r="T652" i="3"/>
  <c r="R604" i="3"/>
  <c r="S604" i="3"/>
  <c r="T580" i="3"/>
  <c r="V580" i="3"/>
  <c r="R580" i="3"/>
  <c r="T480" i="3"/>
  <c r="R480" i="3"/>
  <c r="T431" i="3"/>
  <c r="V431" i="3"/>
  <c r="R407" i="3"/>
  <c r="S407" i="3"/>
  <c r="V383" i="3"/>
  <c r="T383" i="3"/>
  <c r="T974" i="3"/>
  <c r="T854" i="3"/>
  <c r="T816" i="3"/>
  <c r="T701" i="3"/>
  <c r="T428" i="3"/>
  <c r="S912" i="3"/>
  <c r="S841" i="3"/>
  <c r="S757" i="3"/>
  <c r="S683" i="3"/>
  <c r="S456" i="3"/>
  <c r="R974" i="3"/>
  <c r="R888" i="3"/>
  <c r="R721" i="3"/>
  <c r="R635" i="3"/>
  <c r="R553" i="3"/>
  <c r="R428" i="3"/>
  <c r="V878" i="3"/>
  <c r="V845" i="3"/>
  <c r="V391" i="3"/>
  <c r="S963" i="3"/>
  <c r="T963" i="3"/>
  <c r="S939" i="3"/>
  <c r="R939" i="3"/>
  <c r="R891" i="3"/>
  <c r="T891" i="3"/>
  <c r="S891" i="3"/>
  <c r="V891" i="3"/>
  <c r="R771" i="3"/>
  <c r="T771" i="3"/>
  <c r="T747" i="3"/>
  <c r="R747" i="3"/>
  <c r="T723" i="3"/>
  <c r="V723" i="3"/>
  <c r="S675" i="3"/>
  <c r="T675" i="3"/>
  <c r="R675" i="3"/>
  <c r="S651" i="3"/>
  <c r="V651" i="3"/>
  <c r="T651" i="3"/>
  <c r="R627" i="3"/>
  <c r="V627" i="3"/>
  <c r="R603" i="3"/>
  <c r="S603" i="3"/>
  <c r="T579" i="3"/>
  <c r="V579" i="3"/>
  <c r="R579" i="3"/>
  <c r="T479" i="3"/>
  <c r="R479" i="3"/>
  <c r="T430" i="3"/>
  <c r="V430" i="3"/>
  <c r="T406" i="3"/>
  <c r="R406" i="3"/>
  <c r="S406" i="3"/>
  <c r="V382" i="3"/>
  <c r="T382" i="3"/>
  <c r="T973" i="3"/>
  <c r="T889" i="3"/>
  <c r="T853" i="3"/>
  <c r="T700" i="3"/>
  <c r="T662" i="3"/>
  <c r="T503" i="3"/>
  <c r="T465" i="3"/>
  <c r="S950" i="3"/>
  <c r="S840" i="3"/>
  <c r="S754" i="3"/>
  <c r="S721" i="3"/>
  <c r="S682" i="3"/>
  <c r="S490" i="3"/>
  <c r="S455" i="3"/>
  <c r="R973" i="3"/>
  <c r="R806" i="3"/>
  <c r="R720" i="3"/>
  <c r="R634" i="3"/>
  <c r="R590" i="3"/>
  <c r="R465" i="3"/>
  <c r="R383" i="3"/>
  <c r="V913" i="3"/>
  <c r="V877" i="3"/>
  <c r="V844" i="3"/>
  <c r="V748" i="3"/>
  <c r="V604" i="3"/>
  <c r="V390" i="3"/>
  <c r="T962" i="3"/>
  <c r="S962" i="3"/>
  <c r="S914" i="3"/>
  <c r="R914" i="3"/>
  <c r="S890" i="3"/>
  <c r="V890" i="3"/>
  <c r="R866" i="3"/>
  <c r="T866" i="3"/>
  <c r="V866" i="3"/>
  <c r="R770" i="3"/>
  <c r="T770" i="3"/>
  <c r="T698" i="3"/>
  <c r="S698" i="3"/>
  <c r="V698" i="3"/>
  <c r="S674" i="3"/>
  <c r="R674" i="3"/>
  <c r="S626" i="3"/>
  <c r="V626" i="3"/>
  <c r="R626" i="3"/>
  <c r="R578" i="3"/>
  <c r="T578" i="3"/>
  <c r="V578" i="3"/>
  <c r="T478" i="3"/>
  <c r="R478" i="3"/>
  <c r="T429" i="3"/>
  <c r="V429" i="3"/>
  <c r="T405" i="3"/>
  <c r="S405" i="3"/>
  <c r="V381" i="3"/>
  <c r="T381" i="3"/>
  <c r="R381" i="3"/>
  <c r="S357" i="3"/>
  <c r="T357" i="3"/>
  <c r="T972" i="3"/>
  <c r="T888" i="3"/>
  <c r="T734" i="3"/>
  <c r="T699" i="3"/>
  <c r="T661" i="3"/>
  <c r="T392" i="3"/>
  <c r="S949" i="3"/>
  <c r="S753" i="3"/>
  <c r="S720" i="3"/>
  <c r="S681" i="3"/>
  <c r="S489" i="3"/>
  <c r="S454" i="3"/>
  <c r="R964" i="3"/>
  <c r="R805" i="3"/>
  <c r="R672" i="3"/>
  <c r="R633" i="3"/>
  <c r="R589" i="3"/>
  <c r="R463" i="3"/>
  <c r="R382" i="3"/>
  <c r="V837" i="3"/>
  <c r="V668" i="3"/>
  <c r="V401" i="3"/>
  <c r="S955" i="3"/>
  <c r="V955" i="3"/>
  <c r="S931" i="3"/>
  <c r="V931" i="3"/>
  <c r="S907" i="3"/>
  <c r="T907" i="3"/>
  <c r="V907" i="3"/>
  <c r="S883" i="3"/>
  <c r="R883" i="3"/>
  <c r="S835" i="3"/>
  <c r="T835" i="3"/>
  <c r="S787" i="3"/>
  <c r="R787" i="3"/>
  <c r="S715" i="3"/>
  <c r="R715" i="3"/>
  <c r="S691" i="3"/>
  <c r="T691" i="3"/>
  <c r="S619" i="3"/>
  <c r="T619" i="3"/>
  <c r="S571" i="3"/>
  <c r="R571" i="3"/>
  <c r="S547" i="3"/>
  <c r="V547" i="3"/>
  <c r="S521" i="3"/>
  <c r="T521" i="3"/>
  <c r="V521" i="3"/>
  <c r="S497" i="3"/>
  <c r="R497" i="3"/>
  <c r="S398" i="3"/>
  <c r="R398" i="3"/>
  <c r="S350" i="3"/>
  <c r="T350" i="3"/>
  <c r="T646" i="3"/>
  <c r="S646" i="3"/>
  <c r="S574" i="3"/>
  <c r="V574" i="3"/>
  <c r="V526" i="3"/>
  <c r="T933" i="3"/>
  <c r="S933" i="3"/>
  <c r="T645" i="3"/>
  <c r="S645" i="3"/>
  <c r="S573" i="3"/>
  <c r="V573" i="3"/>
  <c r="R525" i="3"/>
  <c r="T525" i="3"/>
  <c r="R646" i="3"/>
  <c r="R550" i="3"/>
  <c r="V838" i="3"/>
  <c r="V525" i="3"/>
  <c r="S956" i="3"/>
  <c r="V956" i="3"/>
  <c r="S932" i="3"/>
  <c r="V932" i="3"/>
  <c r="S908" i="3"/>
  <c r="T908" i="3"/>
  <c r="S884" i="3"/>
  <c r="R884" i="3"/>
  <c r="S836" i="3"/>
  <c r="T836" i="3"/>
  <c r="S788" i="3"/>
  <c r="R788" i="3"/>
  <c r="S740" i="3"/>
  <c r="R740" i="3"/>
  <c r="S692" i="3"/>
  <c r="T692" i="3"/>
  <c r="S620" i="3"/>
  <c r="T620" i="3"/>
  <c r="S572" i="3"/>
  <c r="R572" i="3"/>
  <c r="S548" i="3"/>
  <c r="V548" i="3"/>
  <c r="S524" i="3"/>
  <c r="T524" i="3"/>
  <c r="S498" i="3"/>
  <c r="R498" i="3"/>
  <c r="S399" i="3"/>
  <c r="R399" i="3"/>
  <c r="S375" i="3"/>
  <c r="T375" i="3"/>
  <c r="T742" i="3"/>
  <c r="T549" i="3"/>
  <c r="R908" i="3"/>
  <c r="R645" i="3"/>
  <c r="R549" i="3"/>
  <c r="T741" i="3"/>
  <c r="T548" i="3"/>
  <c r="S957" i="3"/>
  <c r="R907" i="3"/>
  <c r="R644" i="3"/>
  <c r="R548" i="3"/>
  <c r="R377" i="3"/>
  <c r="V862" i="3"/>
  <c r="V836" i="3"/>
  <c r="V694" i="3"/>
  <c r="V667" i="3"/>
  <c r="V930" i="3"/>
  <c r="S930" i="3"/>
  <c r="T882" i="3"/>
  <c r="V882" i="3"/>
  <c r="R882" i="3"/>
  <c r="R762" i="3"/>
  <c r="S762" i="3"/>
  <c r="S546" i="3"/>
  <c r="R546" i="3"/>
  <c r="T520" i="3"/>
  <c r="V520" i="3"/>
  <c r="T931" i="3"/>
  <c r="T834" i="3"/>
  <c r="T740" i="3"/>
  <c r="T547" i="3"/>
  <c r="T351" i="3"/>
  <c r="R906" i="3"/>
  <c r="R643" i="3"/>
  <c r="R547" i="3"/>
  <c r="R376" i="3"/>
  <c r="V861" i="3"/>
  <c r="V835" i="3"/>
  <c r="V693" i="3"/>
  <c r="V666" i="3"/>
  <c r="V399" i="3"/>
  <c r="T881" i="3"/>
  <c r="R881" i="3"/>
  <c r="V881" i="3"/>
  <c r="R761" i="3"/>
  <c r="S761" i="3"/>
  <c r="S545" i="3"/>
  <c r="R545" i="3"/>
  <c r="V495" i="3"/>
  <c r="T495" i="3"/>
  <c r="T930" i="3"/>
  <c r="T833" i="3"/>
  <c r="T739" i="3"/>
  <c r="T546" i="3"/>
  <c r="R905" i="3"/>
  <c r="R739" i="3"/>
  <c r="R474" i="3"/>
  <c r="R375" i="3"/>
  <c r="V860" i="3"/>
  <c r="V834" i="3"/>
  <c r="V692" i="3"/>
  <c r="V665" i="3"/>
  <c r="V550" i="3"/>
  <c r="V398" i="3"/>
  <c r="T929" i="3"/>
  <c r="T738" i="3"/>
  <c r="T644" i="3"/>
  <c r="T545" i="3"/>
  <c r="S401" i="3"/>
  <c r="R473" i="3"/>
  <c r="R374" i="3"/>
  <c r="T920" i="3"/>
  <c r="S387" i="3"/>
  <c r="R486" i="3"/>
  <c r="V411" i="3"/>
  <c r="S411" i="3"/>
  <c r="V704" i="3"/>
  <c r="V703" i="3"/>
  <c r="R966" i="3"/>
  <c r="S966" i="3"/>
  <c r="R750" i="3"/>
  <c r="T750" i="3"/>
  <c r="R678" i="3"/>
  <c r="S678" i="3"/>
  <c r="R385" i="3"/>
  <c r="S385" i="3"/>
  <c r="R361" i="3"/>
  <c r="V361" i="3"/>
  <c r="R337" i="3"/>
  <c r="V337" i="3"/>
  <c r="T919" i="3"/>
  <c r="T606" i="3"/>
  <c r="S386" i="3"/>
  <c r="R485" i="3"/>
  <c r="B39" i="6" l="1"/>
  <c r="B38" i="6"/>
  <c r="U334" i="3" l="1"/>
  <c r="V334" i="3" s="1"/>
  <c r="U335" i="3"/>
  <c r="R335" i="3" s="1"/>
  <c r="V335" i="3" l="1"/>
  <c r="R334" i="3"/>
  <c r="S334" i="3"/>
  <c r="T334" i="3"/>
  <c r="T335" i="3"/>
  <c r="S335" i="3"/>
  <c r="U20" i="3" l="1"/>
  <c r="V20" i="3" s="1"/>
  <c r="U21" i="3"/>
  <c r="V21" i="3" s="1"/>
  <c r="U24" i="3"/>
  <c r="V24" i="3" s="1"/>
  <c r="U25" i="3"/>
  <c r="V25" i="3" s="1"/>
  <c r="U18" i="3"/>
  <c r="V18" i="3" s="1"/>
  <c r="T25" i="3" l="1"/>
  <c r="R18" i="3"/>
  <c r="R21" i="3"/>
  <c r="T21" i="3"/>
  <c r="R20" i="3"/>
  <c r="S21" i="3"/>
  <c r="S20" i="3"/>
  <c r="T20" i="3"/>
  <c r="R25" i="3"/>
  <c r="S25" i="3"/>
  <c r="R24" i="3"/>
  <c r="S24" i="3"/>
  <c r="T24" i="3"/>
  <c r="S18" i="3"/>
  <c r="T18" i="3"/>
  <c r="U323" i="3" l="1"/>
  <c r="T323" i="3" s="1"/>
  <c r="U324" i="3"/>
  <c r="S324" i="3" s="1"/>
  <c r="U325" i="3"/>
  <c r="R325" i="3" s="1"/>
  <c r="U326" i="3"/>
  <c r="R326" i="3" s="1"/>
  <c r="U327" i="3"/>
  <c r="R327" i="3" s="1"/>
  <c r="U328" i="3"/>
  <c r="S328" i="3" s="1"/>
  <c r="U329" i="3"/>
  <c r="T329" i="3" s="1"/>
  <c r="U330" i="3"/>
  <c r="T330" i="3" s="1"/>
  <c r="U331" i="3"/>
  <c r="T331" i="3" s="1"/>
  <c r="U332" i="3"/>
  <c r="R332" i="3" s="1"/>
  <c r="U333" i="3"/>
  <c r="R333" i="3" s="1"/>
  <c r="V331" i="3" l="1"/>
  <c r="V332" i="3"/>
  <c r="S333" i="3"/>
  <c r="T327" i="3"/>
  <c r="S332" i="3"/>
  <c r="T332" i="3"/>
  <c r="S327" i="3"/>
  <c r="T333" i="3"/>
  <c r="T328" i="3"/>
  <c r="V333" i="3"/>
  <c r="T324" i="3"/>
  <c r="V323" i="3"/>
  <c r="S325" i="3"/>
  <c r="R324" i="3"/>
  <c r="T326" i="3"/>
  <c r="T325" i="3"/>
  <c r="V325" i="3"/>
  <c r="V324" i="3"/>
  <c r="S326" i="3"/>
  <c r="R323" i="3"/>
  <c r="R331" i="3"/>
  <c r="V330" i="3"/>
  <c r="R330" i="3"/>
  <c r="V329" i="3"/>
  <c r="S331" i="3"/>
  <c r="S323" i="3"/>
  <c r="R329" i="3"/>
  <c r="V328" i="3"/>
  <c r="S330" i="3"/>
  <c r="R328" i="3"/>
  <c r="V327" i="3"/>
  <c r="S329" i="3"/>
  <c r="V326" i="3"/>
  <c r="U172" i="3" l="1"/>
  <c r="R172" i="3" s="1"/>
  <c r="U173" i="3"/>
  <c r="T173" i="3" s="1"/>
  <c r="U174" i="3"/>
  <c r="T174" i="3" s="1"/>
  <c r="U175" i="3"/>
  <c r="T175" i="3" s="1"/>
  <c r="U176" i="3"/>
  <c r="T176" i="3" s="1"/>
  <c r="U177" i="3"/>
  <c r="R177" i="3" s="1"/>
  <c r="U178" i="3"/>
  <c r="T178" i="3" s="1"/>
  <c r="U179" i="3"/>
  <c r="T179" i="3" s="1"/>
  <c r="U180" i="3"/>
  <c r="T180" i="3" s="1"/>
  <c r="U181" i="3"/>
  <c r="T181" i="3" s="1"/>
  <c r="U182" i="3"/>
  <c r="T182" i="3" s="1"/>
  <c r="U183" i="3"/>
  <c r="T183" i="3" s="1"/>
  <c r="U184" i="3"/>
  <c r="T184" i="3" s="1"/>
  <c r="U185" i="3"/>
  <c r="R185" i="3" s="1"/>
  <c r="U186" i="3"/>
  <c r="R186" i="3" s="1"/>
  <c r="U187" i="3"/>
  <c r="T187" i="3" s="1"/>
  <c r="U188" i="3"/>
  <c r="T188" i="3" s="1"/>
  <c r="U189" i="3"/>
  <c r="T189" i="3" s="1"/>
  <c r="U190" i="3"/>
  <c r="T190" i="3" s="1"/>
  <c r="U191" i="3"/>
  <c r="T191" i="3" s="1"/>
  <c r="U192" i="3"/>
  <c r="T192" i="3" s="1"/>
  <c r="U193" i="3"/>
  <c r="R193" i="3" s="1"/>
  <c r="U194" i="3"/>
  <c r="R194" i="3" s="1"/>
  <c r="U195" i="3"/>
  <c r="T195" i="3" s="1"/>
  <c r="U196" i="3"/>
  <c r="T196" i="3" s="1"/>
  <c r="U197" i="3"/>
  <c r="T197" i="3" s="1"/>
  <c r="U198" i="3"/>
  <c r="T198" i="3" s="1"/>
  <c r="U199" i="3"/>
  <c r="T199" i="3" s="1"/>
  <c r="U200" i="3"/>
  <c r="T200" i="3" s="1"/>
  <c r="U201" i="3"/>
  <c r="R201" i="3" s="1"/>
  <c r="U202" i="3"/>
  <c r="S202" i="3" s="1"/>
  <c r="U203" i="3"/>
  <c r="T203" i="3" s="1"/>
  <c r="U204" i="3"/>
  <c r="T204" i="3" s="1"/>
  <c r="U205" i="3"/>
  <c r="T205" i="3" s="1"/>
  <c r="U206" i="3"/>
  <c r="T206" i="3" s="1"/>
  <c r="U207" i="3"/>
  <c r="T207" i="3" s="1"/>
  <c r="U208" i="3"/>
  <c r="T208" i="3" s="1"/>
  <c r="U209" i="3"/>
  <c r="R209" i="3" s="1"/>
  <c r="U210" i="3"/>
  <c r="T210" i="3" s="1"/>
  <c r="U211" i="3"/>
  <c r="T211" i="3" s="1"/>
  <c r="U212" i="3"/>
  <c r="T212" i="3" s="1"/>
  <c r="U213" i="3"/>
  <c r="T213" i="3" s="1"/>
  <c r="U214" i="3"/>
  <c r="T214" i="3" s="1"/>
  <c r="U215" i="3"/>
  <c r="T215" i="3" s="1"/>
  <c r="U216" i="3"/>
  <c r="T216" i="3" s="1"/>
  <c r="U217" i="3"/>
  <c r="R217" i="3" s="1"/>
  <c r="U218" i="3"/>
  <c r="R218" i="3" s="1"/>
  <c r="U219" i="3"/>
  <c r="T219" i="3" s="1"/>
  <c r="U220" i="3"/>
  <c r="T220" i="3" s="1"/>
  <c r="U221" i="3"/>
  <c r="T221" i="3" s="1"/>
  <c r="U222" i="3"/>
  <c r="T222" i="3" s="1"/>
  <c r="U223" i="3"/>
  <c r="T223" i="3" s="1"/>
  <c r="U224" i="3"/>
  <c r="T224" i="3" s="1"/>
  <c r="U225" i="3"/>
  <c r="R225" i="3" s="1"/>
  <c r="U226" i="3"/>
  <c r="S226" i="3" s="1"/>
  <c r="U227" i="3"/>
  <c r="T227" i="3" s="1"/>
  <c r="U228" i="3"/>
  <c r="T228" i="3" s="1"/>
  <c r="U229" i="3"/>
  <c r="T229" i="3" s="1"/>
  <c r="U230" i="3"/>
  <c r="T230" i="3" s="1"/>
  <c r="U231" i="3"/>
  <c r="T231" i="3" s="1"/>
  <c r="U232" i="3"/>
  <c r="T232" i="3" s="1"/>
  <c r="U233" i="3"/>
  <c r="R233" i="3" s="1"/>
  <c r="U234" i="3"/>
  <c r="R234" i="3" s="1"/>
  <c r="U235" i="3"/>
  <c r="T235" i="3" s="1"/>
  <c r="U236" i="3"/>
  <c r="T236" i="3" s="1"/>
  <c r="U237" i="3"/>
  <c r="T237" i="3" s="1"/>
  <c r="U238" i="3"/>
  <c r="T238" i="3" s="1"/>
  <c r="U239" i="3"/>
  <c r="T239" i="3" s="1"/>
  <c r="U240" i="3"/>
  <c r="T240" i="3" s="1"/>
  <c r="U241" i="3"/>
  <c r="R241" i="3" s="1"/>
  <c r="U242" i="3"/>
  <c r="R242" i="3" s="1"/>
  <c r="U243" i="3"/>
  <c r="T243" i="3" s="1"/>
  <c r="U244" i="3"/>
  <c r="T244" i="3" s="1"/>
  <c r="U245" i="3"/>
  <c r="T245" i="3" s="1"/>
  <c r="U246" i="3"/>
  <c r="T246" i="3" s="1"/>
  <c r="U247" i="3"/>
  <c r="T247" i="3" s="1"/>
  <c r="U248" i="3"/>
  <c r="T248" i="3" s="1"/>
  <c r="U249" i="3"/>
  <c r="R249" i="3" s="1"/>
  <c r="U250" i="3"/>
  <c r="R250" i="3" s="1"/>
  <c r="U251" i="3"/>
  <c r="T251" i="3" s="1"/>
  <c r="U252" i="3"/>
  <c r="T252" i="3" s="1"/>
  <c r="U253" i="3"/>
  <c r="T253" i="3" s="1"/>
  <c r="U254" i="3"/>
  <c r="T254" i="3" s="1"/>
  <c r="U255" i="3"/>
  <c r="T255" i="3" s="1"/>
  <c r="U256" i="3"/>
  <c r="T256" i="3" s="1"/>
  <c r="U257" i="3"/>
  <c r="R257" i="3" s="1"/>
  <c r="U258" i="3"/>
  <c r="T258" i="3" s="1"/>
  <c r="U259" i="3"/>
  <c r="T259" i="3" s="1"/>
  <c r="U260" i="3"/>
  <c r="T260" i="3" s="1"/>
  <c r="U261" i="3"/>
  <c r="T261" i="3" s="1"/>
  <c r="U262" i="3"/>
  <c r="T262" i="3" s="1"/>
  <c r="U263" i="3"/>
  <c r="T263" i="3" s="1"/>
  <c r="U264" i="3"/>
  <c r="T264" i="3" s="1"/>
  <c r="U265" i="3"/>
  <c r="R265" i="3" s="1"/>
  <c r="U266" i="3"/>
  <c r="S266" i="3" s="1"/>
  <c r="U267" i="3"/>
  <c r="T267" i="3" s="1"/>
  <c r="U268" i="3"/>
  <c r="T268" i="3" s="1"/>
  <c r="U269" i="3"/>
  <c r="T269" i="3" s="1"/>
  <c r="U270" i="3"/>
  <c r="T270" i="3" s="1"/>
  <c r="U271" i="3"/>
  <c r="T271" i="3" s="1"/>
  <c r="U272" i="3"/>
  <c r="T272" i="3" s="1"/>
  <c r="U273" i="3"/>
  <c r="R273" i="3" s="1"/>
  <c r="U304" i="3"/>
  <c r="T304" i="3" s="1"/>
  <c r="U305" i="3"/>
  <c r="T305" i="3" s="1"/>
  <c r="U306" i="3"/>
  <c r="T306" i="3" s="1"/>
  <c r="U307" i="3"/>
  <c r="T307" i="3" s="1"/>
  <c r="U308" i="3"/>
  <c r="T308" i="3" s="1"/>
  <c r="U309" i="3"/>
  <c r="T309" i="3" s="1"/>
  <c r="U310" i="3"/>
  <c r="T310" i="3" s="1"/>
  <c r="U311" i="3"/>
  <c r="R311" i="3" s="1"/>
  <c r="U312" i="3"/>
  <c r="R312" i="3" s="1"/>
  <c r="U313" i="3"/>
  <c r="T313" i="3" s="1"/>
  <c r="U314" i="3"/>
  <c r="T314" i="3" s="1"/>
  <c r="U315" i="3"/>
  <c r="T315" i="3" s="1"/>
  <c r="U316" i="3"/>
  <c r="T316" i="3" s="1"/>
  <c r="U317" i="3"/>
  <c r="T317" i="3" s="1"/>
  <c r="U318" i="3"/>
  <c r="T318" i="3" s="1"/>
  <c r="U319" i="3"/>
  <c r="R319" i="3" s="1"/>
  <c r="U320" i="3"/>
  <c r="R320" i="3" s="1"/>
  <c r="U321" i="3"/>
  <c r="T321" i="3" s="1"/>
  <c r="U322" i="3"/>
  <c r="T322" i="3" s="1"/>
  <c r="V312" i="3" l="1"/>
  <c r="V218" i="3"/>
  <c r="V194" i="3"/>
  <c r="V202" i="3"/>
  <c r="V222" i="3"/>
  <c r="V266" i="3"/>
  <c r="V242" i="3"/>
  <c r="V186" i="3"/>
  <c r="V258" i="3"/>
  <c r="V232" i="3"/>
  <c r="V184" i="3"/>
  <c r="T242" i="3"/>
  <c r="V320" i="3"/>
  <c r="V221" i="3"/>
  <c r="V185" i="3"/>
  <c r="V268" i="3"/>
  <c r="V220" i="3"/>
  <c r="V183" i="3"/>
  <c r="V212" i="3"/>
  <c r="T250" i="3"/>
  <c r="V204" i="3"/>
  <c r="S194" i="3"/>
  <c r="V231" i="3"/>
  <c r="S178" i="3"/>
  <c r="V247" i="3"/>
  <c r="T234" i="3"/>
  <c r="V238" i="3"/>
  <c r="S320" i="3"/>
  <c r="V206" i="3"/>
  <c r="V176" i="3"/>
  <c r="R232" i="3"/>
  <c r="T320" i="3"/>
  <c r="S258" i="3"/>
  <c r="R226" i="3"/>
  <c r="V230" i="3"/>
  <c r="T312" i="3"/>
  <c r="S242" i="3"/>
  <c r="R210" i="3"/>
  <c r="V319" i="3"/>
  <c r="V241" i="3"/>
  <c r="S201" i="3"/>
  <c r="V318" i="3"/>
  <c r="V257" i="3"/>
  <c r="V240" i="3"/>
  <c r="V226" i="3"/>
  <c r="V216" i="3"/>
  <c r="V201" i="3"/>
  <c r="V178" i="3"/>
  <c r="T226" i="3"/>
  <c r="S234" i="3"/>
  <c r="R266" i="3"/>
  <c r="R202" i="3"/>
  <c r="V172" i="3"/>
  <c r="V304" i="3"/>
  <c r="V256" i="3"/>
  <c r="V239" i="3"/>
  <c r="V225" i="3"/>
  <c r="V215" i="3"/>
  <c r="V177" i="3"/>
  <c r="T202" i="3"/>
  <c r="S233" i="3"/>
  <c r="S172" i="3"/>
  <c r="R264" i="3"/>
  <c r="R200" i="3"/>
  <c r="S265" i="3"/>
  <c r="V311" i="3"/>
  <c r="V250" i="3"/>
  <c r="V224" i="3"/>
  <c r="V193" i="3"/>
  <c r="T194" i="3"/>
  <c r="R258" i="3"/>
  <c r="V310" i="3"/>
  <c r="V271" i="3"/>
  <c r="V249" i="3"/>
  <c r="V234" i="3"/>
  <c r="V223" i="3"/>
  <c r="V210" i="3"/>
  <c r="V192" i="3"/>
  <c r="T266" i="3"/>
  <c r="T186" i="3"/>
  <c r="S210" i="3"/>
  <c r="R178" i="3"/>
  <c r="V265" i="3"/>
  <c r="V309" i="3"/>
  <c r="V248" i="3"/>
  <c r="V233" i="3"/>
  <c r="V207" i="3"/>
  <c r="V229" i="3"/>
  <c r="V317" i="3"/>
  <c r="V308" i="3"/>
  <c r="V273" i="3"/>
  <c r="V264" i="3"/>
  <c r="V255" i="3"/>
  <c r="V246" i="3"/>
  <c r="V237" i="3"/>
  <c r="V228" i="3"/>
  <c r="V209" i="3"/>
  <c r="V200" i="3"/>
  <c r="V191" i="3"/>
  <c r="V182" i="3"/>
  <c r="V175" i="3"/>
  <c r="T218" i="3"/>
  <c r="S319" i="3"/>
  <c r="S257" i="3"/>
  <c r="S225" i="3"/>
  <c r="S193" i="3"/>
  <c r="R318" i="3"/>
  <c r="R256" i="3"/>
  <c r="R224" i="3"/>
  <c r="R192" i="3"/>
  <c r="V316" i="3"/>
  <c r="V307" i="3"/>
  <c r="V272" i="3"/>
  <c r="V263" i="3"/>
  <c r="V254" i="3"/>
  <c r="V245" i="3"/>
  <c r="V236" i="3"/>
  <c r="V217" i="3"/>
  <c r="V208" i="3"/>
  <c r="V199" i="3"/>
  <c r="V190" i="3"/>
  <c r="V181" i="3"/>
  <c r="V174" i="3"/>
  <c r="S312" i="3"/>
  <c r="S250" i="3"/>
  <c r="S218" i="3"/>
  <c r="S186" i="3"/>
  <c r="V315" i="3"/>
  <c r="V306" i="3"/>
  <c r="V262" i="3"/>
  <c r="V253" i="3"/>
  <c r="V244" i="3"/>
  <c r="V198" i="3"/>
  <c r="V189" i="3"/>
  <c r="V180" i="3"/>
  <c r="S311" i="3"/>
  <c r="S249" i="3"/>
  <c r="S217" i="3"/>
  <c r="S185" i="3"/>
  <c r="R310" i="3"/>
  <c r="R248" i="3"/>
  <c r="R216" i="3"/>
  <c r="R184" i="3"/>
  <c r="V314" i="3"/>
  <c r="V270" i="3"/>
  <c r="V261" i="3"/>
  <c r="V252" i="3"/>
  <c r="V197" i="3"/>
  <c r="V188" i="3"/>
  <c r="V322" i="3"/>
  <c r="V269" i="3"/>
  <c r="V260" i="3"/>
  <c r="V214" i="3"/>
  <c r="V205" i="3"/>
  <c r="V196" i="3"/>
  <c r="S273" i="3"/>
  <c r="S241" i="3"/>
  <c r="S209" i="3"/>
  <c r="S177" i="3"/>
  <c r="R304" i="3"/>
  <c r="R272" i="3"/>
  <c r="R240" i="3"/>
  <c r="R208" i="3"/>
  <c r="V213" i="3"/>
  <c r="V321" i="3"/>
  <c r="V313" i="3"/>
  <c r="V305" i="3"/>
  <c r="V267" i="3"/>
  <c r="V259" i="3"/>
  <c r="V251" i="3"/>
  <c r="V243" i="3"/>
  <c r="V235" i="3"/>
  <c r="V227" i="3"/>
  <c r="V219" i="3"/>
  <c r="V211" i="3"/>
  <c r="V203" i="3"/>
  <c r="V195" i="3"/>
  <c r="V187" i="3"/>
  <c r="V179" i="3"/>
  <c r="V173" i="3"/>
  <c r="T319" i="3"/>
  <c r="T311" i="3"/>
  <c r="T273" i="3"/>
  <c r="T265" i="3"/>
  <c r="T257" i="3"/>
  <c r="T249" i="3"/>
  <c r="T241" i="3"/>
  <c r="T233" i="3"/>
  <c r="T225" i="3"/>
  <c r="T217" i="3"/>
  <c r="T209" i="3"/>
  <c r="T201" i="3"/>
  <c r="T193" i="3"/>
  <c r="T185" i="3"/>
  <c r="T177" i="3"/>
  <c r="T172" i="3"/>
  <c r="S318" i="3"/>
  <c r="S310" i="3"/>
  <c r="S304" i="3"/>
  <c r="S272" i="3"/>
  <c r="S264" i="3"/>
  <c r="S256" i="3"/>
  <c r="S248" i="3"/>
  <c r="S240" i="3"/>
  <c r="S232" i="3"/>
  <c r="S224" i="3"/>
  <c r="S216" i="3"/>
  <c r="S208" i="3"/>
  <c r="S200" i="3"/>
  <c r="S192" i="3"/>
  <c r="S184" i="3"/>
  <c r="R317" i="3"/>
  <c r="R309" i="3"/>
  <c r="R271" i="3"/>
  <c r="R263" i="3"/>
  <c r="R255" i="3"/>
  <c r="R247" i="3"/>
  <c r="R239" i="3"/>
  <c r="R231" i="3"/>
  <c r="R223" i="3"/>
  <c r="R215" i="3"/>
  <c r="R207" i="3"/>
  <c r="R199" i="3"/>
  <c r="R191" i="3"/>
  <c r="R183" i="3"/>
  <c r="S317" i="3"/>
  <c r="S309" i="3"/>
  <c r="S271" i="3"/>
  <c r="S263" i="3"/>
  <c r="S255" i="3"/>
  <c r="S247" i="3"/>
  <c r="S239" i="3"/>
  <c r="S231" i="3"/>
  <c r="S223" i="3"/>
  <c r="S215" i="3"/>
  <c r="S207" i="3"/>
  <c r="S199" i="3"/>
  <c r="S191" i="3"/>
  <c r="S183" i="3"/>
  <c r="R316" i="3"/>
  <c r="R308" i="3"/>
  <c r="R270" i="3"/>
  <c r="R262" i="3"/>
  <c r="R254" i="3"/>
  <c r="R246" i="3"/>
  <c r="R238" i="3"/>
  <c r="R230" i="3"/>
  <c r="R222" i="3"/>
  <c r="R214" i="3"/>
  <c r="R206" i="3"/>
  <c r="R198" i="3"/>
  <c r="R190" i="3"/>
  <c r="R182" i="3"/>
  <c r="R176" i="3"/>
  <c r="S316" i="3"/>
  <c r="S308" i="3"/>
  <c r="S270" i="3"/>
  <c r="S262" i="3"/>
  <c r="S254" i="3"/>
  <c r="S246" i="3"/>
  <c r="S238" i="3"/>
  <c r="S230" i="3"/>
  <c r="S222" i="3"/>
  <c r="S214" i="3"/>
  <c r="S206" i="3"/>
  <c r="S198" i="3"/>
  <c r="S190" i="3"/>
  <c r="S182" i="3"/>
  <c r="S176" i="3"/>
  <c r="R315" i="3"/>
  <c r="R307" i="3"/>
  <c r="R269" i="3"/>
  <c r="R261" i="3"/>
  <c r="R253" i="3"/>
  <c r="R245" i="3"/>
  <c r="R237" i="3"/>
  <c r="R229" i="3"/>
  <c r="R221" i="3"/>
  <c r="R213" i="3"/>
  <c r="R205" i="3"/>
  <c r="R197" i="3"/>
  <c r="R189" i="3"/>
  <c r="R181" i="3"/>
  <c r="R175" i="3"/>
  <c r="S315" i="3"/>
  <c r="S307" i="3"/>
  <c r="S269" i="3"/>
  <c r="S261" i="3"/>
  <c r="S253" i="3"/>
  <c r="S245" i="3"/>
  <c r="S237" i="3"/>
  <c r="S229" i="3"/>
  <c r="S221" i="3"/>
  <c r="S213" i="3"/>
  <c r="S205" i="3"/>
  <c r="S197" i="3"/>
  <c r="S189" i="3"/>
  <c r="S181" i="3"/>
  <c r="S175" i="3"/>
  <c r="R322" i="3"/>
  <c r="R314" i="3"/>
  <c r="R306" i="3"/>
  <c r="R268" i="3"/>
  <c r="R260" i="3"/>
  <c r="R252" i="3"/>
  <c r="R244" i="3"/>
  <c r="R236" i="3"/>
  <c r="R228" i="3"/>
  <c r="R220" i="3"/>
  <c r="R212" i="3"/>
  <c r="R204" i="3"/>
  <c r="R196" i="3"/>
  <c r="R188" i="3"/>
  <c r="R180" i="3"/>
  <c r="R174" i="3"/>
  <c r="S322" i="3"/>
  <c r="S314" i="3"/>
  <c r="S306" i="3"/>
  <c r="S268" i="3"/>
  <c r="S260" i="3"/>
  <c r="S252" i="3"/>
  <c r="S244" i="3"/>
  <c r="S236" i="3"/>
  <c r="S228" i="3"/>
  <c r="S220" i="3"/>
  <c r="S212" i="3"/>
  <c r="S204" i="3"/>
  <c r="S196" i="3"/>
  <c r="S188" i="3"/>
  <c r="S180" i="3"/>
  <c r="S174" i="3"/>
  <c r="R321" i="3"/>
  <c r="R313" i="3"/>
  <c r="R305" i="3"/>
  <c r="R267" i="3"/>
  <c r="R259" i="3"/>
  <c r="R251" i="3"/>
  <c r="R243" i="3"/>
  <c r="R235" i="3"/>
  <c r="R227" i="3"/>
  <c r="R219" i="3"/>
  <c r="R211" i="3"/>
  <c r="R203" i="3"/>
  <c r="R195" i="3"/>
  <c r="R187" i="3"/>
  <c r="R179" i="3"/>
  <c r="R173" i="3"/>
  <c r="S321" i="3"/>
  <c r="S313" i="3"/>
  <c r="S305" i="3"/>
  <c r="S267" i="3"/>
  <c r="S259" i="3"/>
  <c r="S251" i="3"/>
  <c r="S243" i="3"/>
  <c r="S235" i="3"/>
  <c r="S227" i="3"/>
  <c r="S219" i="3"/>
  <c r="S211" i="3"/>
  <c r="S203" i="3"/>
  <c r="S195" i="3"/>
  <c r="S187" i="3"/>
  <c r="S179" i="3"/>
  <c r="S173" i="3"/>
  <c r="U125" i="3" l="1"/>
  <c r="R125" i="3" s="1"/>
  <c r="U126" i="3"/>
  <c r="R126" i="3" s="1"/>
  <c r="U127" i="3"/>
  <c r="V127" i="3" s="1"/>
  <c r="U128" i="3"/>
  <c r="V128" i="3" s="1"/>
  <c r="U129" i="3"/>
  <c r="T129" i="3" s="1"/>
  <c r="U130" i="3"/>
  <c r="R130" i="3" s="1"/>
  <c r="U131" i="3"/>
  <c r="V131" i="3" s="1"/>
  <c r="U132" i="3"/>
  <c r="V132" i="3" s="1"/>
  <c r="U133" i="3"/>
  <c r="T133" i="3" s="1"/>
  <c r="U134" i="3"/>
  <c r="T134" i="3" s="1"/>
  <c r="U135" i="3"/>
  <c r="T135" i="3" s="1"/>
  <c r="U136" i="3"/>
  <c r="T136" i="3" s="1"/>
  <c r="U137" i="3"/>
  <c r="R137" i="3" s="1"/>
  <c r="U138" i="3"/>
  <c r="S138" i="3" s="1"/>
  <c r="U139" i="3"/>
  <c r="T139" i="3" s="1"/>
  <c r="U140" i="3"/>
  <c r="S140" i="3" s="1"/>
  <c r="U141" i="3"/>
  <c r="V141" i="3" s="1"/>
  <c r="U142" i="3"/>
  <c r="V142" i="3" s="1"/>
  <c r="U143" i="3"/>
  <c r="T143" i="3" s="1"/>
  <c r="U144" i="3"/>
  <c r="R144" i="3" s="1"/>
  <c r="U145" i="3"/>
  <c r="S145" i="3" s="1"/>
  <c r="U146" i="3"/>
  <c r="T146" i="3" s="1"/>
  <c r="U147" i="3"/>
  <c r="R147" i="3" s="1"/>
  <c r="U148" i="3"/>
  <c r="V148" i="3" s="1"/>
  <c r="U149" i="3"/>
  <c r="T149" i="3" s="1"/>
  <c r="U150" i="3"/>
  <c r="T150" i="3" s="1"/>
  <c r="U151" i="3"/>
  <c r="V151" i="3" s="1"/>
  <c r="U152" i="3"/>
  <c r="R152" i="3" s="1"/>
  <c r="U153" i="3"/>
  <c r="V153" i="3" s="1"/>
  <c r="U154" i="3"/>
  <c r="V154" i="3" s="1"/>
  <c r="U155" i="3"/>
  <c r="V155" i="3" s="1"/>
  <c r="U156" i="3"/>
  <c r="V156" i="3" s="1"/>
  <c r="U157" i="3"/>
  <c r="V157" i="3" s="1"/>
  <c r="U158" i="3"/>
  <c r="R158" i="3" s="1"/>
  <c r="U159" i="3"/>
  <c r="S159" i="3" s="1"/>
  <c r="U160" i="3"/>
  <c r="T160" i="3" s="1"/>
  <c r="U161" i="3"/>
  <c r="S161" i="3" s="1"/>
  <c r="U162" i="3"/>
  <c r="V162" i="3" s="1"/>
  <c r="U163" i="3"/>
  <c r="V163" i="3" s="1"/>
  <c r="U164" i="3"/>
  <c r="V164" i="3" s="1"/>
  <c r="U50" i="3"/>
  <c r="R50" i="3" s="1"/>
  <c r="U47" i="3"/>
  <c r="R47" i="3" s="1"/>
  <c r="U40" i="3"/>
  <c r="R40" i="3" s="1"/>
  <c r="U37" i="3"/>
  <c r="R37" i="3" s="1"/>
  <c r="U35" i="3"/>
  <c r="S35" i="3" s="1"/>
  <c r="U36" i="3"/>
  <c r="R36" i="3" s="1"/>
  <c r="U38" i="3"/>
  <c r="S38" i="3" s="1"/>
  <c r="U39" i="3"/>
  <c r="R39" i="3" s="1"/>
  <c r="U41" i="3"/>
  <c r="V41" i="3" s="1"/>
  <c r="U42" i="3"/>
  <c r="V42" i="3" s="1"/>
  <c r="U43" i="3"/>
  <c r="S43" i="3" s="1"/>
  <c r="U44" i="3"/>
  <c r="S44" i="3" s="1"/>
  <c r="U45" i="3"/>
  <c r="S45" i="3" s="1"/>
  <c r="U46" i="3"/>
  <c r="R46" i="3" s="1"/>
  <c r="U48" i="3"/>
  <c r="S48" i="3" s="1"/>
  <c r="U49" i="3"/>
  <c r="R49" i="3" s="1"/>
  <c r="U51" i="3"/>
  <c r="V51" i="3" s="1"/>
  <c r="U52" i="3"/>
  <c r="V52" i="3" s="1"/>
  <c r="U53" i="3"/>
  <c r="R53" i="3" s="1"/>
  <c r="U54" i="3"/>
  <c r="S54" i="3" s="1"/>
  <c r="U67" i="3"/>
  <c r="R67" i="3" s="1"/>
  <c r="U68" i="3"/>
  <c r="R68" i="3" s="1"/>
  <c r="U69" i="3"/>
  <c r="S69" i="3" s="1"/>
  <c r="U70" i="3"/>
  <c r="S70" i="3" s="1"/>
  <c r="U71" i="3"/>
  <c r="R71" i="3" s="1"/>
  <c r="U72" i="3"/>
  <c r="T72" i="3" s="1"/>
  <c r="U73" i="3"/>
  <c r="S73" i="3" s="1"/>
  <c r="U74" i="3"/>
  <c r="S74" i="3" s="1"/>
  <c r="U75" i="3"/>
  <c r="S75" i="3" s="1"/>
  <c r="U76" i="3"/>
  <c r="R76" i="3" s="1"/>
  <c r="U115" i="3"/>
  <c r="R115" i="3" s="1"/>
  <c r="U17" i="3"/>
  <c r="R17" i="3" s="1"/>
  <c r="U19" i="3"/>
  <c r="R19" i="3" s="1"/>
  <c r="U22" i="3"/>
  <c r="S22" i="3" s="1"/>
  <c r="U23" i="3"/>
  <c r="T23" i="3" s="1"/>
  <c r="U26" i="3"/>
  <c r="T26" i="3" s="1"/>
  <c r="U27" i="3"/>
  <c r="R27" i="3" s="1"/>
  <c r="U28" i="3"/>
  <c r="R28" i="3" s="1"/>
  <c r="U29" i="3"/>
  <c r="S29" i="3" s="1"/>
  <c r="U30" i="3"/>
  <c r="R30" i="3" s="1"/>
  <c r="U31" i="3"/>
  <c r="R31" i="3" s="1"/>
  <c r="U32" i="3"/>
  <c r="R32" i="3" s="1"/>
  <c r="U33" i="3"/>
  <c r="T33" i="3" s="1"/>
  <c r="U34" i="3"/>
  <c r="R34" i="3" s="1"/>
  <c r="U55" i="3"/>
  <c r="S55" i="3" s="1"/>
  <c r="U56" i="3"/>
  <c r="R56" i="3" s="1"/>
  <c r="U57" i="3"/>
  <c r="R57" i="3" s="1"/>
  <c r="U58" i="3"/>
  <c r="R58" i="3" s="1"/>
  <c r="U59" i="3"/>
  <c r="R59" i="3" s="1"/>
  <c r="U60" i="3"/>
  <c r="R60" i="3" s="1"/>
  <c r="U61" i="3"/>
  <c r="S61" i="3" s="1"/>
  <c r="U62" i="3"/>
  <c r="S62" i="3" s="1"/>
  <c r="U63" i="3"/>
  <c r="R63" i="3" s="1"/>
  <c r="U64" i="3"/>
  <c r="R64" i="3" s="1"/>
  <c r="U65" i="3"/>
  <c r="R65" i="3" s="1"/>
  <c r="U66" i="3"/>
  <c r="S66" i="3" s="1"/>
  <c r="U77" i="3"/>
  <c r="R77" i="3" s="1"/>
  <c r="U78" i="3"/>
  <c r="R78" i="3" s="1"/>
  <c r="U79" i="3"/>
  <c r="S79" i="3" s="1"/>
  <c r="U80" i="3"/>
  <c r="S80" i="3" s="1"/>
  <c r="U81" i="3"/>
  <c r="T81" i="3" s="1"/>
  <c r="U82" i="3"/>
  <c r="T82" i="3" s="1"/>
  <c r="U83" i="3"/>
  <c r="S83" i="3" s="1"/>
  <c r="U84" i="3"/>
  <c r="T84" i="3" s="1"/>
  <c r="U85" i="3"/>
  <c r="R85" i="3" s="1"/>
  <c r="U86" i="3"/>
  <c r="R86" i="3" s="1"/>
  <c r="U87" i="3"/>
  <c r="S87" i="3" s="1"/>
  <c r="U88" i="3"/>
  <c r="S88" i="3" s="1"/>
  <c r="U89" i="3"/>
  <c r="T89" i="3" s="1"/>
  <c r="U90" i="3"/>
  <c r="T90" i="3" s="1"/>
  <c r="U91" i="3"/>
  <c r="R91" i="3" s="1"/>
  <c r="U92" i="3"/>
  <c r="R92" i="3" s="1"/>
  <c r="U93" i="3"/>
  <c r="S93" i="3" s="1"/>
  <c r="U94" i="3"/>
  <c r="S94" i="3" s="1"/>
  <c r="U95" i="3"/>
  <c r="R95" i="3" s="1"/>
  <c r="U96" i="3"/>
  <c r="T96" i="3" s="1"/>
  <c r="U97" i="3"/>
  <c r="R97" i="3" s="1"/>
  <c r="U98" i="3"/>
  <c r="R98" i="3" s="1"/>
  <c r="U99" i="3"/>
  <c r="R99" i="3" s="1"/>
  <c r="U100" i="3"/>
  <c r="R100" i="3" s="1"/>
  <c r="U101" i="3"/>
  <c r="U102" i="3"/>
  <c r="U103" i="3"/>
  <c r="R103" i="3" s="1"/>
  <c r="U104" i="3"/>
  <c r="U105" i="3"/>
  <c r="U106" i="3"/>
  <c r="R106" i="3" s="1"/>
  <c r="U107" i="3"/>
  <c r="U108" i="3"/>
  <c r="U109" i="3"/>
  <c r="R109" i="3" s="1"/>
  <c r="U110" i="3"/>
  <c r="T110" i="3" s="1"/>
  <c r="U111" i="3"/>
  <c r="S111" i="3" s="1"/>
  <c r="U112" i="3"/>
  <c r="R112" i="3" s="1"/>
  <c r="U113" i="3"/>
  <c r="T113" i="3" s="1"/>
  <c r="U114" i="3"/>
  <c r="R114" i="3" s="1"/>
  <c r="U116" i="3"/>
  <c r="S116" i="3" s="1"/>
  <c r="U117" i="3"/>
  <c r="R117" i="3" s="1"/>
  <c r="U118" i="3"/>
  <c r="T118" i="3" s="1"/>
  <c r="E4" i="16" a="1"/>
  <c r="E4" i="16" s="1"/>
  <c r="B2" i="6" a="1"/>
  <c r="B2" i="6" s="1"/>
  <c r="B9" i="6" a="1"/>
  <c r="B9" i="6" s="1"/>
  <c r="B1" i="6" a="1"/>
  <c r="B1" i="6" s="1"/>
  <c r="B1" i="3" s="1"/>
  <c r="U123" i="3"/>
  <c r="R123" i="3" s="1"/>
  <c r="U124" i="3"/>
  <c r="U165" i="3"/>
  <c r="S165" i="3" s="1"/>
  <c r="U166" i="3"/>
  <c r="S166" i="3" s="1"/>
  <c r="U167" i="3"/>
  <c r="S167" i="3" s="1"/>
  <c r="U168" i="3"/>
  <c r="V168" i="3" s="1"/>
  <c r="U169" i="3"/>
  <c r="R169" i="3" s="1"/>
  <c r="U170" i="3"/>
  <c r="S170" i="3" s="1"/>
  <c r="B8" i="3"/>
  <c r="B7" i="3"/>
  <c r="B6" i="3"/>
  <c r="B4" i="3"/>
  <c r="B3" i="3"/>
  <c r="V124" i="3" l="1"/>
  <c r="R124" i="3"/>
  <c r="T104" i="3"/>
  <c r="R104" i="3"/>
  <c r="S102" i="3"/>
  <c r="R102" i="3"/>
  <c r="S101" i="3"/>
  <c r="R101" i="3"/>
  <c r="S108" i="3"/>
  <c r="R108" i="3"/>
  <c r="T105" i="3"/>
  <c r="R105" i="3"/>
  <c r="V107" i="3"/>
  <c r="R107" i="3"/>
  <c r="V135" i="3"/>
  <c r="V83" i="3"/>
  <c r="V69" i="3"/>
  <c r="T137" i="3"/>
  <c r="T152" i="3"/>
  <c r="T131" i="3"/>
  <c r="T127" i="3"/>
  <c r="V129" i="3"/>
  <c r="T126" i="3"/>
  <c r="V126" i="3"/>
  <c r="S126" i="3"/>
  <c r="V125" i="3"/>
  <c r="S125" i="3"/>
  <c r="S137" i="3"/>
  <c r="S132" i="3"/>
  <c r="T125" i="3"/>
  <c r="R129" i="3"/>
  <c r="R140" i="3"/>
  <c r="S131" i="3"/>
  <c r="S129" i="3"/>
  <c r="R128" i="3"/>
  <c r="R139" i="3"/>
  <c r="R132" i="3"/>
  <c r="S128" i="3"/>
  <c r="R127" i="3"/>
  <c r="V136" i="3"/>
  <c r="R131" i="3"/>
  <c r="T128" i="3"/>
  <c r="S127" i="3"/>
  <c r="V147" i="3"/>
  <c r="T147" i="3"/>
  <c r="V134" i="3"/>
  <c r="V149" i="3"/>
  <c r="V140" i="3"/>
  <c r="T140" i="3"/>
  <c r="T132" i="3"/>
  <c r="T158" i="3"/>
  <c r="T155" i="3"/>
  <c r="T145" i="3"/>
  <c r="S141" i="3"/>
  <c r="V133" i="3"/>
  <c r="S130" i="3"/>
  <c r="T153" i="3"/>
  <c r="S150" i="3"/>
  <c r="T130" i="3"/>
  <c r="R136" i="3"/>
  <c r="R145" i="3"/>
  <c r="S136" i="3"/>
  <c r="R135" i="3"/>
  <c r="S152" i="3"/>
  <c r="V143" i="3"/>
  <c r="V130" i="3"/>
  <c r="S135" i="3"/>
  <c r="R134" i="3"/>
  <c r="R156" i="3"/>
  <c r="T141" i="3"/>
  <c r="S134" i="3"/>
  <c r="R133" i="3"/>
  <c r="R155" i="3"/>
  <c r="S133" i="3"/>
  <c r="T138" i="3"/>
  <c r="S147" i="3"/>
  <c r="V139" i="3"/>
  <c r="R143" i="3"/>
  <c r="T162" i="3"/>
  <c r="S144" i="3"/>
  <c r="V138" i="3"/>
  <c r="S143" i="3"/>
  <c r="R142" i="3"/>
  <c r="T159" i="3"/>
  <c r="V150" i="3"/>
  <c r="R150" i="3"/>
  <c r="V137" i="3"/>
  <c r="S142" i="3"/>
  <c r="R141" i="3"/>
  <c r="T142" i="3"/>
  <c r="S139" i="3"/>
  <c r="R138" i="3"/>
  <c r="S153" i="3"/>
  <c r="T144" i="3"/>
  <c r="R164" i="3"/>
  <c r="V146" i="3"/>
  <c r="R163" i="3"/>
  <c r="S157" i="3"/>
  <c r="R154" i="3"/>
  <c r="V145" i="3"/>
  <c r="R149" i="3"/>
  <c r="R161" i="3"/>
  <c r="S156" i="3"/>
  <c r="R153" i="3"/>
  <c r="V144" i="3"/>
  <c r="S149" i="3"/>
  <c r="R148" i="3"/>
  <c r="V161" i="3"/>
  <c r="T163" i="3"/>
  <c r="V152" i="3"/>
  <c r="T157" i="3"/>
  <c r="S155" i="3"/>
  <c r="S148" i="3"/>
  <c r="T156" i="3"/>
  <c r="S154" i="3"/>
  <c r="T148" i="3"/>
  <c r="R146" i="3"/>
  <c r="T161" i="3"/>
  <c r="S146" i="3"/>
  <c r="T154" i="3"/>
  <c r="S164" i="3"/>
  <c r="R151" i="3"/>
  <c r="S151" i="3"/>
  <c r="S158" i="3"/>
  <c r="T151" i="3"/>
  <c r="R157" i="3"/>
  <c r="V160" i="3"/>
  <c r="V159" i="3"/>
  <c r="V158" i="3"/>
  <c r="T164" i="3"/>
  <c r="S163" i="3"/>
  <c r="R162" i="3"/>
  <c r="S162" i="3"/>
  <c r="R160" i="3"/>
  <c r="S160" i="3"/>
  <c r="R159" i="3"/>
  <c r="V70" i="3"/>
  <c r="V50" i="3"/>
  <c r="V46" i="3"/>
  <c r="V49" i="3"/>
  <c r="V36" i="3"/>
  <c r="V47" i="3"/>
  <c r="S46" i="3"/>
  <c r="T50" i="3"/>
  <c r="S50" i="3"/>
  <c r="T47" i="3"/>
  <c r="S47" i="3"/>
  <c r="V48" i="3"/>
  <c r="T68" i="3"/>
  <c r="T67" i="3"/>
  <c r="S68" i="3"/>
  <c r="V53" i="3"/>
  <c r="T52" i="3"/>
  <c r="R48" i="3"/>
  <c r="S52" i="3"/>
  <c r="V40" i="3"/>
  <c r="V39" i="3"/>
  <c r="T42" i="3"/>
  <c r="T40" i="3"/>
  <c r="S40" i="3"/>
  <c r="V38" i="3"/>
  <c r="R45" i="3"/>
  <c r="T53" i="3"/>
  <c r="S53" i="3"/>
  <c r="R44" i="3"/>
  <c r="V35" i="3"/>
  <c r="V37" i="3"/>
  <c r="T37" i="3"/>
  <c r="T45" i="3"/>
  <c r="R54" i="3"/>
  <c r="S37" i="3"/>
  <c r="V45" i="3"/>
  <c r="R38" i="3"/>
  <c r="S36" i="3"/>
  <c r="T35" i="3"/>
  <c r="R35" i="3"/>
  <c r="S42" i="3"/>
  <c r="R43" i="3"/>
  <c r="T43" i="3"/>
  <c r="V43" i="3"/>
  <c r="S67" i="3"/>
  <c r="T49" i="3"/>
  <c r="T39" i="3"/>
  <c r="S51" i="3"/>
  <c r="S41" i="3"/>
  <c r="R52" i="3"/>
  <c r="R42" i="3"/>
  <c r="V67" i="3"/>
  <c r="T48" i="3"/>
  <c r="T38" i="3"/>
  <c r="S49" i="3"/>
  <c r="S39" i="3"/>
  <c r="R51" i="3"/>
  <c r="R41" i="3"/>
  <c r="T51" i="3"/>
  <c r="T41" i="3"/>
  <c r="V54" i="3"/>
  <c r="V44" i="3"/>
  <c r="T46" i="3"/>
  <c r="T36" i="3"/>
  <c r="T74" i="3"/>
  <c r="T54" i="3"/>
  <c r="T44" i="3"/>
  <c r="T76" i="3"/>
  <c r="T73" i="3"/>
  <c r="R75" i="3"/>
  <c r="T75" i="3"/>
  <c r="V75" i="3"/>
  <c r="S76" i="3"/>
  <c r="T70" i="3"/>
  <c r="R70" i="3"/>
  <c r="R69" i="3"/>
  <c r="T71" i="3"/>
  <c r="V74" i="3"/>
  <c r="S72" i="3"/>
  <c r="R74" i="3"/>
  <c r="V73" i="3"/>
  <c r="T69" i="3"/>
  <c r="S71" i="3"/>
  <c r="R73" i="3"/>
  <c r="V72" i="3"/>
  <c r="R72" i="3"/>
  <c r="V71" i="3"/>
  <c r="V76" i="3"/>
  <c r="V68" i="3"/>
  <c r="V115" i="3"/>
  <c r="T115" i="3"/>
  <c r="S115" i="3"/>
  <c r="V96" i="3"/>
  <c r="V84" i="3"/>
  <c r="V28" i="3"/>
  <c r="V58" i="3"/>
  <c r="T111" i="3"/>
  <c r="T103" i="3"/>
  <c r="V32" i="3"/>
  <c r="T32" i="3"/>
  <c r="V26" i="3"/>
  <c r="S33" i="3"/>
  <c r="S32" i="3"/>
  <c r="R33" i="3"/>
  <c r="V87" i="3"/>
  <c r="S58" i="3"/>
  <c r="T29" i="3"/>
  <c r="S86" i="3"/>
  <c r="T28" i="3"/>
  <c r="V66" i="3"/>
  <c r="R66" i="3"/>
  <c r="T27" i="3"/>
  <c r="V65" i="3"/>
  <c r="T66" i="3"/>
  <c r="V33" i="3"/>
  <c r="S34" i="3"/>
  <c r="T59" i="3"/>
  <c r="T58" i="3"/>
  <c r="T34" i="3"/>
  <c r="S28" i="3"/>
  <c r="S59" i="3"/>
  <c r="T30" i="3"/>
  <c r="S27" i="3"/>
  <c r="S26" i="3"/>
  <c r="R26" i="3"/>
  <c r="V23" i="3"/>
  <c r="R23" i="3"/>
  <c r="S23" i="3"/>
  <c r="T17" i="3"/>
  <c r="V22" i="3"/>
  <c r="S31" i="3"/>
  <c r="S19" i="3"/>
  <c r="V86" i="3"/>
  <c r="T61" i="3"/>
  <c r="S65" i="3"/>
  <c r="T22" i="3"/>
  <c r="S30" i="3"/>
  <c r="S17" i="3"/>
  <c r="T62" i="3"/>
  <c r="V29" i="3"/>
  <c r="R29" i="3"/>
  <c r="T80" i="3"/>
  <c r="T60" i="3"/>
  <c r="S60" i="3"/>
  <c r="V34" i="3"/>
  <c r="V27" i="3"/>
  <c r="T31" i="3"/>
  <c r="T19" i="3"/>
  <c r="R22" i="3"/>
  <c r="V31" i="3"/>
  <c r="V19" i="3"/>
  <c r="V95" i="3"/>
  <c r="T95" i="3"/>
  <c r="T65" i="3"/>
  <c r="T55" i="3"/>
  <c r="V30" i="3"/>
  <c r="V17" i="3"/>
  <c r="S95" i="3"/>
  <c r="V81" i="3"/>
  <c r="S78" i="3"/>
  <c r="V62" i="3"/>
  <c r="S64" i="3"/>
  <c r="S57" i="3"/>
  <c r="R62" i="3"/>
  <c r="R96" i="3"/>
  <c r="V80" i="3"/>
  <c r="R87" i="3"/>
  <c r="V61" i="3"/>
  <c r="V55" i="3"/>
  <c r="S63" i="3"/>
  <c r="S56" i="3"/>
  <c r="R61" i="3"/>
  <c r="R55" i="3"/>
  <c r="V112" i="3"/>
  <c r="V104" i="3"/>
  <c r="V89" i="3"/>
  <c r="V79" i="3"/>
  <c r="T88" i="3"/>
  <c r="R84" i="3"/>
  <c r="V60" i="3"/>
  <c r="T64" i="3"/>
  <c r="T57" i="3"/>
  <c r="V103" i="3"/>
  <c r="V88" i="3"/>
  <c r="V78" i="3"/>
  <c r="T83" i="3"/>
  <c r="R79" i="3"/>
  <c r="V59" i="3"/>
  <c r="T63" i="3"/>
  <c r="T56" i="3"/>
  <c r="S104" i="3"/>
  <c r="V64" i="3"/>
  <c r="V57" i="3"/>
  <c r="S89" i="3"/>
  <c r="S81" i="3"/>
  <c r="V63" i="3"/>
  <c r="V56" i="3"/>
  <c r="T109" i="3"/>
  <c r="T100" i="3"/>
  <c r="S103" i="3"/>
  <c r="T87" i="3"/>
  <c r="T79" i="3"/>
  <c r="S85" i="3"/>
  <c r="S77" i="3"/>
  <c r="R83" i="3"/>
  <c r="S117" i="3"/>
  <c r="T99" i="3"/>
  <c r="S98" i="3"/>
  <c r="V90" i="3"/>
  <c r="V82" i="3"/>
  <c r="T86" i="3"/>
  <c r="T78" i="3"/>
  <c r="S84" i="3"/>
  <c r="R90" i="3"/>
  <c r="R82" i="3"/>
  <c r="S110" i="3"/>
  <c r="T98" i="3"/>
  <c r="S97" i="3"/>
  <c r="T85" i="3"/>
  <c r="T77" i="3"/>
  <c r="R89" i="3"/>
  <c r="R81" i="3"/>
  <c r="S109" i="3"/>
  <c r="T97" i="3"/>
  <c r="S96" i="3"/>
  <c r="S90" i="3"/>
  <c r="S82" i="3"/>
  <c r="R88" i="3"/>
  <c r="R80" i="3"/>
  <c r="T92" i="3"/>
  <c r="T117" i="3"/>
  <c r="T91" i="3"/>
  <c r="V85" i="3"/>
  <c r="V77" i="3"/>
  <c r="V98" i="3"/>
  <c r="T102" i="3"/>
  <c r="T94" i="3"/>
  <c r="S100" i="3"/>
  <c r="S92" i="3"/>
  <c r="T112" i="3"/>
  <c r="S112" i="3"/>
  <c r="V97" i="3"/>
  <c r="T101" i="3"/>
  <c r="T93" i="3"/>
  <c r="S99" i="3"/>
  <c r="S91" i="3"/>
  <c r="V116" i="3"/>
  <c r="T108" i="3"/>
  <c r="S107" i="3"/>
  <c r="V102" i="3"/>
  <c r="V94" i="3"/>
  <c r="R94" i="3"/>
  <c r="T107" i="3"/>
  <c r="R116" i="3"/>
  <c r="V101" i="3"/>
  <c r="V93" i="3"/>
  <c r="R93" i="3"/>
  <c r="V108" i="3"/>
  <c r="S118" i="3"/>
  <c r="V100" i="3"/>
  <c r="V92" i="3"/>
  <c r="T116" i="3"/>
  <c r="V99" i="3"/>
  <c r="V91" i="3"/>
  <c r="V113" i="3"/>
  <c r="V105" i="3"/>
  <c r="R113" i="3"/>
  <c r="S114" i="3"/>
  <c r="S106" i="3"/>
  <c r="V111" i="3"/>
  <c r="S113" i="3"/>
  <c r="S105" i="3"/>
  <c r="R111" i="3"/>
  <c r="V118" i="3"/>
  <c r="V110" i="3"/>
  <c r="T114" i="3"/>
  <c r="T106" i="3"/>
  <c r="R118" i="3"/>
  <c r="R110" i="3"/>
  <c r="V117" i="3"/>
  <c r="V109" i="3"/>
  <c r="V114" i="3"/>
  <c r="V106" i="3"/>
  <c r="V123" i="3"/>
  <c r="T167" i="3"/>
  <c r="T166" i="3"/>
  <c r="T124" i="3"/>
  <c r="V167" i="3"/>
  <c r="T170" i="3"/>
  <c r="T169" i="3"/>
  <c r="T165" i="3"/>
  <c r="T123" i="3"/>
  <c r="T168" i="3"/>
  <c r="B2" i="3"/>
  <c r="S124" i="3"/>
  <c r="S123" i="3"/>
  <c r="R165" i="3"/>
  <c r="R166" i="3"/>
  <c r="R167" i="3"/>
  <c r="V165" i="3"/>
  <c r="V170" i="3"/>
  <c r="V166" i="3"/>
  <c r="V169" i="3"/>
  <c r="S168" i="3"/>
  <c r="R168" i="3"/>
  <c r="S169" i="3"/>
  <c r="R170" i="3"/>
  <c r="D81" i="16" l="1"/>
  <c r="C81" i="16" s="1"/>
  <c r="C78" i="16"/>
  <c r="C75" i="16"/>
  <c r="C72" i="16"/>
  <c r="C69" i="16"/>
  <c r="C67" i="16"/>
  <c r="C65" i="16"/>
  <c r="C64" i="16"/>
  <c r="C61" i="16"/>
  <c r="D137" i="16" l="1"/>
  <c r="C137" i="16" s="1"/>
  <c r="C134" i="16"/>
  <c r="C131" i="16"/>
  <c r="C128" i="16"/>
  <c r="C125" i="16"/>
  <c r="C123" i="16"/>
  <c r="C121" i="16"/>
  <c r="C120" i="16"/>
  <c r="C117" i="16"/>
  <c r="C56" i="16"/>
  <c r="C92" i="7" s="1"/>
  <c r="C55" i="16"/>
  <c r="C91" i="7" s="1"/>
  <c r="C54" i="16"/>
  <c r="C90" i="7" s="1"/>
  <c r="C53" i="16"/>
  <c r="C89" i="7" s="1"/>
  <c r="C52" i="16"/>
  <c r="C88" i="7" s="1"/>
  <c r="C51" i="16"/>
  <c r="C87" i="7" s="1"/>
  <c r="C50" i="16"/>
  <c r="C86" i="7" s="1"/>
  <c r="C47" i="16"/>
  <c r="C83" i="7" s="1"/>
  <c r="C46" i="16"/>
  <c r="C82" i="7" s="1"/>
  <c r="C45" i="16"/>
  <c r="C81" i="7" s="1"/>
  <c r="C44" i="16"/>
  <c r="C80" i="7" s="1"/>
  <c r="C43" i="16"/>
  <c r="C79" i="7" s="1"/>
  <c r="C42" i="16"/>
  <c r="C78" i="7" s="1"/>
  <c r="C41" i="16"/>
  <c r="C77" i="7" s="1"/>
  <c r="C38" i="16"/>
  <c r="C74" i="7" s="1"/>
  <c r="C37" i="16"/>
  <c r="C73" i="7" s="1"/>
  <c r="C36" i="16"/>
  <c r="C72" i="7" s="1"/>
  <c r="C35" i="16"/>
  <c r="C71" i="7" s="1"/>
  <c r="C34" i="16"/>
  <c r="C70" i="7" s="1"/>
  <c r="C33" i="16"/>
  <c r="C69" i="7" s="1"/>
  <c r="C32" i="16"/>
  <c r="C68" i="7" s="1"/>
  <c r="C31" i="16"/>
  <c r="C67" i="7" s="1"/>
  <c r="C30" i="16"/>
  <c r="C66" i="7" s="1"/>
  <c r="C29" i="16"/>
  <c r="C65" i="7" s="1"/>
  <c r="C28" i="16"/>
  <c r="C64" i="7" s="1"/>
  <c r="C27" i="16"/>
  <c r="C63" i="7" s="1"/>
  <c r="C26" i="16"/>
  <c r="C62" i="7" s="1"/>
  <c r="C25" i="16"/>
  <c r="C61" i="7" s="1"/>
  <c r="C24" i="16"/>
  <c r="C60" i="7" s="1"/>
  <c r="C23" i="16"/>
  <c r="C59" i="7" s="1"/>
  <c r="C22" i="16"/>
  <c r="C58" i="7" s="1"/>
  <c r="C21" i="16"/>
  <c r="C20" i="16"/>
  <c r="C19" i="16"/>
  <c r="C18" i="16"/>
  <c r="C17" i="16"/>
  <c r="C16" i="16"/>
  <c r="C52" i="7" s="1"/>
  <c r="C15" i="16"/>
  <c r="C51" i="7" s="1"/>
  <c r="C14" i="16"/>
  <c r="C50" i="7" s="1"/>
  <c r="C13" i="16"/>
  <c r="C49" i="7" s="1"/>
  <c r="C12" i="16"/>
  <c r="C48" i="7" s="1"/>
  <c r="B8" i="16"/>
  <c r="B7" i="16"/>
  <c r="B6" i="16"/>
  <c r="B4" i="16"/>
  <c r="E3" i="16" a="1"/>
  <c r="E3" i="16" s="1"/>
  <c r="B3" i="16"/>
  <c r="E2" i="16" a="1"/>
  <c r="E2" i="16" s="1"/>
  <c r="B2" i="16"/>
  <c r="B1" i="16"/>
  <c r="C12" i="9"/>
  <c r="C44" i="7" s="1"/>
  <c r="E140" i="7"/>
  <c r="E139" i="7"/>
  <c r="E138" i="7"/>
  <c r="E137" i="7"/>
  <c r="E136" i="7"/>
  <c r="E135" i="7"/>
  <c r="E133" i="7"/>
  <c r="E132" i="7"/>
  <c r="E131" i="7"/>
  <c r="E130" i="7"/>
  <c r="E129" i="7"/>
  <c r="E128" i="7"/>
  <c r="E127" i="7"/>
  <c r="E126" i="7"/>
  <c r="E125" i="7"/>
  <c r="E122" i="7"/>
  <c r="E121" i="7"/>
  <c r="E120" i="7"/>
  <c r="E119" i="7"/>
  <c r="E118" i="7"/>
  <c r="E117" i="7"/>
  <c r="E116" i="7"/>
  <c r="E115" i="7"/>
  <c r="E114" i="7"/>
  <c r="E111" i="7"/>
  <c r="E110" i="7"/>
  <c r="E109" i="7"/>
  <c r="E108" i="7"/>
  <c r="E107" i="7"/>
  <c r="E106" i="7"/>
  <c r="E105" i="7"/>
  <c r="E104" i="7"/>
  <c r="E103" i="7"/>
  <c r="E102" i="7"/>
  <c r="E101" i="7"/>
  <c r="E98" i="7"/>
  <c r="E97" i="7"/>
  <c r="E96" i="7"/>
  <c r="E95" i="7"/>
  <c r="E92" i="7"/>
  <c r="E91" i="7"/>
  <c r="E90" i="7"/>
  <c r="E88" i="7"/>
  <c r="E87" i="7"/>
  <c r="E86" i="7"/>
  <c r="E74" i="7"/>
  <c r="E73" i="7"/>
  <c r="E72" i="7"/>
  <c r="E71" i="7"/>
  <c r="E70" i="7"/>
  <c r="E69" i="7"/>
  <c r="E68" i="7"/>
  <c r="E67" i="7"/>
  <c r="E66" i="7"/>
  <c r="E65" i="7"/>
  <c r="E64" i="7"/>
  <c r="E63" i="7"/>
  <c r="E62" i="7"/>
  <c r="E61" i="7"/>
  <c r="E60" i="7"/>
  <c r="E59" i="7"/>
  <c r="E58" i="7"/>
  <c r="E57" i="7"/>
  <c r="E56" i="7"/>
  <c r="E55" i="7"/>
  <c r="E54" i="7"/>
  <c r="E53" i="7"/>
  <c r="E52" i="7"/>
  <c r="E51" i="7"/>
  <c r="E50" i="7"/>
  <c r="E49" i="7"/>
  <c r="E48" i="7"/>
  <c r="E45" i="7"/>
  <c r="E44" i="7"/>
  <c r="E41" i="7"/>
  <c r="E40" i="7"/>
  <c r="E39" i="7"/>
  <c r="E38" i="7"/>
  <c r="E37" i="7"/>
  <c r="E36" i="7"/>
  <c r="E35" i="7"/>
  <c r="E32" i="7"/>
  <c r="E31" i="7"/>
  <c r="E30" i="7"/>
  <c r="E29" i="7"/>
  <c r="E28" i="7"/>
  <c r="E27" i="7"/>
  <c r="E26" i="7"/>
  <c r="E25" i="7"/>
  <c r="E24" i="7"/>
  <c r="E23" i="7"/>
  <c r="E13" i="7"/>
  <c r="B8" i="15"/>
  <c r="B7" i="15"/>
  <c r="B6" i="15"/>
  <c r="B4" i="15"/>
  <c r="B3" i="15"/>
  <c r="B2" i="15"/>
  <c r="B1" i="15"/>
  <c r="C96" i="7"/>
  <c r="C12" i="14"/>
  <c r="C95" i="7" s="1"/>
  <c r="B8" i="14"/>
  <c r="B7" i="14"/>
  <c r="B6" i="14"/>
  <c r="E4" i="14"/>
  <c r="E8" i="14" s="1"/>
  <c r="B4" i="14"/>
  <c r="E3" i="14"/>
  <c r="E7" i="14" s="1"/>
  <c r="B3" i="14"/>
  <c r="E2" i="14"/>
  <c r="E6" i="14" s="1"/>
  <c r="B2" i="14"/>
  <c r="E1" i="14"/>
  <c r="B1" i="14"/>
  <c r="D15" i="12"/>
  <c r="B8" i="12"/>
  <c r="B7" i="12"/>
  <c r="B6" i="12"/>
  <c r="B4" i="12"/>
  <c r="B3" i="12"/>
  <c r="B2" i="12"/>
  <c r="B1" i="12"/>
  <c r="C36" i="11"/>
  <c r="C122" i="7" s="1"/>
  <c r="C33" i="11"/>
  <c r="C121" i="7" s="1"/>
  <c r="C30" i="11"/>
  <c r="C120" i="7" s="1"/>
  <c r="C27" i="11"/>
  <c r="C119" i="7" s="1"/>
  <c r="C24" i="11"/>
  <c r="C118" i="7" s="1"/>
  <c r="C21" i="11"/>
  <c r="C117" i="7" s="1"/>
  <c r="C18" i="11"/>
  <c r="C116" i="7" s="1"/>
  <c r="C15" i="11"/>
  <c r="C115" i="7" s="1"/>
  <c r="C12" i="11"/>
  <c r="C114" i="7" s="1"/>
  <c r="B8" i="11"/>
  <c r="B7" i="11"/>
  <c r="B6" i="11"/>
  <c r="B4" i="11"/>
  <c r="B3" i="11"/>
  <c r="B2" i="11"/>
  <c r="B1" i="11"/>
  <c r="C25" i="10"/>
  <c r="C111" i="7" s="1"/>
  <c r="C24" i="10"/>
  <c r="C110" i="7" s="1"/>
  <c r="C23" i="10"/>
  <c r="C109" i="7" s="1"/>
  <c r="C22" i="10"/>
  <c r="C108" i="7" s="1"/>
  <c r="C21" i="10"/>
  <c r="C107" i="7" s="1"/>
  <c r="C20" i="10"/>
  <c r="C106" i="7" s="1"/>
  <c r="C19" i="10"/>
  <c r="C105" i="7" s="1"/>
  <c r="D12" i="10"/>
  <c r="B8" i="10"/>
  <c r="B7" i="10"/>
  <c r="B6" i="10"/>
  <c r="B4" i="10"/>
  <c r="B3" i="10"/>
  <c r="B2" i="10"/>
  <c r="B1" i="10"/>
  <c r="B8" i="9"/>
  <c r="B7" i="9"/>
  <c r="B6" i="9"/>
  <c r="B4" i="9"/>
  <c r="B3" i="9"/>
  <c r="B2" i="9"/>
  <c r="B1" i="9"/>
  <c r="D21" i="8"/>
  <c r="C21" i="8"/>
  <c r="D20" i="8"/>
  <c r="C20" i="8"/>
  <c r="D19" i="8"/>
  <c r="C19" i="8"/>
  <c r="D18" i="8"/>
  <c r="C18" i="8"/>
  <c r="D17" i="8"/>
  <c r="C17" i="8"/>
  <c r="D16" i="8"/>
  <c r="C16" i="8"/>
  <c r="D15" i="8"/>
  <c r="C15" i="8"/>
  <c r="D14" i="8"/>
  <c r="C14" i="8"/>
  <c r="D13" i="8"/>
  <c r="C13" i="8"/>
  <c r="D12" i="8"/>
  <c r="C12" i="8"/>
  <c r="B8" i="8"/>
  <c r="B7" i="8"/>
  <c r="B6" i="8"/>
  <c r="B4" i="8"/>
  <c r="B3" i="8"/>
  <c r="B2" i="8"/>
  <c r="B1" i="8"/>
  <c r="F151" i="7"/>
  <c r="F150" i="7"/>
  <c r="F149" i="7"/>
  <c r="F148" i="7"/>
  <c r="F147" i="7"/>
  <c r="F144" i="7"/>
  <c r="H143" i="7"/>
  <c r="C140" i="7"/>
  <c r="C139" i="7"/>
  <c r="C138" i="7"/>
  <c r="C137" i="7"/>
  <c r="C136" i="7"/>
  <c r="C135" i="7"/>
  <c r="C134" i="7"/>
  <c r="C133" i="7"/>
  <c r="C132" i="7"/>
  <c r="C131" i="7"/>
  <c r="C130" i="7"/>
  <c r="C129" i="7"/>
  <c r="C128" i="7"/>
  <c r="C127" i="7"/>
  <c r="C126" i="7"/>
  <c r="C125" i="7"/>
  <c r="C104" i="7"/>
  <c r="C103" i="7"/>
  <c r="C102" i="7"/>
  <c r="C98" i="7"/>
  <c r="C97" i="7"/>
  <c r="C45" i="7"/>
  <c r="C41" i="7"/>
  <c r="C40" i="7"/>
  <c r="C39" i="7"/>
  <c r="C38" i="7"/>
  <c r="C37" i="7"/>
  <c r="C36" i="7"/>
  <c r="B8" i="7"/>
  <c r="B7" i="7"/>
  <c r="B6" i="7"/>
  <c r="G4" i="7"/>
  <c r="C12" i="12" s="1"/>
  <c r="C35" i="7" s="1"/>
  <c r="B4" i="7"/>
  <c r="B3" i="7"/>
  <c r="B2" i="7"/>
  <c r="B1" i="7"/>
  <c r="B13" i="6"/>
  <c r="I8" i="6" a="1"/>
  <c r="I8" i="6" s="1"/>
  <c r="H8" i="6" a="1"/>
  <c r="H8" i="6" s="1"/>
  <c r="G8" i="6" a="1"/>
  <c r="G8" i="6" s="1"/>
  <c r="I5" i="6"/>
  <c r="H5" i="6"/>
  <c r="G5" i="6"/>
  <c r="G10" i="5"/>
  <c r="G11" i="5"/>
  <c r="G9" i="5"/>
  <c r="G12" i="8" l="1"/>
  <c r="C23" i="7" s="1"/>
  <c r="G16" i="8"/>
  <c r="C27" i="7" s="1"/>
  <c r="D27" i="7" s="1"/>
  <c r="F27" i="7" s="1"/>
  <c r="D39" i="7"/>
  <c r="F39" i="7" s="1"/>
  <c r="C101" i="7"/>
  <c r="D101" i="7" s="1"/>
  <c r="F101" i="7" s="1"/>
  <c r="D13" i="10"/>
  <c r="G18" i="8"/>
  <c r="C29" i="7" s="1"/>
  <c r="D29" i="7" s="1"/>
  <c r="F29" i="7" s="1"/>
  <c r="D116" i="7"/>
  <c r="F116" i="7" s="1"/>
  <c r="D127" i="7"/>
  <c r="F127" i="7" s="1"/>
  <c r="G13" i="8"/>
  <c r="C24" i="7" s="1"/>
  <c r="D24" i="7" s="1"/>
  <c r="F24" i="7" s="1"/>
  <c r="G17" i="8"/>
  <c r="C28" i="7" s="1"/>
  <c r="D28" i="7" s="1"/>
  <c r="F28" i="7" s="1"/>
  <c r="G21" i="8"/>
  <c r="C32" i="7" s="1"/>
  <c r="D32" i="7" s="1"/>
  <c r="F32" i="7" s="1"/>
  <c r="G14" i="8"/>
  <c r="C25" i="7" s="1"/>
  <c r="D25" i="7" s="1"/>
  <c r="F25" i="7" s="1"/>
  <c r="G19" i="8"/>
  <c r="C30" i="7" s="1"/>
  <c r="D30" i="7" s="1"/>
  <c r="F30" i="7" s="1"/>
  <c r="G15" i="8"/>
  <c r="C26" i="7" s="1"/>
  <c r="D26" i="7" s="1"/>
  <c r="F26" i="7" s="1"/>
  <c r="D16" i="10"/>
  <c r="G20" i="8"/>
  <c r="C31" i="7" s="1"/>
  <c r="D31" i="7" s="1"/>
  <c r="F31" i="7" s="1"/>
  <c r="B25" i="6"/>
  <c r="C25" i="6" s="1"/>
  <c r="C54" i="7"/>
  <c r="D54" i="7" s="1"/>
  <c r="F54" i="7" s="1"/>
  <c r="I9" i="6"/>
  <c r="I10" i="6" s="1"/>
  <c r="C55" i="7"/>
  <c r="D55" i="7" s="1"/>
  <c r="F55" i="7" s="1"/>
  <c r="C56" i="7"/>
  <c r="D56" i="7" s="1"/>
  <c r="F56" i="7" s="1"/>
  <c r="C53" i="7"/>
  <c r="D53" i="7" s="1"/>
  <c r="F53" i="7" s="1"/>
  <c r="D139" i="7"/>
  <c r="F139" i="7" s="1"/>
  <c r="C57" i="7"/>
  <c r="D57" i="7" s="1"/>
  <c r="F57" i="7" s="1"/>
  <c r="G9" i="6"/>
  <c r="G10" i="6" s="1"/>
  <c r="D111" i="7"/>
  <c r="F111" i="7" s="1"/>
  <c r="D97" i="7"/>
  <c r="F97" i="7" s="1"/>
  <c r="D58" i="7"/>
  <c r="F58" i="7" s="1"/>
  <c r="D70" i="7"/>
  <c r="F70" i="7" s="1"/>
  <c r="D44" i="7"/>
  <c r="F44" i="7" s="1"/>
  <c r="D86" i="7"/>
  <c r="F86" i="7" s="1"/>
  <c r="D89" i="7"/>
  <c r="F89" i="7" s="1"/>
  <c r="D36" i="7"/>
  <c r="F36" i="7" s="1"/>
  <c r="D52" i="7"/>
  <c r="F52" i="7" s="1"/>
  <c r="D64" i="7"/>
  <c r="F64" i="7" s="1"/>
  <c r="D78" i="7"/>
  <c r="F78" i="7" s="1"/>
  <c r="D136" i="7"/>
  <c r="F136" i="7" s="1"/>
  <c r="D67" i="7"/>
  <c r="F67" i="7" s="1"/>
  <c r="D81" i="7"/>
  <c r="F81" i="7" s="1"/>
  <c r="D130" i="7"/>
  <c r="F130" i="7" s="1"/>
  <c r="D133" i="7"/>
  <c r="F133" i="7" s="1"/>
  <c r="D13" i="6"/>
  <c r="D102" i="7"/>
  <c r="F102" i="7" s="1"/>
  <c r="D105" i="7"/>
  <c r="F105" i="7" s="1"/>
  <c r="D73" i="7"/>
  <c r="F73" i="7" s="1"/>
  <c r="D49" i="7"/>
  <c r="F49" i="7" s="1"/>
  <c r="D61" i="7"/>
  <c r="F61" i="7" s="1"/>
  <c r="C13" i="6"/>
  <c r="D92" i="7"/>
  <c r="F92" i="7" s="1"/>
  <c r="H9" i="6"/>
  <c r="H10" i="6" s="1"/>
  <c r="D77" i="7"/>
  <c r="F77" i="7" s="1"/>
  <c r="D122" i="7"/>
  <c r="F122" i="7" s="1"/>
  <c r="D108" i="7"/>
  <c r="F108" i="7" s="1"/>
  <c r="D35" i="7"/>
  <c r="F35" i="7" s="1"/>
  <c r="D119" i="7"/>
  <c r="F119" i="7" s="1"/>
  <c r="D37" i="7"/>
  <c r="F37" i="7" s="1"/>
  <c r="D40" i="7"/>
  <c r="F40" i="7" s="1"/>
  <c r="D45" i="7"/>
  <c r="F45" i="7" s="1"/>
  <c r="D50" i="7"/>
  <c r="F50" i="7" s="1"/>
  <c r="D59" i="7"/>
  <c r="F59" i="7" s="1"/>
  <c r="D62" i="7"/>
  <c r="F62" i="7" s="1"/>
  <c r="D65" i="7"/>
  <c r="F65" i="7" s="1"/>
  <c r="D68" i="7"/>
  <c r="F68" i="7" s="1"/>
  <c r="D71" i="7"/>
  <c r="F71" i="7" s="1"/>
  <c r="D74" i="7"/>
  <c r="F74" i="7" s="1"/>
  <c r="D79" i="7"/>
  <c r="F79" i="7" s="1"/>
  <c r="D82" i="7"/>
  <c r="F82" i="7" s="1"/>
  <c r="D87" i="7"/>
  <c r="F87" i="7" s="1"/>
  <c r="D90" i="7"/>
  <c r="F90" i="7" s="1"/>
  <c r="D95" i="7"/>
  <c r="F95" i="7" s="1"/>
  <c r="D98" i="7"/>
  <c r="F98" i="7" s="1"/>
  <c r="D103" i="7"/>
  <c r="F103" i="7" s="1"/>
  <c r="D106" i="7"/>
  <c r="F106" i="7" s="1"/>
  <c r="D109" i="7"/>
  <c r="F109" i="7" s="1"/>
  <c r="D114" i="7"/>
  <c r="F114" i="7" s="1"/>
  <c r="D117" i="7"/>
  <c r="F117" i="7" s="1"/>
  <c r="D120" i="7"/>
  <c r="F120" i="7" s="1"/>
  <c r="D125" i="7"/>
  <c r="F125" i="7" s="1"/>
  <c r="D128" i="7"/>
  <c r="F128" i="7" s="1"/>
  <c r="D131" i="7"/>
  <c r="F131" i="7" s="1"/>
  <c r="D134" i="7"/>
  <c r="F134" i="7" s="1"/>
  <c r="D137" i="7"/>
  <c r="F137" i="7" s="1"/>
  <c r="D140" i="7"/>
  <c r="F140" i="7" s="1"/>
  <c r="D38" i="7"/>
  <c r="F38" i="7" s="1"/>
  <c r="D41" i="7"/>
  <c r="F41" i="7" s="1"/>
  <c r="D48" i="7"/>
  <c r="F48" i="7" s="1"/>
  <c r="D51" i="7"/>
  <c r="F51" i="7" s="1"/>
  <c r="D60" i="7"/>
  <c r="F60" i="7" s="1"/>
  <c r="D63" i="7"/>
  <c r="F63" i="7" s="1"/>
  <c r="D66" i="7"/>
  <c r="F66" i="7" s="1"/>
  <c r="D69" i="7"/>
  <c r="F69" i="7" s="1"/>
  <c r="D72" i="7"/>
  <c r="F72" i="7" s="1"/>
  <c r="D80" i="7"/>
  <c r="F80" i="7" s="1"/>
  <c r="D83" i="7"/>
  <c r="F83" i="7" s="1"/>
  <c r="D88" i="7"/>
  <c r="F88" i="7" s="1"/>
  <c r="D91" i="7"/>
  <c r="F91" i="7" s="1"/>
  <c r="D96" i="7"/>
  <c r="F96" i="7" s="1"/>
  <c r="D104" i="7"/>
  <c r="F104" i="7" s="1"/>
  <c r="D107" i="7"/>
  <c r="F107" i="7" s="1"/>
  <c r="D110" i="7"/>
  <c r="F110" i="7" s="1"/>
  <c r="D115" i="7"/>
  <c r="F115" i="7" s="1"/>
  <c r="D118" i="7"/>
  <c r="F118" i="7" s="1"/>
  <c r="D121" i="7"/>
  <c r="F121" i="7" s="1"/>
  <c r="D126" i="7"/>
  <c r="F126" i="7" s="1"/>
  <c r="D129" i="7"/>
  <c r="F129" i="7" s="1"/>
  <c r="D132" i="7"/>
  <c r="F132" i="7" s="1"/>
  <c r="D135" i="7"/>
  <c r="F135" i="7" s="1"/>
  <c r="D138" i="7"/>
  <c r="F138" i="7" s="1"/>
  <c r="D25" i="6" l="1"/>
  <c r="G9" i="8"/>
  <c r="B16" i="6"/>
  <c r="D16" i="6" s="1"/>
  <c r="B22" i="6"/>
  <c r="D22" i="6" s="1"/>
  <c r="B21" i="6"/>
  <c r="D21" i="6" s="1"/>
  <c r="B20" i="6"/>
  <c r="D20" i="6" s="1"/>
  <c r="B19" i="6"/>
  <c r="B18" i="6"/>
  <c r="D18" i="6" s="1"/>
  <c r="B17" i="6"/>
  <c r="C143" i="7"/>
  <c r="F143" i="7" s="1"/>
  <c r="B24" i="6" s="1"/>
  <c r="D23" i="7"/>
  <c r="C12" i="7" s="1"/>
  <c r="B23" i="6"/>
  <c r="B15" i="6"/>
  <c r="G47" i="5"/>
  <c r="G46" i="5"/>
  <c r="G45" i="5"/>
  <c r="G44" i="5"/>
  <c r="G41" i="5"/>
  <c r="G40" i="5"/>
  <c r="G39" i="5"/>
  <c r="G38" i="5"/>
  <c r="G35" i="5"/>
  <c r="G34" i="5"/>
  <c r="G33" i="5"/>
  <c r="G32" i="5"/>
  <c r="G29" i="5"/>
  <c r="G28" i="5"/>
  <c r="G27" i="5"/>
  <c r="G26" i="5"/>
  <c r="G21" i="5"/>
  <c r="G22" i="5"/>
  <c r="G23" i="5"/>
  <c r="G20" i="5"/>
  <c r="F9" i="5"/>
  <c r="E9" i="5"/>
  <c r="B17" i="5"/>
  <c r="G8" i="5"/>
  <c r="F8" i="5"/>
  <c r="E8" i="5"/>
  <c r="D8" i="5"/>
  <c r="G12" i="5"/>
  <c r="F12" i="5"/>
  <c r="E12" i="5"/>
  <c r="D12" i="5"/>
  <c r="C11" i="7" l="1"/>
  <c r="C10" i="7" s="1"/>
  <c r="G116" i="7" s="1"/>
  <c r="C22" i="6"/>
  <c r="D19" i="6"/>
  <c r="D17" i="6"/>
  <c r="D15" i="6"/>
  <c r="D23" i="6"/>
  <c r="D24" i="6"/>
  <c r="F23" i="7"/>
  <c r="B14" i="6" s="1"/>
  <c r="B27" i="6" s="1"/>
  <c r="B28" i="6"/>
  <c r="C50" i="5"/>
  <c r="D50" i="5"/>
  <c r="C41" i="5"/>
  <c r="D41" i="5" s="1"/>
  <c r="C47" i="5"/>
  <c r="D47" i="5" s="1"/>
  <c r="D51" i="5"/>
  <c r="E51" i="5"/>
  <c r="E50" i="5"/>
  <c r="F50" i="5"/>
  <c r="C40" i="5"/>
  <c r="D40" i="5" s="1"/>
  <c r="C29" i="5"/>
  <c r="D29" i="5" s="1"/>
  <c r="C35" i="5"/>
  <c r="D35" i="5" s="1"/>
  <c r="C34" i="5"/>
  <c r="D34" i="5" s="1"/>
  <c r="G77" i="7" l="1"/>
  <c r="G101" i="7"/>
  <c r="G73" i="7"/>
  <c r="G65" i="7"/>
  <c r="G105" i="7"/>
  <c r="G54" i="7"/>
  <c r="G69" i="7"/>
  <c r="G31" i="7"/>
  <c r="G61" i="7"/>
  <c r="G64" i="7"/>
  <c r="G90" i="7"/>
  <c r="G95" i="7"/>
  <c r="G106" i="7"/>
  <c r="G117" i="7"/>
  <c r="G66" i="7"/>
  <c r="G109" i="7"/>
  <c r="G96" i="7"/>
  <c r="G78" i="7"/>
  <c r="G23" i="7"/>
  <c r="G108" i="7"/>
  <c r="G115" i="7"/>
  <c r="G121" i="7"/>
  <c r="G122" i="7"/>
  <c r="G134" i="7"/>
  <c r="G110" i="7"/>
  <c r="G29" i="7"/>
  <c r="G137" i="7"/>
  <c r="G119" i="7"/>
  <c r="G50" i="7"/>
  <c r="G24" i="7"/>
  <c r="G53" i="7"/>
  <c r="G27" i="7"/>
  <c r="G138" i="7"/>
  <c r="G130" i="7"/>
  <c r="G62" i="7"/>
  <c r="G35" i="7"/>
  <c r="D10" i="7"/>
  <c r="G71" i="7"/>
  <c r="G57" i="7"/>
  <c r="G36" i="7"/>
  <c r="G68" i="7"/>
  <c r="G114" i="7"/>
  <c r="G30" i="7"/>
  <c r="G72" i="7"/>
  <c r="G118" i="7"/>
  <c r="G39" i="7"/>
  <c r="G81" i="7"/>
  <c r="G127" i="7"/>
  <c r="G74" i="7"/>
  <c r="G38" i="7"/>
  <c r="G49" i="7"/>
  <c r="G37" i="7"/>
  <c r="G125" i="7"/>
  <c r="G41" i="7"/>
  <c r="G83" i="7"/>
  <c r="G129" i="7"/>
  <c r="G52" i="7"/>
  <c r="G92" i="7"/>
  <c r="G136" i="7"/>
  <c r="G86" i="7"/>
  <c r="G120" i="7"/>
  <c r="G126" i="7"/>
  <c r="G89" i="7"/>
  <c r="G40" i="7"/>
  <c r="G128" i="7"/>
  <c r="G48" i="7"/>
  <c r="G88" i="7"/>
  <c r="G132" i="7"/>
  <c r="G55" i="7"/>
  <c r="G97" i="7"/>
  <c r="G139" i="7"/>
  <c r="G44" i="7"/>
  <c r="G32" i="7"/>
  <c r="G80" i="7"/>
  <c r="G133" i="7"/>
  <c r="G79" i="7"/>
  <c r="G82" i="7"/>
  <c r="G45" i="7"/>
  <c r="G87" i="7"/>
  <c r="G131" i="7"/>
  <c r="G51" i="7"/>
  <c r="G91" i="7"/>
  <c r="G135" i="7"/>
  <c r="G58" i="7"/>
  <c r="G102" i="7"/>
  <c r="C13" i="7"/>
  <c r="G56" i="7"/>
  <c r="G98" i="7"/>
  <c r="G140" i="7"/>
  <c r="G60" i="7"/>
  <c r="G104" i="7"/>
  <c r="G25" i="7"/>
  <c r="G67" i="7"/>
  <c r="G111" i="7"/>
  <c r="G59" i="7"/>
  <c r="G103" i="7"/>
  <c r="G143" i="7"/>
  <c r="G63" i="7"/>
  <c r="G107" i="7"/>
  <c r="G28" i="7"/>
  <c r="G70" i="7"/>
  <c r="D14" i="6"/>
  <c r="D26" i="6" s="1"/>
  <c r="E47" i="5"/>
  <c r="F47" i="5" s="1"/>
  <c r="H47" i="5" s="1"/>
  <c r="E34" i="5"/>
  <c r="F34" i="5" s="1"/>
  <c r="H34" i="5" s="1"/>
  <c r="E41" i="5"/>
  <c r="F41" i="5" s="1"/>
  <c r="H41" i="5" s="1"/>
  <c r="E35" i="5"/>
  <c r="F35" i="5" s="1"/>
  <c r="H35" i="5" s="1"/>
  <c r="E29" i="5"/>
  <c r="F29" i="5" s="1"/>
  <c r="H29" i="5" s="1"/>
  <c r="E40" i="5"/>
  <c r="F40" i="5" s="1"/>
  <c r="H40" i="5" s="1"/>
  <c r="F11" i="5"/>
  <c r="C9" i="5"/>
  <c r="F10" i="5"/>
  <c r="F9" i="2"/>
  <c r="E9" i="2"/>
  <c r="G8" i="2"/>
  <c r="F8" i="2"/>
  <c r="F7" i="2"/>
  <c r="G6" i="2"/>
  <c r="F6" i="2"/>
  <c r="D6" i="2"/>
  <c r="U171" i="3"/>
  <c r="U122" i="3"/>
  <c r="R122" i="3" s="1"/>
  <c r="U121" i="3"/>
  <c r="R121" i="3" s="1"/>
  <c r="U120" i="3"/>
  <c r="U119" i="3"/>
  <c r="U16" i="3"/>
  <c r="T16" i="3" s="1"/>
  <c r="U15" i="3"/>
  <c r="U14" i="3"/>
  <c r="U13" i="3"/>
  <c r="T13" i="3" s="1"/>
  <c r="U12" i="3"/>
  <c r="E6" i="2" s="1"/>
  <c r="U11" i="3"/>
  <c r="E11" i="5" s="1"/>
  <c r="B17" i="2"/>
  <c r="B12" i="5" l="1"/>
  <c r="C12" i="5"/>
  <c r="B8" i="5"/>
  <c r="C8" i="5"/>
  <c r="C11" i="5"/>
  <c r="B53" i="5" s="1"/>
  <c r="B6" i="2"/>
  <c r="C10" i="5"/>
  <c r="C21" i="5" s="1"/>
  <c r="D21" i="5" s="1"/>
  <c r="C6" i="2"/>
  <c r="B20" i="2" s="1"/>
  <c r="T12" i="3"/>
  <c r="E10" i="5"/>
  <c r="C32" i="5"/>
  <c r="D32" i="5" s="1"/>
  <c r="E32" i="5" s="1"/>
  <c r="F32" i="5" s="1"/>
  <c r="H32" i="5" s="1"/>
  <c r="D53" i="5"/>
  <c r="E8" i="2"/>
  <c r="B34" i="2" s="1"/>
  <c r="V15" i="3"/>
  <c r="T15" i="3"/>
  <c r="S14" i="3"/>
  <c r="T14" i="3"/>
  <c r="V119" i="3"/>
  <c r="T119" i="3"/>
  <c r="V120" i="3"/>
  <c r="T120" i="3"/>
  <c r="S11" i="3"/>
  <c r="T11" i="3"/>
  <c r="S121" i="3"/>
  <c r="T121" i="3"/>
  <c r="V122" i="3"/>
  <c r="T122" i="3"/>
  <c r="V171" i="3"/>
  <c r="T171" i="3"/>
  <c r="C17" i="6"/>
  <c r="C19" i="6"/>
  <c r="B29" i="6"/>
  <c r="C29" i="6" s="1"/>
  <c r="G12" i="6"/>
  <c r="C21" i="6"/>
  <c r="C20" i="6"/>
  <c r="C18" i="6"/>
  <c r="C16" i="6"/>
  <c r="C15" i="6"/>
  <c r="C23" i="6"/>
  <c r="C24" i="6"/>
  <c r="C14" i="6"/>
  <c r="R12" i="3"/>
  <c r="B10" i="5"/>
  <c r="V13" i="3"/>
  <c r="B11" i="5"/>
  <c r="C39" i="5"/>
  <c r="D39" i="5" s="1"/>
  <c r="E52" i="5"/>
  <c r="D11" i="5"/>
  <c r="V16" i="3"/>
  <c r="B9" i="5"/>
  <c r="D9" i="5"/>
  <c r="B51" i="5"/>
  <c r="C22" i="5"/>
  <c r="D22" i="5" s="1"/>
  <c r="E53" i="5"/>
  <c r="C38" i="5"/>
  <c r="D38" i="5" s="1"/>
  <c r="D10" i="5"/>
  <c r="C9" i="2"/>
  <c r="B23" i="2" s="1"/>
  <c r="D9" i="2"/>
  <c r="B29" i="2" s="1"/>
  <c r="G9" i="2"/>
  <c r="B9" i="2"/>
  <c r="G7" i="2"/>
  <c r="D8" i="2"/>
  <c r="B28" i="2" s="1"/>
  <c r="D7" i="2"/>
  <c r="B27" i="2" s="1"/>
  <c r="E7" i="2"/>
  <c r="B33" i="2" s="1"/>
  <c r="B7" i="2"/>
  <c r="S119" i="3"/>
  <c r="C7" i="2"/>
  <c r="B21" i="2" s="1"/>
  <c r="V11" i="3"/>
  <c r="V12" i="3"/>
  <c r="S120" i="3"/>
  <c r="R13" i="3"/>
  <c r="S13" i="3"/>
  <c r="B8" i="2"/>
  <c r="C8" i="2"/>
  <c r="B22" i="2" s="1"/>
  <c r="V14" i="3"/>
  <c r="B35" i="2"/>
  <c r="B32" i="2"/>
  <c r="S12" i="3"/>
  <c r="S15" i="3"/>
  <c r="S122" i="3"/>
  <c r="R11" i="3"/>
  <c r="R120" i="3"/>
  <c r="R171" i="3"/>
  <c r="R119" i="3"/>
  <c r="R15" i="3"/>
  <c r="V121" i="3"/>
  <c r="S171" i="3"/>
  <c r="U9" i="3"/>
  <c r="R16" i="3"/>
  <c r="S16" i="3"/>
  <c r="R14" i="3"/>
  <c r="B26" i="2"/>
  <c r="C41" i="6" l="1"/>
  <c r="C40" i="6"/>
  <c r="C39" i="6"/>
  <c r="C38" i="6"/>
  <c r="B50" i="5"/>
  <c r="C23" i="5"/>
  <c r="D23" i="5" s="1"/>
  <c r="E23" i="5" s="1"/>
  <c r="F23" i="5" s="1"/>
  <c r="H23" i="5" s="1"/>
  <c r="C20" i="5"/>
  <c r="D20" i="5" s="1"/>
  <c r="E20" i="5" s="1"/>
  <c r="F20" i="5" s="1"/>
  <c r="H20" i="5" s="1"/>
  <c r="B52" i="5"/>
  <c r="D52" i="5"/>
  <c r="C33" i="5"/>
  <c r="D33" i="5" s="1"/>
  <c r="E33" i="5" s="1"/>
  <c r="F33" i="5" s="1"/>
  <c r="H33" i="5" s="1"/>
  <c r="T9" i="3"/>
  <c r="E38" i="5"/>
  <c r="F38" i="5" s="1"/>
  <c r="H38" i="5" s="1"/>
  <c r="E22" i="5"/>
  <c r="F22" i="5" s="1"/>
  <c r="H22" i="5" s="1"/>
  <c r="E39" i="5"/>
  <c r="F39" i="5" s="1"/>
  <c r="H39" i="5" s="1"/>
  <c r="E21" i="5"/>
  <c r="F21" i="5" s="1"/>
  <c r="H21" i="5" s="1"/>
  <c r="C26" i="5"/>
  <c r="D26" i="5" s="1"/>
  <c r="C53" i="5"/>
  <c r="C28" i="5"/>
  <c r="D28" i="5" s="1"/>
  <c r="C51" i="5"/>
  <c r="C44" i="5"/>
  <c r="D44" i="5" s="1"/>
  <c r="F53" i="5"/>
  <c r="C46" i="5"/>
  <c r="D46" i="5" s="1"/>
  <c r="F51" i="5"/>
  <c r="C45" i="5"/>
  <c r="D45" i="5" s="1"/>
  <c r="F52" i="5"/>
  <c r="C52" i="5"/>
  <c r="C27" i="5"/>
  <c r="D27" i="5" s="1"/>
  <c r="V9" i="3"/>
  <c r="R9" i="3"/>
  <c r="S9" i="3"/>
  <c r="D38" i="2"/>
  <c r="C33" i="2" s="1"/>
  <c r="D33" i="2" s="1"/>
  <c r="C38" i="2"/>
  <c r="C26" i="2" s="1"/>
  <c r="D26" i="2" s="1"/>
  <c r="B38" i="2"/>
  <c r="C20" i="2" s="1"/>
  <c r="D20" i="2" s="1"/>
  <c r="B3" i="5" l="1"/>
  <c r="D39" i="6"/>
  <c r="D40" i="6"/>
  <c r="D41" i="6"/>
  <c r="E26" i="5"/>
  <c r="F26" i="5" s="1"/>
  <c r="H26" i="5" s="1"/>
  <c r="E27" i="5"/>
  <c r="F27" i="5" s="1"/>
  <c r="H27" i="5" s="1"/>
  <c r="E45" i="5"/>
  <c r="F45" i="5" s="1"/>
  <c r="H45" i="5" s="1"/>
  <c r="E28" i="5"/>
  <c r="F28" i="5" s="1"/>
  <c r="H28" i="5" s="1"/>
  <c r="E46" i="5"/>
  <c r="F46" i="5" s="1"/>
  <c r="H46" i="5" s="1"/>
  <c r="E44" i="5"/>
  <c r="F44" i="5" s="1"/>
  <c r="H44" i="5" s="1"/>
  <c r="C32" i="2"/>
  <c r="D32" i="2" s="1"/>
  <c r="D40" i="2" s="1"/>
  <c r="E33" i="2" s="1"/>
  <c r="C35" i="2"/>
  <c r="C34" i="2"/>
  <c r="C22" i="2"/>
  <c r="C21" i="2"/>
  <c r="D21" i="2" s="1"/>
  <c r="B40" i="2" s="1"/>
  <c r="E20" i="2" s="1"/>
  <c r="F20" i="2" s="1"/>
  <c r="C23" i="2"/>
  <c r="C27" i="2"/>
  <c r="D27" i="2" s="1"/>
  <c r="C40" i="2" s="1"/>
  <c r="E26" i="2" s="1"/>
  <c r="F26" i="2" s="1"/>
  <c r="C28" i="2"/>
  <c r="C29" i="2"/>
  <c r="D39" i="2" l="1"/>
  <c r="D35" i="2" s="1"/>
  <c r="E35" i="2" s="1"/>
  <c r="D41" i="2" s="1"/>
  <c r="F35" i="2" s="1"/>
  <c r="G35" i="2" s="1"/>
  <c r="B42" i="2"/>
  <c r="G20" i="2" s="1"/>
  <c r="C42" i="2"/>
  <c r="G26" i="2" s="1"/>
  <c r="E21" i="2"/>
  <c r="E32" i="2"/>
  <c r="F32" i="2" s="1"/>
  <c r="B39" i="2"/>
  <c r="D23" i="2" s="1"/>
  <c r="E23" i="2" s="1"/>
  <c r="C39" i="2"/>
  <c r="D29" i="2" s="1"/>
  <c r="E29" i="2" s="1"/>
  <c r="E27" i="2"/>
  <c r="D3" i="5" l="1"/>
  <c r="D34" i="2"/>
  <c r="E34" i="2" s="1"/>
  <c r="F34" i="2" s="1"/>
  <c r="G34" i="2" s="1"/>
  <c r="H34" i="2" s="1"/>
  <c r="I34" i="2" s="1"/>
  <c r="J34" i="2" s="1"/>
  <c r="D46" i="2" s="1"/>
  <c r="K34" i="2" s="1"/>
  <c r="F33" i="2"/>
  <c r="G33" i="2" s="1"/>
  <c r="H33" i="2" s="1"/>
  <c r="I33" i="2" s="1"/>
  <c r="C41" i="2"/>
  <c r="F29" i="2" s="1"/>
  <c r="G29" i="2" s="1"/>
  <c r="D28" i="2"/>
  <c r="E28" i="2" s="1"/>
  <c r="F28" i="2" s="1"/>
  <c r="G28" i="2" s="1"/>
  <c r="H28" i="2" s="1"/>
  <c r="I28" i="2" s="1"/>
  <c r="J28" i="2" s="1"/>
  <c r="D42" i="2"/>
  <c r="G32" i="2" s="1"/>
  <c r="B41" i="2"/>
  <c r="F21" i="2" s="1"/>
  <c r="G21" i="2" s="1"/>
  <c r="H21" i="2" s="1"/>
  <c r="I21" i="2" s="1"/>
  <c r="D22" i="2"/>
  <c r="E22" i="2" s="1"/>
  <c r="F22" i="2" s="1"/>
  <c r="G22" i="2" s="1"/>
  <c r="H22" i="2" s="1"/>
  <c r="I22" i="2" s="1"/>
  <c r="J22" i="2" s="1"/>
  <c r="F27" i="2" l="1"/>
  <c r="G27" i="2" s="1"/>
  <c r="H27" i="2" s="1"/>
  <c r="I27" i="2" s="1"/>
  <c r="C45" i="2" s="1"/>
  <c r="F23" i="2"/>
  <c r="G23" i="2" s="1"/>
  <c r="B43" i="2" s="1"/>
  <c r="D43" i="2"/>
  <c r="H32" i="2" s="1"/>
  <c r="I32" i="2" s="1"/>
  <c r="J32" i="2" s="1"/>
  <c r="K32" i="2" s="1"/>
  <c r="B45" i="2"/>
  <c r="J21" i="2" s="1"/>
  <c r="K21" i="2" s="1"/>
  <c r="B46" i="2"/>
  <c r="K22" i="2" s="1"/>
  <c r="D45" i="2"/>
  <c r="J33" i="2" s="1"/>
  <c r="K33" i="2" s="1"/>
  <c r="C43" i="2"/>
  <c r="H26" i="2" s="1"/>
  <c r="I26" i="2" s="1"/>
  <c r="J26" i="2" s="1"/>
  <c r="K26" i="2" s="1"/>
  <c r="C46" i="2"/>
  <c r="K28" i="2" s="1"/>
  <c r="H20" i="2" l="1"/>
  <c r="I20" i="2" s="1"/>
  <c r="J20" i="2" s="1"/>
  <c r="K20" i="2" s="1"/>
  <c r="J27" i="2"/>
  <c r="K27" i="2" s="1"/>
  <c r="H23" i="2"/>
  <c r="H29" i="2"/>
  <c r="H35" i="2"/>
  <c r="D44" i="2" l="1"/>
  <c r="D47" i="2" s="1"/>
  <c r="B44" i="2"/>
  <c r="B47" i="2" s="1"/>
  <c r="C44" i="2"/>
  <c r="C47" i="2" s="1"/>
  <c r="I29" i="2" l="1"/>
  <c r="J29" i="2" s="1"/>
  <c r="K29" i="2" s="1"/>
  <c r="B2" i="2"/>
  <c r="I23" i="2"/>
  <c r="J23" i="2" s="1"/>
  <c r="K23" i="2" s="1"/>
  <c r="I35" i="2"/>
  <c r="J35" i="2" s="1"/>
  <c r="K35" i="2" s="1"/>
  <c r="D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Dale Liu</author>
  </authors>
  <commentList>
    <comment ref="C101" authorId="0" shapeId="0" xr:uid="{7B6845C1-3B9A-4AAF-86E2-81F3EE9E77A0}">
      <text>
        <r>
          <rPr>
            <b/>
            <sz val="9"/>
            <color indexed="81"/>
            <rFont val="Tahoma"/>
            <family val="2"/>
          </rPr>
          <t>Dale Liu:</t>
        </r>
        <r>
          <rPr>
            <sz val="9"/>
            <color indexed="81"/>
            <rFont val="Tahoma"/>
            <family val="2"/>
          </rPr>
          <t xml:space="preserve">
Dale updated the fomula to include Autodoor installation cost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1" authorId="0" shapeId="0" xr:uid="{8551B93F-CED3-4C78-8410-98F05B5E21B7}">
      <text>
        <r>
          <rPr>
            <b/>
            <sz val="9"/>
            <color indexed="81"/>
            <rFont val="Tahoma"/>
            <family val="2"/>
          </rPr>
          <t xml:space="preserve">Dale Liu:
</t>
        </r>
        <r>
          <rPr>
            <sz val="9"/>
            <color indexed="81"/>
            <rFont val="Tahoma"/>
            <family val="2"/>
          </rPr>
          <t>Quote specific to this job - 5
Historical Quote - 4
TFG Allowance - 3
Guessing &amp; Online Info - 2
Random Allowance - 1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6">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bk>
      <extLst>
        <ext uri="{3e2802c4-a4d2-4d8b-9148-e3be6c30e623}">
          <xlrd:rvb i="11"/>
        </ext>
      </extLst>
    </bk>
  </futureMetadata>
  <futureMetadata name="XLDAPR" count="1">
    <bk>
      <extLst>
        <ext uri="{bdbb8cdc-fa1e-496e-a857-3c3f30c029c3}">
          <xda:dynamicArrayProperties fDynamic="1" fCollapsed="0"/>
        </ext>
      </extLst>
    </bk>
  </futureMetadata>
  <cellMetadata count="1">
    <bk>
      <rc t="2" v="0"/>
    </bk>
  </cellMetadata>
  <valueMetadata count="6">
    <bk>
      <rc t="1" v="0"/>
    </bk>
    <bk>
      <rc t="1" v="1"/>
    </bk>
    <bk>
      <rc t="1" v="2"/>
    </bk>
    <bk>
      <rc t="1" v="3"/>
    </bk>
    <bk>
      <rc t="1" v="4"/>
    </bk>
    <bk>
      <rc t="1" v="5"/>
    </bk>
  </valueMetadata>
</metadata>
</file>

<file path=xl/sharedStrings.xml><?xml version="1.0" encoding="utf-8"?>
<sst xmlns="http://schemas.openxmlformats.org/spreadsheetml/2006/main" count="5877" uniqueCount="757">
  <si>
    <t>TENDER #</t>
  </si>
  <si>
    <t>DESCRIPTION</t>
  </si>
  <si>
    <t>VALUE</t>
  </si>
  <si>
    <t>PROJECT NAME:</t>
  </si>
  <si>
    <t>HEDGING VALUE AUD:</t>
  </si>
  <si>
    <t>CLIENT:</t>
  </si>
  <si>
    <t>Lendlease</t>
  </si>
  <si>
    <t>HEDGING FOREX PAIR:</t>
  </si>
  <si>
    <t>ARCHITECT:</t>
  </si>
  <si>
    <t>BVN</t>
  </si>
  <si>
    <t>HEDGING FOREX RATE:</t>
  </si>
  <si>
    <t>FOREIGN HEDGED VALUE:</t>
  </si>
  <si>
    <t>TENDER LEADER:</t>
  </si>
  <si>
    <t>Andrew Vatiliotis</t>
  </si>
  <si>
    <t>REVISION:</t>
  </si>
  <si>
    <t>LAST UPDATED:</t>
  </si>
  <si>
    <t>DATE:</t>
  </si>
  <si>
    <t>UPDATED RATE:</t>
  </si>
  <si>
    <t>UPDATED HEDGING VALUE AUD:</t>
  </si>
  <si>
    <t>VARIANCE AUD:</t>
  </si>
  <si>
    <t>COST CENTRE</t>
  </si>
  <si>
    <t>TENDER COSTS</t>
  </si>
  <si>
    <t>% WEIGHT</t>
  </si>
  <si>
    <t>COST PER SQM</t>
  </si>
  <si>
    <t>TOTAL COST PER SQM</t>
  </si>
  <si>
    <t>PROJECT REVENUE</t>
  </si>
  <si>
    <t>PROJECT STAFF COSTS</t>
  </si>
  <si>
    <t>TENDER OFFER</t>
  </si>
  <si>
    <t>PROJECT MANAGEMENT OFFICES</t>
  </si>
  <si>
    <t>DESIGN AND ENGINEERING</t>
  </si>
  <si>
    <t>MATERIALS</t>
  </si>
  <si>
    <t>SUPPLY ONLY PRODUCTION / SUBCONTRACTING</t>
  </si>
  <si>
    <t>SUPPLY AND INSTALL PRODUCTION / SUBCONTRACTING</t>
  </si>
  <si>
    <t>TRANSPORT AND LOGISTICS</t>
  </si>
  <si>
    <t>SITE COSTS</t>
  </si>
  <si>
    <t>MOCKUP AND TESTING</t>
  </si>
  <si>
    <t>OVERHEADS AND FINANCIAL COSTS</t>
  </si>
  <si>
    <t>CONTINGENCY</t>
  </si>
  <si>
    <t>TENDER AND MARKETING</t>
  </si>
  <si>
    <t>PROJECT COSTS</t>
  </si>
  <si>
    <t>GROSS MARGIN</t>
  </si>
  <si>
    <t>PLEASE SEELECT PRICE BASE/OPTION</t>
  </si>
  <si>
    <t>Default</t>
  </si>
  <si>
    <t>BASE/OPTION</t>
  </si>
  <si>
    <t>DIFF</t>
  </si>
  <si>
    <t>Option 1</t>
  </si>
  <si>
    <t>Option 2</t>
  </si>
  <si>
    <t>Option 3</t>
  </si>
  <si>
    <t>PROJECT COMMENCEMENT:</t>
  </si>
  <si>
    <t>SITE COMMENCEMENT:</t>
  </si>
  <si>
    <t>PRACTICAL COMPLETION:</t>
  </si>
  <si>
    <t>TOTAL MONTHS:</t>
  </si>
  <si>
    <t>FLOORS:</t>
  </si>
  <si>
    <t>SQM:</t>
  </si>
  <si>
    <t>TOTAL PANEL / SASH QTY:</t>
  </si>
  <si>
    <t>SALES REVENUE</t>
  </si>
  <si>
    <t>PER SQM</t>
  </si>
  <si>
    <t>TOTAL COST</t>
  </si>
  <si>
    <t>GROSS MARGIN %</t>
  </si>
  <si>
    <t>COST CENTRE DESCRIPTION</t>
  </si>
  <si>
    <t>RAW COST</t>
  </si>
  <si>
    <t>MARGIN</t>
  </si>
  <si>
    <t>MARGIN %</t>
  </si>
  <si>
    <t>TOTAL TENDER COST</t>
  </si>
  <si>
    <t>WEIGHT %</t>
  </si>
  <si>
    <t>COMMENTS</t>
  </si>
  <si>
    <t>1-1000</t>
  </si>
  <si>
    <t>1-1001</t>
  </si>
  <si>
    <t>PROJECT VO REVENUE</t>
  </si>
  <si>
    <t>1-1002</t>
  </si>
  <si>
    <t>PROJECT OMISSION</t>
  </si>
  <si>
    <t>1-1003</t>
  </si>
  <si>
    <t>CLIENT BACKCHARGE</t>
  </si>
  <si>
    <t>2-1000</t>
  </si>
  <si>
    <t>HEAD OF PROJECT STAFF COSTS</t>
  </si>
  <si>
    <t>2-1001</t>
  </si>
  <si>
    <t>HEAD OF OPERATIONS STAFF COSTS</t>
  </si>
  <si>
    <t>2-1002</t>
  </si>
  <si>
    <t>PROJECT MANAGEMENT STAFF COSTS</t>
  </si>
  <si>
    <t>2-1003</t>
  </si>
  <si>
    <t>PROJECT COORDINATOR STAFF COSTS</t>
  </si>
  <si>
    <t xml:space="preserve">                                                                                            </t>
  </si>
  <si>
    <t>2-1004</t>
  </si>
  <si>
    <t>SITE MANAGEMENT STAFF COSTS</t>
  </si>
  <si>
    <t>2-1005</t>
  </si>
  <si>
    <t>WHS MANAGEMENT STAFF COSTS</t>
  </si>
  <si>
    <t>2-1006</t>
  </si>
  <si>
    <t>QS MANAGEMENT STAFF COSTS</t>
  </si>
  <si>
    <t>2-1007</t>
  </si>
  <si>
    <t>DESIGN MANAGEMENT STAFF COSTS</t>
  </si>
  <si>
    <t>2-1008</t>
  </si>
  <si>
    <t>ENGINEERING MANAGEMENT STAFF COSTS</t>
  </si>
  <si>
    <t>2-1009</t>
  </si>
  <si>
    <t>PROCUREMENT MANAGEMENT STAFF COSTS</t>
  </si>
  <si>
    <t>3-1000</t>
  </si>
  <si>
    <t>TRAVEL AND ACCOMODATION</t>
  </si>
  <si>
    <t>3-1001</t>
  </si>
  <si>
    <t>CLIENT ENTERTAINMENT AND EXPENSES</t>
  </si>
  <si>
    <t xml:space="preserve">                                                                                                                                                                                                                                                                                                                                                                                                        </t>
  </si>
  <si>
    <t>3-1002</t>
  </si>
  <si>
    <t>SAMPLES</t>
  </si>
  <si>
    <t>3-1003</t>
  </si>
  <si>
    <t>3RD PARTY CONSULTANT</t>
  </si>
  <si>
    <t>3-1004</t>
  </si>
  <si>
    <t>PERSONAL PROTECTIVE EQUIPMENT</t>
  </si>
  <si>
    <t>3-1005</t>
  </si>
  <si>
    <t>COMPANY APPAREL</t>
  </si>
  <si>
    <t>3-1006</t>
  </si>
  <si>
    <t>SAFETY PENALTY AND CONTRIBUTIONS</t>
  </si>
  <si>
    <t>4-1000</t>
  </si>
  <si>
    <t>EXTERNAL DESIGN SUB-CONTRACTING</t>
  </si>
  <si>
    <t>4-1001</t>
  </si>
  <si>
    <t>EXTERNAL ENGINEER SUB-CONTRACTING</t>
  </si>
  <si>
    <t>5-1000</t>
  </si>
  <si>
    <t>ALUMINIUM MOULD / DIE DEVELOPMENT</t>
  </si>
  <si>
    <t>5-1001</t>
  </si>
  <si>
    <t>GASKET MOULD / DIE DEVELOPMENT</t>
  </si>
  <si>
    <t>5-1002</t>
  </si>
  <si>
    <t>GLASS</t>
  </si>
  <si>
    <t>5-1003</t>
  </si>
  <si>
    <t>STONE AND TERRACOTTA</t>
  </si>
  <si>
    <t>5-1004</t>
  </si>
  <si>
    <t>GASKETS AND VULCANISED GASKETS</t>
  </si>
  <si>
    <t>5-1005</t>
  </si>
  <si>
    <t>ALUMINIUM EXTRUSION</t>
  </si>
  <si>
    <t>5-1006</t>
  </si>
  <si>
    <t>CARBON STEEL PROFILES AND WELDED STRUCTURES</t>
  </si>
  <si>
    <t>5-1007</t>
  </si>
  <si>
    <t>STAINLESS STEEL PROFILES AND WELDED STRUCTURES</t>
  </si>
  <si>
    <t>5-1008</t>
  </si>
  <si>
    <t>ALUMINIUM PRESSWORKS</t>
  </si>
  <si>
    <t>5-1009</t>
  </si>
  <si>
    <t>STEEL PRESSWORKS</t>
  </si>
  <si>
    <t>5-1010</t>
  </si>
  <si>
    <t>STAINLESS STEEL PRESSWORKS</t>
  </si>
  <si>
    <t>5-1011</t>
  </si>
  <si>
    <t>INSULATION</t>
  </si>
  <si>
    <t>5-1012</t>
  </si>
  <si>
    <t>SMOKE FLASHINGS</t>
  </si>
  <si>
    <t>5-1013</t>
  </si>
  <si>
    <t>SILICONE AND SEALANTS</t>
  </si>
  <si>
    <t>5-1014</t>
  </si>
  <si>
    <t>WATERPROOFING MEMBRANES</t>
  </si>
  <si>
    <t>5-1015</t>
  </si>
  <si>
    <t>GLAZING CONSUMABLES AND DOUBLE SIDED TAPES</t>
  </si>
  <si>
    <t>5-1016</t>
  </si>
  <si>
    <t>SCREW FASTENERS AND METRIC SETSCREW / BOLTS AND ACCESSORIES</t>
  </si>
  <si>
    <t>5-1017</t>
  </si>
  <si>
    <t>CAST-IN AND SITE MASONRY ANCHORS</t>
  </si>
  <si>
    <t>5-1018</t>
  </si>
  <si>
    <t>MOTORS AND ACTUATORS FOR SITE INSTALL</t>
  </si>
  <si>
    <t>5-1019</t>
  </si>
  <si>
    <t>PAINTING / SURFACE TREATMENT</t>
  </si>
  <si>
    <t>5-1020</t>
  </si>
  <si>
    <t>COMPOSITE PANELS</t>
  </si>
  <si>
    <t>5-1021</t>
  </si>
  <si>
    <t>PLASTIC MATERIALS</t>
  </si>
  <si>
    <t>5-1022</t>
  </si>
  <si>
    <t>TIMBER AND SPECIALITY WOOD</t>
  </si>
  <si>
    <t>5-1023</t>
  </si>
  <si>
    <t>BLINDS, PELMETS AND SERVICE DUCT SKIRTING</t>
  </si>
  <si>
    <t>5-1024</t>
  </si>
  <si>
    <t>ARCHITECTURAL PROJECT LIGHTING</t>
  </si>
  <si>
    <t>5-1025</t>
  </si>
  <si>
    <t>ACCESSORIES</t>
  </si>
  <si>
    <t>5-1026</t>
  </si>
  <si>
    <t>OPERABLE HARDWARE</t>
  </si>
  <si>
    <t>6-1000</t>
  </si>
  <si>
    <t>SUPPLY ONLY CURTAINWALL PRODUCTION</t>
  </si>
  <si>
    <t>6-1001</t>
  </si>
  <si>
    <t>SUPPLY ONLY WINDOW PRODUCTION</t>
  </si>
  <si>
    <t>6-1002</t>
  </si>
  <si>
    <t>SUPPLY ONLY DOOR PRODUCTION</t>
  </si>
  <si>
    <t>Change to 4% for supply only.</t>
  </si>
  <si>
    <t>6-1003</t>
  </si>
  <si>
    <t>SUPPLY ONLY CLADDING PRODUCTION</t>
  </si>
  <si>
    <t>6-1004</t>
  </si>
  <si>
    <t>SUPPLY ONLY STEEL STRUCTURE PRODUCTION</t>
  </si>
  <si>
    <t>6-1005</t>
  </si>
  <si>
    <t xml:space="preserve">SUPPLY ONLY "OFF THE SHELF" PRODUCTION WORKS </t>
  </si>
  <si>
    <t>6-1006</t>
  </si>
  <si>
    <t xml:space="preserve">SUPPLY ONLY "CUSTOM" PRODUCTION WORKS </t>
  </si>
  <si>
    <t>7-1000</t>
  </si>
  <si>
    <t>SUPPLY AND INSTALL CURTAINWALL PRODUCTION</t>
  </si>
  <si>
    <t>7-1001</t>
  </si>
  <si>
    <t>SUPPLY AND INSTALL WINDOW PRODUCTION</t>
  </si>
  <si>
    <t>7-1002</t>
  </si>
  <si>
    <t>SUPPLY AND INSTALL DOOR PRODUCTION</t>
  </si>
  <si>
    <t>7-1003</t>
  </si>
  <si>
    <t>SUPPLY AND INSTALL CLADDING PRODUCTION</t>
  </si>
  <si>
    <t>7-1004</t>
  </si>
  <si>
    <t>SUPPLY AND INSTALL STEEL STRUCTURE PRODUCTION</t>
  </si>
  <si>
    <t>7-1005</t>
  </si>
  <si>
    <t xml:space="preserve">SUPPLY AND INSTALL "OFF THE SHELF" PRODUCTION WORKS </t>
  </si>
  <si>
    <t>7-1006</t>
  </si>
  <si>
    <t xml:space="preserve">SUPPLY AND INSTALL "CUSTOM" PRODUCTION WORKS </t>
  </si>
  <si>
    <t>8-1000</t>
  </si>
  <si>
    <t>FREIGHT FORWARDING PACKAGE</t>
  </si>
  <si>
    <t>8-1001</t>
  </si>
  <si>
    <t>LOCAL LOGISITICS TO SITE</t>
  </si>
  <si>
    <t>8-1002</t>
  </si>
  <si>
    <t>LOCAL STORAGE FACILITY</t>
  </si>
  <si>
    <t>8-1003</t>
  </si>
  <si>
    <t>CUSTOMS AND CLEARANCE</t>
  </si>
  <si>
    <t>9-1000</t>
  </si>
  <si>
    <t>SITE INSTALLATION SUBCONTRACTING</t>
  </si>
  <si>
    <t>9-1001</t>
  </si>
  <si>
    <t>SITE STORAGE EQUIPMENT HIRE</t>
  </si>
  <si>
    <t>9-1002</t>
  </si>
  <si>
    <t>SITE ACCESS EQUIPMENT HIRE</t>
  </si>
  <si>
    <t>9-1003</t>
  </si>
  <si>
    <t>SITE INSTALLATION LIFTING DEVICE HIRE</t>
  </si>
  <si>
    <t>9-1004</t>
  </si>
  <si>
    <t>SITE INSTALLATION TOOLS AND CONSUMABLES</t>
  </si>
  <si>
    <t>9-1005</t>
  </si>
  <si>
    <t>RUBBISH REMOVAL</t>
  </si>
  <si>
    <t>9-1006</t>
  </si>
  <si>
    <t>PROTECTION MATERIALS</t>
  </si>
  <si>
    <t>9-1007</t>
  </si>
  <si>
    <t>SITE OFFICES</t>
  </si>
  <si>
    <t>9-1008</t>
  </si>
  <si>
    <t>SITE SURVERY</t>
  </si>
  <si>
    <t>9-1009</t>
  </si>
  <si>
    <t>FINAL CLEAN</t>
  </si>
  <si>
    <t>9-1010</t>
  </si>
  <si>
    <t>SITE CONSUMABLE TOOLS</t>
  </si>
  <si>
    <t>MOCKUPS AND TESTING</t>
  </si>
  <si>
    <t>10-1000</t>
  </si>
  <si>
    <t>VISUAL MOCKUP</t>
  </si>
  <si>
    <t>10-1001</t>
  </si>
  <si>
    <t>PERFORMANCE MOCKUP</t>
  </si>
  <si>
    <t>10-1002</t>
  </si>
  <si>
    <t>THERMAL TESTING</t>
  </si>
  <si>
    <t>10-1003</t>
  </si>
  <si>
    <t>ACOUSTIC TESTING</t>
  </si>
  <si>
    <t>10-1004</t>
  </si>
  <si>
    <t>SITE WATER TEST</t>
  </si>
  <si>
    <t>10-1005</t>
  </si>
  <si>
    <t>IMPACT TESTING</t>
  </si>
  <si>
    <t>10-1006</t>
  </si>
  <si>
    <t>WELD TESTING</t>
  </si>
  <si>
    <t>10-1007</t>
  </si>
  <si>
    <t>SITE ANCHOR PULL OUT TESTING</t>
  </si>
  <si>
    <t>10-1008</t>
  </si>
  <si>
    <t>11-1000</t>
  </si>
  <si>
    <t>OVERHEAD STAFF COSTS</t>
  </si>
  <si>
    <t>11-1001</t>
  </si>
  <si>
    <t>FINANCE STAFF OVERHEAD COST</t>
  </si>
  <si>
    <t>11-1002</t>
  </si>
  <si>
    <t>FACILITIES AND RENT COSTS</t>
  </si>
  <si>
    <t>11-1003</t>
  </si>
  <si>
    <t>CAPITAL EXPENDITURE</t>
  </si>
  <si>
    <t>11-1004</t>
  </si>
  <si>
    <t>INVESTMENT EXPENDITURE</t>
  </si>
  <si>
    <t>11-1005</t>
  </si>
  <si>
    <t>BOND CAPITAL</t>
  </si>
  <si>
    <t>11-1006</t>
  </si>
  <si>
    <t>HEDGING COSTS</t>
  </si>
  <si>
    <t>11-1007</t>
  </si>
  <si>
    <t>LENDING FACILITY COSTS</t>
  </si>
  <si>
    <t>11-1008</t>
  </si>
  <si>
    <t>FOREX GAIN / LOSS</t>
  </si>
  <si>
    <t>11-1009</t>
  </si>
  <si>
    <t>LEGAL COSTS</t>
  </si>
  <si>
    <t>11-1010</t>
  </si>
  <si>
    <t>TAXES</t>
  </si>
  <si>
    <t>11-1011</t>
  </si>
  <si>
    <t>INSURANCES</t>
  </si>
  <si>
    <t>11-1012</t>
  </si>
  <si>
    <t>PROFESSIONAL INDEMNITY INSURANCE</t>
  </si>
  <si>
    <t>11-1013</t>
  </si>
  <si>
    <t>PUBLIC LIABILITY INSURANCE</t>
  </si>
  <si>
    <t>11-1014</t>
  </si>
  <si>
    <t>TRAVEL INSURANCE</t>
  </si>
  <si>
    <t>11-1015</t>
  </si>
  <si>
    <t>WORKERS COMPENSATION</t>
  </si>
  <si>
    <t>12-1000</t>
  </si>
  <si>
    <t>12-1001</t>
  </si>
  <si>
    <t>RECTIFICATION SITE COST PROVISIONS</t>
  </si>
  <si>
    <t>13-1000</t>
  </si>
  <si>
    <t>TENDER AND MARKETING STAFF COSTS</t>
  </si>
  <si>
    <t>13-1001</t>
  </si>
  <si>
    <t>13-1002</t>
  </si>
  <si>
    <t>CLIENT EXPENSES</t>
  </si>
  <si>
    <t>13-1003</t>
  </si>
  <si>
    <t>SAMPLES AND MOCKUPS</t>
  </si>
  <si>
    <t>13-1004</t>
  </si>
  <si>
    <t>COST CODE</t>
  </si>
  <si>
    <t>COST CODE DESCRIPTION</t>
  </si>
  <si>
    <t>WORKS COMMENCEMENT</t>
  </si>
  <si>
    <t>WORKS CEASE</t>
  </si>
  <si>
    <t>HOURLY RATE</t>
  </si>
  <si>
    <t>% HOUR ALLOCATION</t>
  </si>
  <si>
    <t>PROJECTED COST</t>
  </si>
  <si>
    <t>TENDER COSTINGS</t>
  </si>
  <si>
    <t>CRITERIA</t>
  </si>
  <si>
    <t>NOT REQUIRED</t>
  </si>
  <si>
    <t>PER HOUR</t>
  </si>
  <si>
    <t>Overseas</t>
  </si>
  <si>
    <t>DRAWING TURN AROUND</t>
  </si>
  <si>
    <t xml:space="preserve">FLOOR PLANS &amp; Bracket setout </t>
  </si>
  <si>
    <t>ELEVATIONS &amp; Cross Sections</t>
  </si>
  <si>
    <t>CONCRETE SETOUT PLANS</t>
  </si>
  <si>
    <t>GENERAL MATERIAL SHEETS</t>
  </si>
  <si>
    <t>DETAIL DRAWINGS</t>
  </si>
  <si>
    <t xml:space="preserve">EXTRAS - Workshops attendence </t>
  </si>
  <si>
    <t>Shop Drawings</t>
  </si>
  <si>
    <t xml:space="preserve">Contingency </t>
  </si>
  <si>
    <t>LUMP SUM</t>
  </si>
  <si>
    <t>SQM</t>
  </si>
  <si>
    <t>SQM INSTALL RATE</t>
  </si>
  <si>
    <t>based on aspire rates with some float.</t>
  </si>
  <si>
    <t>DELIVERY FEE</t>
  </si>
  <si>
    <t>scissor lift</t>
  </si>
  <si>
    <t>WEEKS ONSITE</t>
  </si>
  <si>
    <t>WEEK ALLOWANCE</t>
  </si>
  <si>
    <t>QTY</t>
  </si>
  <si>
    <t>COST</t>
  </si>
  <si>
    <t>TOTAL PANELS</t>
  </si>
  <si>
    <t>PALLET A PANELS - 0mm - 1100mm</t>
  </si>
  <si>
    <t>PALLET B PANELS - 1101mm - 1200mm</t>
  </si>
  <si>
    <t>PALLET C PANELS- 1201mm &gt;</t>
  </si>
  <si>
    <t>QTY OF PANELS PER PALLET</t>
  </si>
  <si>
    <t>PALLET A QTY</t>
  </si>
  <si>
    <t>PALLET B QTY</t>
  </si>
  <si>
    <t>PALLET C QTY</t>
  </si>
  <si>
    <t>REQUIRED</t>
  </si>
  <si>
    <t>OVERSEAS PROCUREMENT</t>
  </si>
  <si>
    <t>QUANTITY OF CONTAINERS</t>
  </si>
  <si>
    <t>CONTAINER RATE</t>
  </si>
  <si>
    <t>TRAVEL REQ</t>
  </si>
  <si>
    <t>For factory visits to KK and China</t>
  </si>
  <si>
    <t>TRIPS PER MONTH</t>
  </si>
  <si>
    <t>COST PER TRIP</t>
  </si>
  <si>
    <t>Consultant To view china production</t>
  </si>
  <si>
    <t>PRICE AT TIME OF TENDER</t>
  </si>
  <si>
    <t>QUOTATION OR ESTIMATE</t>
  </si>
  <si>
    <t>TOTAL TENDER COSTINGS</t>
  </si>
  <si>
    <t>PROCUREMENT LOCATION</t>
  </si>
  <si>
    <t>FOREX CURRENCY</t>
  </si>
  <si>
    <t>SUPPLIER QUOTATION</t>
  </si>
  <si>
    <t>AUD</t>
  </si>
  <si>
    <t>AUTO DOOR BOQ</t>
  </si>
  <si>
    <t>SQM OF GLASS</t>
  </si>
  <si>
    <t>GLASS RATE</t>
  </si>
  <si>
    <t>local suply veridian</t>
  </si>
  <si>
    <t>THICKNESS OF GLASS</t>
  </si>
  <si>
    <t>STANDARD ALLOWANCE</t>
  </si>
  <si>
    <t>$500 PER AUTO DOOR</t>
  </si>
  <si>
    <t>QTY OF BRACKETS</t>
  </si>
  <si>
    <t>BRACKET ALLOWANCE</t>
  </si>
  <si>
    <t>BRACKET RATE</t>
  </si>
  <si>
    <t>SQM OF PRESSWORKS</t>
  </si>
  <si>
    <t>PRESSWORK RATE</t>
  </si>
  <si>
    <t>THICKNESS OF PRESSWORK</t>
  </si>
  <si>
    <t>AUTO DOOR ACTUATOR QTY</t>
  </si>
  <si>
    <t>2 Auto Doors in total</t>
  </si>
  <si>
    <t>AUTO INGRESS QUOTE</t>
  </si>
  <si>
    <t>AUTO INGRESS PRICING</t>
  </si>
  <si>
    <t>EXTRA OVER ITEMS AND SAFETY SENSORS</t>
  </si>
  <si>
    <t>SQM OF AUTO DOOR</t>
  </si>
  <si>
    <t>INSTALL RATE</t>
  </si>
  <si>
    <t>Staff and office OH</t>
  </si>
  <si>
    <t xml:space="preserve">Administration processing </t>
  </si>
  <si>
    <t>NOTHING ALLOCATED FOR NOW</t>
  </si>
  <si>
    <t>PI/PL/ CM</t>
  </si>
  <si>
    <t>T1107</t>
  </si>
  <si>
    <t>Cost per Container</t>
  </si>
  <si>
    <t>MULTIPLEX</t>
  </si>
  <si>
    <t xml:space="preserve">Extra Cost for Vertical Packing </t>
  </si>
  <si>
    <t>COMPARISON</t>
  </si>
  <si>
    <t>Horizontal Packing</t>
  </si>
  <si>
    <t>Vertical Packing</t>
  </si>
  <si>
    <t>Container Required</t>
  </si>
  <si>
    <t>Sqm per Container</t>
  </si>
  <si>
    <t>Cost</t>
  </si>
  <si>
    <t>CODE</t>
  </si>
  <si>
    <t>QTY1</t>
  </si>
  <si>
    <t>UNIT1</t>
  </si>
  <si>
    <t>QTY2</t>
  </si>
  <si>
    <t>UNIT2</t>
  </si>
  <si>
    <t>RATE</t>
  </si>
  <si>
    <t>TOTAL</t>
  </si>
  <si>
    <t>EWS01 Unitised Curtain Wall System</t>
  </si>
  <si>
    <t>Fixed glazing - straight</t>
  </si>
  <si>
    <t>no.</t>
  </si>
  <si>
    <t>m2</t>
  </si>
  <si>
    <t>Shadow box</t>
  </si>
  <si>
    <t>Single Swing door</t>
  </si>
  <si>
    <t>3 panels stacking door</t>
  </si>
  <si>
    <t>12 panels stacking door</t>
  </si>
  <si>
    <t>Slider door</t>
  </si>
  <si>
    <t>Automatic Sliding door oxxo</t>
  </si>
  <si>
    <t>EWS02 fixed glazing system</t>
  </si>
  <si>
    <t>Fixed glazing - curved</t>
  </si>
  <si>
    <t>swing door</t>
  </si>
  <si>
    <t>EWS03 Replacement Window</t>
  </si>
  <si>
    <t>Double swing door</t>
  </si>
  <si>
    <t>Misc.</t>
  </si>
  <si>
    <t>Aluminium backpan @ curtain wall system</t>
  </si>
  <si>
    <t>Aluminium blade @ curtain wall system nominal width 160mm, nominal thickness 19mm</t>
  </si>
  <si>
    <t>lm.</t>
  </si>
  <si>
    <t>Aluminium louvre integraded</t>
  </si>
  <si>
    <t>SITE ITEMS</t>
  </si>
  <si>
    <t>Aluminium pressing cover plate</t>
  </si>
  <si>
    <t>Corner post</t>
  </si>
  <si>
    <t>lm</t>
  </si>
  <si>
    <t>Sealant and backing rod to subframing</t>
  </si>
  <si>
    <t>Bolts to subframing</t>
  </si>
  <si>
    <t>Decal</t>
  </si>
  <si>
    <t>Smoke Flashing</t>
  </si>
  <si>
    <t>Internal Sill</t>
  </si>
  <si>
    <t>Rockwool</t>
  </si>
  <si>
    <t>Cast-in Channel</t>
  </si>
  <si>
    <t>Total</t>
  </si>
  <si>
    <t>Code</t>
  </si>
  <si>
    <t>Base</t>
  </si>
  <si>
    <t>Job Sqm?</t>
  </si>
  <si>
    <t>Façade Type</t>
  </si>
  <si>
    <t>Description</t>
  </si>
  <si>
    <t>Sqm</t>
  </si>
  <si>
    <t>Cbm</t>
  </si>
  <si>
    <t>Count</t>
  </si>
  <si>
    <t>Lm</t>
  </si>
  <si>
    <t>Rate</t>
  </si>
  <si>
    <t>Unit</t>
  </si>
  <si>
    <t>Install Rate</t>
  </si>
  <si>
    <t>Install Unit</t>
  </si>
  <si>
    <t>Install Total</t>
  </si>
  <si>
    <t>Site Total</t>
  </si>
  <si>
    <t>O/H Total</t>
  </si>
  <si>
    <t>Margin Total</t>
  </si>
  <si>
    <t>Overall Total</t>
  </si>
  <si>
    <t>Price By</t>
  </si>
  <si>
    <t>Price Realibility</t>
  </si>
  <si>
    <t>TFG Comments</t>
  </si>
  <si>
    <t>Row Labels</t>
  </si>
  <si>
    <t>Sum of SQM TOTAL</t>
  </si>
  <si>
    <t>TFG</t>
  </si>
  <si>
    <t>PANEL</t>
  </si>
  <si>
    <t>(blank)</t>
  </si>
  <si>
    <t>ELEV</t>
  </si>
  <si>
    <t>INFILL</t>
  </si>
  <si>
    <t>F</t>
  </si>
  <si>
    <t>Grand Total</t>
  </si>
  <si>
    <t>40' HC Container Calculation Sheet - Horizontal Packing</t>
  </si>
  <si>
    <t>40' HC Container Qty Required</t>
  </si>
  <si>
    <t>SQM per Container</t>
  </si>
  <si>
    <t>TOTAL QTY</t>
  </si>
  <si>
    <t>Height
 ≤3000mm</t>
  </si>
  <si>
    <t>Height
3000mm - 4000mm</t>
  </si>
  <si>
    <t>Height
4000mm - 5000mm</t>
  </si>
  <si>
    <t>Height
5000mm - 6000mm</t>
  </si>
  <si>
    <t>Height
&gt;6000mm</t>
  </si>
  <si>
    <t xml:space="preserve">PALLET D PANELS
0mm-500mm </t>
  </si>
  <si>
    <t>PALLET A PANELS
501mm - 700mm</t>
  </si>
  <si>
    <t>PALLET B PANELS
701mm - 1100mm</t>
  </si>
  <si>
    <t>PALLET B PANELS
1101mm - 2300mm</t>
  </si>
  <si>
    <t xml:space="preserve">PALLET C PANELS
&gt;2301mm </t>
  </si>
  <si>
    <t>Frame Width (mm)</t>
  </si>
  <si>
    <t>Panel Gap (mm)</t>
  </si>
  <si>
    <t>Pallet Height (mm)</t>
  </si>
  <si>
    <t>Panels per Pallet</t>
  </si>
  <si>
    <t>Rows per Container</t>
  </si>
  <si>
    <t>Full Container Qty</t>
  </si>
  <si>
    <t>Pallet Left</t>
  </si>
  <si>
    <t>Row Left</t>
  </si>
  <si>
    <t>Container per Row</t>
  </si>
  <si>
    <t xml:space="preserve">Left Container </t>
  </si>
  <si>
    <t>Pack per Row Pallet Qty</t>
  </si>
  <si>
    <t>Check</t>
  </si>
  <si>
    <t>Glass</t>
  </si>
  <si>
    <t>mm pack</t>
  </si>
  <si>
    <t>pc glass / pack</t>
  </si>
  <si>
    <t>window units</t>
  </si>
  <si>
    <t>KK allowed</t>
  </si>
  <si>
    <t>rows</t>
  </si>
  <si>
    <t>sqm/container</t>
  </si>
  <si>
    <t>container for glass</t>
  </si>
  <si>
    <t>0001</t>
  </si>
  <si>
    <t>40' HC Container Calculation Sheet - Vertical Packing</t>
  </si>
  <si>
    <t>PALLET A PANELS
901mm - 1100mm</t>
  </si>
  <si>
    <t>PALLET B PANELS
1101mm - 1200mm</t>
  </si>
  <si>
    <t xml:space="preserve">PALLET C PANELS
&gt;1201mm </t>
  </si>
  <si>
    <t xml:space="preserve">PALLET D PANELS
0mm-900mm </t>
  </si>
  <si>
    <t>Pallet Width (mm)</t>
  </si>
  <si>
    <t>Façade Panel Gap (mm)</t>
  </si>
  <si>
    <t>4 Rows per Container</t>
  </si>
  <si>
    <t>3 Rows per Container</t>
  </si>
  <si>
    <t>2 Rows per Container</t>
  </si>
  <si>
    <t>Qty of panels fitted in each pallet</t>
  </si>
  <si>
    <t>A+B+C+D</t>
  </si>
  <si>
    <t>C+C+D+D</t>
  </si>
  <si>
    <t>B+B+A+A</t>
  </si>
  <si>
    <t>B+B+D+D</t>
  </si>
  <si>
    <t>A+A+A+A</t>
  </si>
  <si>
    <t>A+A+D+D</t>
  </si>
  <si>
    <t>D+D+D+D</t>
  </si>
  <si>
    <t>B+B</t>
  </si>
  <si>
    <t>C+C</t>
  </si>
  <si>
    <t>Left</t>
  </si>
  <si>
    <t>PALLET D QTY</t>
  </si>
  <si>
    <t>ADDITIONAL</t>
  </si>
  <si>
    <t>TENDER NOTES</t>
  </si>
  <si>
    <t>TYPE.</t>
  </si>
  <si>
    <t>QTY.</t>
  </si>
  <si>
    <t>SQM.</t>
  </si>
  <si>
    <t xml:space="preserve">1. </t>
  </si>
  <si>
    <t>Terracotta
M.RSC.H02</t>
  </si>
  <si>
    <t>Top Fixed Glazing
E-CF</t>
  </si>
  <si>
    <t>Fixed Glazing
E-GL1</t>
  </si>
  <si>
    <t>Bottom Fixed Glazing
E-CF</t>
  </si>
  <si>
    <t>FT-H01-W1</t>
  </si>
  <si>
    <t>MULTIPLIER</t>
  </si>
  <si>
    <t>LEVEL</t>
  </si>
  <si>
    <t>ELEVATION</t>
  </si>
  <si>
    <t>TAKEOFF REF</t>
  </si>
  <si>
    <t>LOCATION</t>
  </si>
  <si>
    <t xml:space="preserve">ACCOUSTIC </t>
  </si>
  <si>
    <t>UVAL</t>
  </si>
  <si>
    <t>SHGC</t>
  </si>
  <si>
    <t>MEASURE TYPE</t>
  </si>
  <si>
    <t>FAÇADE TYPE</t>
  </si>
  <si>
    <t>INFILL TYPE</t>
  </si>
  <si>
    <t>GLASS/FILLING</t>
  </si>
  <si>
    <t>HEIGHT (mm)</t>
  </si>
  <si>
    <t>WIDTH (mm)</t>
  </si>
  <si>
    <t>HEIGHT TOTAL (m)</t>
  </si>
  <si>
    <t>WIDTH TOTAL (m)</t>
  </si>
  <si>
    <t>PERIMETER TOTAL (m)</t>
  </si>
  <si>
    <t>QTY TOTAL</t>
  </si>
  <si>
    <t>SQM TOTAL</t>
  </si>
  <si>
    <t>CW01</t>
  </si>
  <si>
    <t>Office Area</t>
  </si>
  <si>
    <t>North</t>
  </si>
  <si>
    <t>LEVEL 1</t>
  </si>
  <si>
    <t>Ground</t>
  </si>
  <si>
    <t>office A</t>
  </si>
  <si>
    <t>F/F/F</t>
  </si>
  <si>
    <t>E-CF/E-GL1/E-CF</t>
  </si>
  <si>
    <t>E-CF</t>
  </si>
  <si>
    <t>E-GL1</t>
  </si>
  <si>
    <t>CW02</t>
  </si>
  <si>
    <t>CW03</t>
  </si>
  <si>
    <t>West</t>
  </si>
  <si>
    <t>East</t>
  </si>
  <si>
    <t>CW04</t>
  </si>
  <si>
    <t>CW05</t>
  </si>
  <si>
    <t>E-GL1/E-CF</t>
  </si>
  <si>
    <t xml:space="preserve">double sliding door </t>
  </si>
  <si>
    <t>CW06</t>
  </si>
  <si>
    <t>CW07</t>
  </si>
  <si>
    <t>CW08</t>
  </si>
  <si>
    <t>CW09</t>
  </si>
  <si>
    <t>South</t>
  </si>
  <si>
    <t>double swing door</t>
  </si>
  <si>
    <t>E-GL2</t>
  </si>
  <si>
    <t>Dock</t>
  </si>
  <si>
    <t>single swing door</t>
  </si>
  <si>
    <t>dD01</t>
  </si>
  <si>
    <t>dCW01</t>
  </si>
  <si>
    <t>dCW02</t>
  </si>
  <si>
    <t>dCW03</t>
  </si>
  <si>
    <t>dCW04</t>
  </si>
  <si>
    <t>dCW05</t>
  </si>
  <si>
    <t>bCW01</t>
  </si>
  <si>
    <t>decal</t>
  </si>
  <si>
    <t>bCW02</t>
  </si>
  <si>
    <t>bCW04</t>
  </si>
  <si>
    <t>bCW05</t>
  </si>
  <si>
    <t>bCW06</t>
  </si>
  <si>
    <t>bCW07</t>
  </si>
  <si>
    <t>bCW08</t>
  </si>
  <si>
    <t>bCW09</t>
  </si>
  <si>
    <t>base</t>
  </si>
  <si>
    <t>yes</t>
  </si>
  <si>
    <t>cw</t>
  </si>
  <si>
    <t>N/A</t>
  </si>
  <si>
    <t>/Sqm</t>
  </si>
  <si>
    <t>Kaskal</t>
  </si>
  <si>
    <t>CW</t>
  </si>
  <si>
    <t>/Count</t>
  </si>
  <si>
    <t>Included</t>
  </si>
  <si>
    <t>Panel bracket; 2 for each cast-in</t>
  </si>
  <si>
    <t>Acoustic insulating foam sealant</t>
  </si>
  <si>
    <t>/Lm</t>
  </si>
  <si>
    <t>DOUBLE SLIDING DOOR</t>
  </si>
  <si>
    <t>Smoke flashing</t>
  </si>
  <si>
    <t>ww</t>
  </si>
  <si>
    <t>F/F</t>
  </si>
  <si>
    <t>DOUBLE SLIDING DOOR PANEL</t>
  </si>
  <si>
    <t>WW</t>
  </si>
  <si>
    <t>100mm wide decal</t>
  </si>
  <si>
    <t>SINGLE HINGED DOOR</t>
  </si>
  <si>
    <t>Nom. 1200mm Wide Unitised Curtawin Wall Panel</t>
  </si>
  <si>
    <t>Automatic double sliding door - D01</t>
  </si>
  <si>
    <t>Double swing door - D02</t>
  </si>
  <si>
    <t>Column1</t>
  </si>
  <si>
    <t>bCW10</t>
  </si>
  <si>
    <t>bCW11</t>
  </si>
  <si>
    <t>bCW12</t>
  </si>
  <si>
    <t>bCW13</t>
  </si>
  <si>
    <t>bCW14</t>
  </si>
  <si>
    <t>E-GL3</t>
  </si>
  <si>
    <t>bCW16</t>
  </si>
  <si>
    <t>bCW15</t>
  </si>
  <si>
    <t xml:space="preserve">Nom. 1200mm Wide Windows </t>
  </si>
  <si>
    <t xml:space="preserve">Single hinged door </t>
  </si>
  <si>
    <t>Office B</t>
  </si>
  <si>
    <t>Minimum engineering cost as advised by N.B</t>
  </si>
  <si>
    <t>End of month</t>
  </si>
  <si>
    <t>Melbourne:</t>
  </si>
  <si>
    <t>+61 3 9611 6860</t>
  </si>
  <si>
    <t>EXW</t>
  </si>
  <si>
    <t>Cash on disbursement</t>
  </si>
  <si>
    <t xml:space="preserve">Yes </t>
  </si>
  <si>
    <t>End of quarter</t>
  </si>
  <si>
    <t xml:space="preserve">Sydney: </t>
  </si>
  <si>
    <t>+61 2 9513 8960</t>
  </si>
  <si>
    <t>FCA</t>
  </si>
  <si>
    <t>7 days from invoice</t>
  </si>
  <si>
    <t>No</t>
  </si>
  <si>
    <t>One Day from quotation date</t>
  </si>
  <si>
    <t xml:space="preserve">Brisbane: </t>
  </si>
  <si>
    <t>+61 7 3630 6166</t>
  </si>
  <si>
    <t>FAS</t>
  </si>
  <si>
    <t>14 days from invoice</t>
  </si>
  <si>
    <t>Five Days from quotation date</t>
  </si>
  <si>
    <t xml:space="preserve">Adelaide: </t>
  </si>
  <si>
    <t>+61 8 8244 2377</t>
  </si>
  <si>
    <t>FOB</t>
  </si>
  <si>
    <t xml:space="preserve">30 days from invoice </t>
  </si>
  <si>
    <t>10 Days from quotation date</t>
  </si>
  <si>
    <t xml:space="preserve">Fremantle: </t>
  </si>
  <si>
    <t>+61 8 9430 0650</t>
  </si>
  <si>
    <t>CFR</t>
  </si>
  <si>
    <t>30 days from end of month</t>
  </si>
  <si>
    <t>15 Days from quotation date</t>
  </si>
  <si>
    <t>Auckland:</t>
  </si>
  <si>
    <t>+64 9 9415 801</t>
  </si>
  <si>
    <t>CIF</t>
  </si>
  <si>
    <t>As per agency agreement</t>
  </si>
  <si>
    <t>20 Days from quotation date</t>
  </si>
  <si>
    <t xml:space="preserve">SEAFREIGHT FCL IMPORT QUOTATION </t>
  </si>
  <si>
    <t>CPT</t>
  </si>
  <si>
    <t xml:space="preserve">Other </t>
  </si>
  <si>
    <t>30 Days from quotation date</t>
  </si>
  <si>
    <t>CIP</t>
  </si>
  <si>
    <t>60 Days from quotation date</t>
  </si>
  <si>
    <t>Contact Person:</t>
  </si>
  <si>
    <t>Dale Liu</t>
  </si>
  <si>
    <t>From:</t>
  </si>
  <si>
    <t>Wesley Neilson</t>
  </si>
  <si>
    <t>DDU</t>
  </si>
  <si>
    <t>Three months from quotation date</t>
  </si>
  <si>
    <t xml:space="preserve">Company: </t>
  </si>
  <si>
    <t>Tilton Facades</t>
  </si>
  <si>
    <t>Date:</t>
  </si>
  <si>
    <t>DDP</t>
  </si>
  <si>
    <t>Six months from quotation date</t>
  </si>
  <si>
    <t>Clients Reference:</t>
  </si>
  <si>
    <t>Newcastle airport</t>
  </si>
  <si>
    <t xml:space="preserve">AAW Global Ref: </t>
  </si>
  <si>
    <t>WN17052303</t>
  </si>
  <si>
    <t>One year from quotation date</t>
  </si>
  <si>
    <t>Until further notice</t>
  </si>
  <si>
    <t>Your quotation is based on the following details:</t>
  </si>
  <si>
    <t>To be confirmed</t>
  </si>
  <si>
    <t>Origin Collection</t>
  </si>
  <si>
    <t>Samutprakarn</t>
  </si>
  <si>
    <t>Gross Cargo Weight</t>
  </si>
  <si>
    <t>25 x 40'</t>
  </si>
  <si>
    <t>To be advised</t>
  </si>
  <si>
    <t>Origin Port Of Load</t>
  </si>
  <si>
    <t>Bangkok</t>
  </si>
  <si>
    <t>Commodity</t>
  </si>
  <si>
    <t xml:space="preserve">Panels </t>
  </si>
  <si>
    <t>Australian Port Of Discharge</t>
  </si>
  <si>
    <t>Sydney</t>
  </si>
  <si>
    <t>Incoterm 2010</t>
  </si>
  <si>
    <t>Final Delivery</t>
  </si>
  <si>
    <t>Insurance Required</t>
  </si>
  <si>
    <t>Estimated Transit Time</t>
  </si>
  <si>
    <t>18-25 days</t>
  </si>
  <si>
    <t xml:space="preserve">Validity </t>
  </si>
  <si>
    <t>ROE</t>
  </si>
  <si>
    <t>USD</t>
  </si>
  <si>
    <t>Sail frequency</t>
  </si>
  <si>
    <t>Weekly</t>
  </si>
  <si>
    <t xml:space="preserve">SPECIAL INSTRUCTIONS </t>
  </si>
  <si>
    <t xml:space="preserve">Please note rates are subject to cargo packed in Stillages </t>
  </si>
  <si>
    <t>Please note rates are based on current estimates and are as accurate as possible given the time before the project takes place</t>
  </si>
  <si>
    <t>Rates allow for 1.5hr per trailer/container loading/unloading time thereafter AUD145 per hour or part thereof</t>
  </si>
  <si>
    <t>Rural Tailgate if required charged at AUD275+ fuel surcharge</t>
  </si>
  <si>
    <t>Containers collected over the weekend to avoid wharf storage will be charged Weekend Fee of AUD250.00 per container</t>
  </si>
  <si>
    <t>Via Weighbridge if required charged at AUD275 + fuel surcharge</t>
  </si>
  <si>
    <t>Dunnage disposal charged at AUD2.50 per kg</t>
  </si>
  <si>
    <t>Futile trip if required charged at AUD350</t>
  </si>
  <si>
    <t>ORIGIN LANDSIDE CHARGES</t>
  </si>
  <si>
    <t>All in rate Origin charges</t>
  </si>
  <si>
    <t>per container</t>
  </si>
  <si>
    <t>SUB TOTAL</t>
  </si>
  <si>
    <t>SEAFREIGHT</t>
  </si>
  <si>
    <t>40'</t>
  </si>
  <si>
    <t xml:space="preserve">Seafreight </t>
  </si>
  <si>
    <t>Per Ct</t>
  </si>
  <si>
    <t>IMO 2020</t>
  </si>
  <si>
    <t>(updated monthly)</t>
  </si>
  <si>
    <t>incl</t>
  </si>
  <si>
    <t>AUSTRALIAN LOCAL CHARGES</t>
  </si>
  <si>
    <t>Port Service Charge</t>
  </si>
  <si>
    <t>Shipping line Doc Fee</t>
  </si>
  <si>
    <t>Per BOL</t>
  </si>
  <si>
    <t>Delivery Order Fee</t>
  </si>
  <si>
    <t>CMR Fee</t>
  </si>
  <si>
    <t>Customs Entry</t>
  </si>
  <si>
    <t>Port infratsructure /Slot Booking</t>
  </si>
  <si>
    <t>Cartage back to warehouse</t>
  </si>
  <si>
    <t>per Ct</t>
  </si>
  <si>
    <t>pallet</t>
  </si>
  <si>
    <t>Lift on /Lift off</t>
  </si>
  <si>
    <t>per lift</t>
  </si>
  <si>
    <t>wks</t>
  </si>
  <si>
    <t>Container Unpack</t>
  </si>
  <si>
    <t>ADU</t>
  </si>
  <si>
    <t>Toll</t>
  </si>
  <si>
    <t>per CT</t>
  </si>
  <si>
    <t>Storage per week</t>
  </si>
  <si>
    <t>per stillage</t>
  </si>
  <si>
    <t xml:space="preserve">Handling out </t>
  </si>
  <si>
    <t>per Stillage</t>
  </si>
  <si>
    <t>Delivery cartage ( semi trailer)</t>
  </si>
  <si>
    <t>per truck</t>
  </si>
  <si>
    <t>Cartage Fuel Surcharge ( reviewed monthly)</t>
  </si>
  <si>
    <t>ESTIMATE TOTAL (EXCLUDING GST)</t>
  </si>
  <si>
    <t>CONDITIONS OF ESTIMATE:</t>
  </si>
  <si>
    <t xml:space="preserve">All business undertaken  is in accordance with our standard terms &amp; conditions. By accepting this quote you agree to be bound by our standard terms &amp; conditions </t>
  </si>
  <si>
    <r>
      <rPr>
        <i/>
        <sz val="11"/>
        <color theme="4" tint="-0.499984740745262"/>
        <rFont val="Calibri"/>
        <family val="2"/>
        <scheme val="minor"/>
      </rPr>
      <t>which are available at:</t>
    </r>
    <r>
      <rPr>
        <sz val="11"/>
        <color theme="4" tint="-0.499984740745262"/>
        <rFont val="Calibri"/>
        <family val="2"/>
        <scheme val="minor"/>
      </rPr>
      <t xml:space="preserve"> </t>
    </r>
    <r>
      <rPr>
        <b/>
        <sz val="11"/>
        <color theme="4" tint="-0.499984740745262"/>
        <rFont val="Calibri"/>
        <family val="2"/>
        <scheme val="minor"/>
      </rPr>
      <t xml:space="preserve">http://www.aawglobal.com.au/terms-and-conditions/ </t>
    </r>
    <r>
      <rPr>
        <sz val="11"/>
        <color theme="4" tint="-0.499984740745262"/>
        <rFont val="Calibri"/>
        <family val="2"/>
        <scheme val="minor"/>
      </rPr>
      <t xml:space="preserve">  </t>
    </r>
  </si>
  <si>
    <t>Note – Our Terms and Conditions have been updated and effective 1st September, 2019.</t>
  </si>
  <si>
    <t>All quotes are subject to GST and do not include any Duty or Quarantine costs. If applicable these will be passed on at cost</t>
  </si>
  <si>
    <t>All surcharges will be charged out VATOS (valid at time of shipment)</t>
  </si>
  <si>
    <t>Subject to CAF (currency adjustment factor) where applicable</t>
  </si>
  <si>
    <t>Rates of exchange are to be used as a guide only and are subject to fluctuation</t>
  </si>
  <si>
    <t>Door to Door Marine Insurance is not included unless specifically requested and indicated above</t>
  </si>
  <si>
    <t>Trucking rates may be subject to waiting time and may differ depending on delivery type</t>
  </si>
  <si>
    <t xml:space="preserve">All rates and conditions are subject to industry fluctuation with or without notice </t>
  </si>
  <si>
    <t xml:space="preserve">Rates quoted are for Non-Hazardous cargo of standard size, unless otherwise specified. Any additional costs for special handling requirements are excluded. </t>
  </si>
  <si>
    <t xml:space="preserve">All carriage undertaken, whether international or local, will be undertaken in accordance with the provisions of any bill of lading, waybill, air waybill or other </t>
  </si>
  <si>
    <t xml:space="preserve">transport document issued by us relating to that carriage. Further, the provisions of any legislative obligations imposed on a carrier including but not limited </t>
  </si>
  <si>
    <t xml:space="preserve">to, the Carriage of Goods by Sea Act 1991, or the Civil Aviation (Carriers" Liability) Act 1959, shall be applicable to that carriage and deemed to be </t>
  </si>
  <si>
    <t>incorporated into the terms and conditions of such carriage.</t>
  </si>
  <si>
    <t>Accepted By:</t>
  </si>
  <si>
    <t>Signature:</t>
  </si>
  <si>
    <t>Date</t>
  </si>
  <si>
    <t>16 trucks to site</t>
  </si>
  <si>
    <t>6 weeks of storage</t>
  </si>
  <si>
    <t>AAW's quote - sea freight increased to 1600USD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</si>
</sst>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0_ ;\-#,##0\ "/>
    <numFmt numFmtId="167" formatCode="0&quot; LM&quot;"/>
    <numFmt numFmtId="168" formatCode="0&quot; NO.&quot;"/>
    <numFmt numFmtId="169" formatCode="0&quot; M2&quot;"/>
    <numFmt numFmtId="170" formatCode="[$AUD]\ #,##0"/>
    <numFmt numFmtId="171" formatCode="0&quot; m2&quot;"/>
    <numFmt numFmtId="172" formatCode="_-* #,##0.00_-;[Red]\(#,##0.00\)_-;_-* &quot;-&quot;_-;_-@_-"/>
    <numFmt numFmtId="173" formatCode="_ [$¥-804]* #,##0.00_ ;_ [$¥-804]* \-#,##0.00_ ;_ [$¥-804]* &quot;-&quot;??_ ;_ @_ "/>
    <numFmt numFmtId="174" formatCode="[$-C09]dd\-mmm\-yy;@"/>
    <numFmt numFmtId="175" formatCode="_-* #,##0_-;\-* #,##0_-;_-* &quot;-&quot;??_-;_-@_-"/>
    <numFmt numFmtId="176" formatCode="0.0%"/>
    <numFmt numFmtId="177" formatCode="00%\ &quot;OF TOTAL COST&quot;"/>
    <numFmt numFmtId="178" formatCode="00\ &quot;DETAILS&quot;"/>
    <numFmt numFmtId="179" formatCode="&quot;$&quot;#,##0.00"/>
    <numFmt numFmtId="180" formatCode="#,##0.0000_ ;\-#,##0.0000\ "/>
    <numFmt numFmtId="181" formatCode="_-&quot;$&quot;* #,##0.0000_-;\-&quot;$&quot;* #,##0.0000_-;_-&quot;$&quot;* &quot;-&quot;????_-;_-@_-"/>
    <numFmt numFmtId="182" formatCode="&quot;$&quot;#,##0"/>
    <numFmt numFmtId="183" formatCode="&quot;Preparation - &quot;0&quot; months&quot;"/>
    <numFmt numFmtId="184" formatCode="&quot;Installation - &quot;0&quot; months&quot;"/>
    <numFmt numFmtId="185" formatCode="[$-F800]dddd\,\ mmmm\ dd\,\ yyyy"/>
    <numFmt numFmtId="186" formatCode="_ * #,##0.00_ ;_ * \-#,##0.00_ ;_ * &quot;-&quot;??_ ;_ @_ "/>
    <numFmt numFmtId="187" formatCode="&quot;R&quot;\ #,##0.00"/>
  </numFmts>
  <fonts count="66">
    <font>
      <sz val="11"/>
      <color theme="1"/>
      <name val="Calibri"/>
      <family val="2"/>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name val="Calibri"/>
      <family val="2"/>
      <scheme val="minor"/>
    </font>
    <font>
      <sz val="11"/>
      <name val="Calibri"/>
      <family val="2"/>
      <scheme val="minor"/>
    </font>
    <font>
      <sz val="11"/>
      <color theme="1"/>
      <name val="Calibri"/>
      <family val="2"/>
      <charset val="134"/>
      <scheme val="minor"/>
    </font>
    <font>
      <sz val="10"/>
      <name val="Calibri"/>
      <family val="2"/>
      <scheme val="minor"/>
    </font>
    <font>
      <b/>
      <sz val="10"/>
      <color indexed="8"/>
      <name val="Calibri"/>
      <family val="2"/>
      <scheme val="minor"/>
    </font>
    <font>
      <b/>
      <sz val="10"/>
      <color theme="1"/>
      <name val="Calibri"/>
      <family val="2"/>
      <scheme val="minor"/>
    </font>
    <font>
      <sz val="11"/>
      <color indexed="8"/>
      <name val="Calibri"/>
      <family val="2"/>
      <scheme val="minor"/>
    </font>
    <font>
      <sz val="10"/>
      <color indexed="8"/>
      <name val="Calibri"/>
      <family val="2"/>
      <scheme val="minor"/>
    </font>
    <font>
      <b/>
      <sz val="10"/>
      <color rgb="FFFF0000"/>
      <name val="Calibri"/>
      <family val="2"/>
      <scheme val="minor"/>
    </font>
    <font>
      <b/>
      <sz val="22"/>
      <color theme="1"/>
      <name val="Calibri"/>
      <family val="2"/>
      <scheme val="minor"/>
    </font>
    <font>
      <sz val="8"/>
      <name val="Calibri"/>
      <family val="2"/>
      <charset val="134"/>
      <scheme val="minor"/>
    </font>
    <font>
      <sz val="11"/>
      <color rgb="FFFF0000"/>
      <name val="Calibri"/>
      <family val="2"/>
      <charset val="134"/>
      <scheme val="minor"/>
    </font>
    <font>
      <b/>
      <sz val="10"/>
      <color theme="0"/>
      <name val="Calibri"/>
      <family val="2"/>
      <scheme val="minor"/>
    </font>
    <font>
      <b/>
      <sz val="10"/>
      <name val="Calibri"/>
      <family val="2"/>
      <scheme val="minor"/>
    </font>
    <font>
      <sz val="10"/>
      <name val="Times New Roman"/>
      <family val="1"/>
    </font>
    <font>
      <sz val="10"/>
      <color theme="0"/>
      <name val="Calibri"/>
      <family val="2"/>
      <scheme val="minor"/>
    </font>
    <font>
      <b/>
      <sz val="10"/>
      <color indexed="8"/>
      <name val="Arial"/>
      <family val="2"/>
    </font>
    <font>
      <sz val="10"/>
      <color indexed="8"/>
      <name val="Arial"/>
      <family val="2"/>
    </font>
    <font>
      <sz val="12"/>
      <color theme="1"/>
      <name val="Calibri"/>
      <family val="2"/>
      <scheme val="minor"/>
    </font>
    <font>
      <sz val="10"/>
      <color theme="1"/>
      <name val="Arial"/>
      <family val="2"/>
    </font>
    <font>
      <sz val="10"/>
      <color theme="1"/>
      <name val="Calibri"/>
      <family val="2"/>
      <scheme val="minor"/>
    </font>
    <font>
      <sz val="10"/>
      <color theme="1"/>
      <name val="Calibri"/>
      <family val="2"/>
      <charset val="134"/>
      <scheme val="minor"/>
    </font>
    <font>
      <u/>
      <sz val="11"/>
      <color theme="10"/>
      <name val="Calibri"/>
      <family val="2"/>
      <charset val="134"/>
      <scheme val="minor"/>
    </font>
    <font>
      <b/>
      <sz val="12"/>
      <name val="Calibri"/>
      <family val="2"/>
      <scheme val="minor"/>
    </font>
    <font>
      <sz val="10"/>
      <color rgb="FF000000"/>
      <name val="Times New Roman"/>
      <family val="1"/>
    </font>
    <font>
      <b/>
      <u/>
      <sz val="11"/>
      <color theme="1"/>
      <name val="Calibri"/>
      <family val="2"/>
      <scheme val="minor"/>
    </font>
    <font>
      <sz val="9"/>
      <color indexed="81"/>
      <name val="Tahoma"/>
      <family val="2"/>
    </font>
    <font>
      <b/>
      <sz val="9"/>
      <color indexed="81"/>
      <name val="Tahoma"/>
      <family val="2"/>
    </font>
    <font>
      <sz val="10"/>
      <color rgb="FF000000"/>
      <name val="Times New Roman"/>
      <family val="1"/>
    </font>
    <font>
      <sz val="11"/>
      <color indexed="8"/>
      <name val="Calibri"/>
      <family val="2"/>
    </font>
    <font>
      <sz val="11"/>
      <name val="Calibri"/>
      <family val="2"/>
      <charset val="134"/>
      <scheme val="minor"/>
    </font>
    <font>
      <sz val="10"/>
      <color rgb="FF000000"/>
      <name val="Times New Roman"/>
      <family val="1"/>
    </font>
    <font>
      <sz val="11"/>
      <color theme="1"/>
      <name val="Century Gothic"/>
      <family val="2"/>
    </font>
    <font>
      <b/>
      <sz val="10"/>
      <color theme="1"/>
      <name val="Calibri"/>
      <family val="2"/>
      <charset val="134"/>
      <scheme val="minor"/>
    </font>
    <font>
      <sz val="10"/>
      <color indexed="8"/>
      <name val="Calibri"/>
      <family val="2"/>
      <charset val="134"/>
      <scheme val="minor"/>
    </font>
    <font>
      <sz val="11"/>
      <color rgb="FF000000"/>
      <name val="Calibri"/>
      <family val="2"/>
    </font>
    <font>
      <sz val="11"/>
      <color rgb="FF000000"/>
      <name val="Calibri"/>
      <family val="2"/>
      <scheme val="minor"/>
    </font>
    <font>
      <b/>
      <sz val="10"/>
      <color rgb="FF7030A0"/>
      <name val="Calibri"/>
      <family val="2"/>
      <scheme val="minor"/>
    </font>
    <font>
      <b/>
      <sz val="11"/>
      <color theme="4" tint="-0.499984740745262"/>
      <name val="Calibri"/>
      <family val="2"/>
      <scheme val="minor"/>
    </font>
    <font>
      <b/>
      <i/>
      <sz val="12"/>
      <name val="Calibri"/>
      <family val="2"/>
      <scheme val="minor"/>
    </font>
    <font>
      <b/>
      <sz val="14"/>
      <color theme="0"/>
      <name val="Calibri"/>
      <family val="2"/>
      <scheme val="minor"/>
    </font>
    <font>
      <b/>
      <sz val="14"/>
      <color theme="4" tint="0.79998168889431442"/>
      <name val="Calibri"/>
      <family val="2"/>
      <scheme val="minor"/>
    </font>
    <font>
      <b/>
      <u/>
      <sz val="16"/>
      <name val="Calibri"/>
      <family val="2"/>
      <scheme val="minor"/>
    </font>
    <font>
      <sz val="12"/>
      <name val="Calibri"/>
      <family val="2"/>
      <scheme val="minor"/>
    </font>
    <font>
      <sz val="12"/>
      <color theme="4" tint="-0.499984740745262"/>
      <name val="Calibri"/>
      <family val="2"/>
      <scheme val="minor"/>
    </font>
    <font>
      <sz val="12"/>
      <color theme="3" tint="-0.249977111117893"/>
      <name val="Calibri"/>
      <family val="2"/>
      <scheme val="minor"/>
    </font>
    <font>
      <b/>
      <sz val="12"/>
      <color theme="0"/>
      <name val="Calibri"/>
      <family val="2"/>
      <scheme val="minor"/>
    </font>
    <font>
      <b/>
      <u/>
      <sz val="12"/>
      <color theme="4" tint="-0.499984740745262"/>
      <name val="Calibri"/>
      <family val="2"/>
      <scheme val="minor"/>
    </font>
    <font>
      <b/>
      <sz val="12"/>
      <color theme="4" tint="-0.499984740745262"/>
      <name val="Calibri"/>
      <family val="2"/>
      <scheme val="minor"/>
    </font>
    <font>
      <sz val="12"/>
      <color rgb="FFFF0000"/>
      <name val="Calibri"/>
      <family val="2"/>
      <scheme val="minor"/>
    </font>
    <font>
      <sz val="12"/>
      <color theme="0"/>
      <name val="Calibri"/>
      <family val="2"/>
      <scheme val="minor"/>
    </font>
    <font>
      <sz val="11"/>
      <color theme="4" tint="-0.499984740745262"/>
      <name val="Calibri"/>
      <family val="2"/>
      <scheme val="minor"/>
    </font>
    <font>
      <i/>
      <sz val="11"/>
      <color theme="4" tint="-0.499984740745262"/>
      <name val="Calibri"/>
      <family val="2"/>
      <scheme val="minor"/>
    </font>
    <font>
      <sz val="10"/>
      <color theme="4" tint="-0.499984740745262"/>
      <name val="Calibri"/>
      <family val="2"/>
      <scheme val="minor"/>
    </font>
  </fonts>
  <fills count="17">
    <fill>
      <patternFill patternType="none"/>
    </fill>
    <fill>
      <patternFill patternType="gray125"/>
    </fill>
    <fill>
      <patternFill patternType="solid">
        <fgColor theme="0" tint="-0.49998474074526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C000"/>
        <bgColor indexed="64"/>
      </patternFill>
    </fill>
    <fill>
      <patternFill patternType="solid">
        <fgColor rgb="FFE2EFDA"/>
        <bgColor rgb="FF000000"/>
      </patternFill>
    </fill>
    <fill>
      <patternFill patternType="solid">
        <fgColor indexed="9"/>
        <bgColor indexed="64"/>
      </patternFill>
    </fill>
    <fill>
      <patternFill patternType="solid">
        <fgColor theme="3" tint="-0.249977111117893"/>
        <bgColor indexed="64"/>
      </patternFill>
    </fill>
    <fill>
      <patternFill patternType="solid">
        <fgColor theme="4" tint="0.7999816888943144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000000"/>
      </left>
      <right style="thin">
        <color indexed="64"/>
      </right>
      <top style="thin">
        <color rgb="FF000000"/>
      </top>
      <bottom style="thin">
        <color indexed="64"/>
      </bottom>
      <diagonal/>
    </border>
    <border>
      <left style="thick">
        <color indexed="64"/>
      </left>
      <right style="thick">
        <color indexed="64"/>
      </right>
      <top style="thick">
        <color indexed="64"/>
      </top>
      <bottom style="thin">
        <color indexed="64"/>
      </bottom>
      <diagonal/>
    </border>
    <border>
      <left style="thin">
        <color indexed="64"/>
      </left>
      <right style="thin">
        <color indexed="64"/>
      </right>
      <top style="thin">
        <color rgb="FF000000"/>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auto="1"/>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thin">
        <color indexed="64"/>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0"/>
      </left>
      <right/>
      <top/>
      <bottom style="thin">
        <color theme="0"/>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thin">
        <color theme="4" tint="-0.499984740745262"/>
      </top>
      <bottom/>
      <diagonal/>
    </border>
    <border>
      <left/>
      <right/>
      <top style="thin">
        <color theme="4" tint="-0.499984740745262"/>
      </top>
      <bottom/>
      <diagonal/>
    </border>
    <border>
      <left/>
      <right style="medium">
        <color theme="4" tint="-0.499984740745262"/>
      </right>
      <top style="thin">
        <color theme="4" tint="-0.499984740745262"/>
      </top>
      <bottom/>
      <diagonal/>
    </border>
    <border>
      <left style="medium">
        <color theme="4" tint="-0.499984740745262"/>
      </left>
      <right/>
      <top style="thin">
        <color theme="0"/>
      </top>
      <bottom style="thin">
        <color theme="0"/>
      </bottom>
      <diagonal/>
    </border>
    <border>
      <left/>
      <right style="medium">
        <color theme="4" tint="-0.499984740745262"/>
      </right>
      <top style="thin">
        <color theme="0"/>
      </top>
      <bottom style="thin">
        <color theme="0"/>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thin">
        <color theme="3" tint="-0.24994659260841701"/>
      </left>
      <right/>
      <top style="thin">
        <color theme="3" tint="-0.24994659260841701"/>
      </top>
      <bottom style="thin">
        <color theme="3" tint="-0.2499465926084170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5">
    <xf numFmtId="0" fontId="0" fillId="0" borderId="0">
      <alignment vertical="center"/>
    </xf>
    <xf numFmtId="165" fontId="14" fillId="0" borderId="0" applyFont="0" applyFill="0" applyBorder="0" applyAlignment="0" applyProtection="0">
      <alignment vertical="center"/>
    </xf>
    <xf numFmtId="0" fontId="11" fillId="0" borderId="0">
      <alignment vertical="center"/>
    </xf>
    <xf numFmtId="0" fontId="11" fillId="0" borderId="0"/>
    <xf numFmtId="0" fontId="8" fillId="0" borderId="0"/>
    <xf numFmtId="0" fontId="7" fillId="0" borderId="0"/>
    <xf numFmtId="44" fontId="14" fillId="0" borderId="0" applyFont="0" applyFill="0" applyBorder="0" applyAlignment="0" applyProtection="0"/>
    <xf numFmtId="0" fontId="26" fillId="0" borderId="0"/>
    <xf numFmtId="9" fontId="14" fillId="0" borderId="0" applyFont="0" applyFill="0" applyBorder="0" applyAlignment="0" applyProtection="0">
      <alignment vertical="center"/>
    </xf>
    <xf numFmtId="0" fontId="30" fillId="0" borderId="0"/>
    <xf numFmtId="0" fontId="34" fillId="0" borderId="0" applyNumberFormat="0" applyFill="0" applyBorder="0" applyAlignment="0" applyProtection="0">
      <alignment vertical="center"/>
    </xf>
    <xf numFmtId="0" fontId="36" fillId="0" borderId="0"/>
    <xf numFmtId="0" fontId="40" fillId="0" borderId="0"/>
    <xf numFmtId="0" fontId="41" fillId="0" borderId="0"/>
    <xf numFmtId="165" fontId="18" fillId="0" borderId="0" applyFont="0" applyFill="0" applyBorder="0" applyAlignment="0" applyProtection="0">
      <alignment vertical="center"/>
    </xf>
    <xf numFmtId="0" fontId="6" fillId="0" borderId="0"/>
    <xf numFmtId="164" fontId="6" fillId="0" borderId="0" applyFont="0" applyFill="0" applyBorder="0" applyAlignment="0" applyProtection="0"/>
    <xf numFmtId="0" fontId="43" fillId="0" borderId="0"/>
    <xf numFmtId="0" fontId="44" fillId="0" borderId="0"/>
    <xf numFmtId="164" fontId="44" fillId="0" borderId="0" applyFont="0" applyFill="0" applyBorder="0" applyAlignment="0" applyProtection="0"/>
    <xf numFmtId="9" fontId="44" fillId="0" borderId="0" applyFont="0" applyFill="0" applyBorder="0" applyAlignment="0" applyProtection="0"/>
    <xf numFmtId="43" fontId="44" fillId="0" borderId="0" applyFont="0" applyFill="0" applyBorder="0" applyAlignment="0" applyProtection="0"/>
    <xf numFmtId="0" fontId="5" fillId="0" borderId="0"/>
    <xf numFmtId="0" fontId="1" fillId="0" borderId="0"/>
    <xf numFmtId="186" fontId="1" fillId="0" borderId="0" applyFont="0" applyFill="0" applyBorder="0" applyAlignment="0" applyProtection="0"/>
  </cellStyleXfs>
  <cellXfs count="503">
    <xf numFmtId="0" fontId="0" fillId="0" borderId="0" xfId="0">
      <alignment vertical="center"/>
    </xf>
    <xf numFmtId="0" fontId="13" fillId="4" borderId="0" xfId="3" applyFont="1" applyFill="1" applyAlignment="1">
      <alignment vertical="top"/>
    </xf>
    <xf numFmtId="49" fontId="13" fillId="4" borderId="0" xfId="3" applyNumberFormat="1" applyFont="1" applyFill="1" applyAlignment="1">
      <alignment vertical="top"/>
    </xf>
    <xf numFmtId="0" fontId="15" fillId="4" borderId="0" xfId="3" applyFont="1" applyFill="1" applyAlignment="1">
      <alignment vertical="top"/>
    </xf>
    <xf numFmtId="0" fontId="15" fillId="4" borderId="0" xfId="3" applyFont="1" applyFill="1" applyAlignment="1">
      <alignment horizontal="left" vertical="top" wrapText="1"/>
    </xf>
    <xf numFmtId="1" fontId="16" fillId="5" borderId="12" xfId="0" applyNumberFormat="1" applyFont="1" applyFill="1" applyBorder="1" applyAlignment="1" applyProtection="1">
      <alignment horizontal="center" vertical="center" wrapText="1"/>
      <protection locked="0"/>
    </xf>
    <xf numFmtId="0" fontId="16" fillId="5" borderId="13" xfId="0" applyFont="1" applyFill="1" applyBorder="1" applyAlignment="1" applyProtection="1">
      <alignment horizontal="center" vertical="center" wrapText="1"/>
      <protection locked="0"/>
    </xf>
    <xf numFmtId="49" fontId="16" fillId="5" borderId="13" xfId="0" applyNumberFormat="1" applyFont="1" applyFill="1" applyBorder="1" applyAlignment="1" applyProtection="1">
      <alignment horizontal="center" vertical="center" wrapText="1"/>
      <protection locked="0"/>
    </xf>
    <xf numFmtId="0" fontId="17" fillId="5" borderId="13" xfId="0" applyFont="1" applyFill="1" applyBorder="1" applyAlignment="1" applyProtection="1">
      <alignment horizontal="center" vertical="center" wrapText="1"/>
      <protection locked="0"/>
    </xf>
    <xf numFmtId="2" fontId="18" fillId="7" borderId="1" xfId="1" applyNumberFormat="1" applyFont="1" applyFill="1" applyBorder="1" applyAlignment="1" applyProtection="1">
      <alignment horizontal="center" vertical="center" wrapText="1"/>
    </xf>
    <xf numFmtId="1" fontId="16" fillId="5" borderId="14" xfId="0" applyNumberFormat="1" applyFont="1" applyFill="1" applyBorder="1" applyAlignment="1" applyProtection="1">
      <alignment horizontal="center" vertical="center" wrapText="1"/>
      <protection locked="0"/>
    </xf>
    <xf numFmtId="0" fontId="0" fillId="0" borderId="1" xfId="0" applyBorder="1" applyAlignment="1">
      <alignment horizontal="right" vertical="center"/>
    </xf>
    <xf numFmtId="0" fontId="16" fillId="5" borderId="16" xfId="0" applyFont="1" applyFill="1" applyBorder="1" applyAlignment="1" applyProtection="1">
      <alignment horizontal="center" vertical="center" wrapText="1"/>
      <protection locked="0"/>
    </xf>
    <xf numFmtId="49" fontId="16" fillId="5" borderId="16" xfId="0" applyNumberFormat="1" applyFont="1" applyFill="1" applyBorder="1" applyAlignment="1" applyProtection="1">
      <alignment horizontal="center" vertical="center" wrapText="1"/>
      <protection locked="0"/>
    </xf>
    <xf numFmtId="1" fontId="0" fillId="0" borderId="0" xfId="0" applyNumberFormat="1">
      <alignment vertical="center"/>
    </xf>
    <xf numFmtId="49" fontId="0" fillId="0" borderId="1" xfId="0" applyNumberFormat="1" applyBorder="1" applyAlignment="1">
      <alignment horizontal="left" vertical="center"/>
    </xf>
    <xf numFmtId="1" fontId="0" fillId="0" borderId="1" xfId="0" applyNumberFormat="1" applyBorder="1">
      <alignment vertical="center"/>
    </xf>
    <xf numFmtId="1" fontId="16" fillId="8" borderId="1" xfId="4" applyNumberFormat="1" applyFont="1" applyFill="1" applyBorder="1" applyAlignment="1">
      <alignment horizontal="right" vertical="center" wrapText="1"/>
    </xf>
    <xf numFmtId="1" fontId="10" fillId="8" borderId="1" xfId="0" applyNumberFormat="1" applyFont="1" applyFill="1" applyBorder="1">
      <alignment vertical="center"/>
    </xf>
    <xf numFmtId="1" fontId="0" fillId="8" borderId="1" xfId="0" applyNumberFormat="1" applyFill="1" applyBorder="1">
      <alignment vertical="center"/>
    </xf>
    <xf numFmtId="1" fontId="16" fillId="0" borderId="1" xfId="4" applyNumberFormat="1" applyFont="1" applyBorder="1" applyAlignment="1">
      <alignment horizontal="right" vertical="center" wrapText="1"/>
    </xf>
    <xf numFmtId="1" fontId="19" fillId="0" borderId="1" xfId="1" applyNumberFormat="1" applyFont="1" applyFill="1" applyBorder="1" applyAlignment="1" applyProtection="1">
      <alignment horizontal="center" vertical="center" wrapText="1"/>
    </xf>
    <xf numFmtId="1" fontId="19" fillId="8" borderId="1" xfId="1" applyNumberFormat="1" applyFont="1" applyFill="1" applyBorder="1" applyAlignment="1" applyProtection="1">
      <alignment horizontal="center" vertical="center" wrapText="1"/>
    </xf>
    <xf numFmtId="1" fontId="0" fillId="0" borderId="0" xfId="0" applyNumberFormat="1" applyAlignment="1">
      <alignment vertical="center" wrapText="1"/>
    </xf>
    <xf numFmtId="1" fontId="0" fillId="8" borderId="1" xfId="0" applyNumberFormat="1" applyFill="1" applyBorder="1" applyAlignment="1">
      <alignment vertical="center" wrapText="1"/>
    </xf>
    <xf numFmtId="1" fontId="20" fillId="8" borderId="1" xfId="4" applyNumberFormat="1" applyFont="1" applyFill="1" applyBorder="1" applyAlignment="1">
      <alignment horizontal="right" vertical="center" wrapText="1"/>
    </xf>
    <xf numFmtId="1" fontId="21" fillId="0" borderId="0" xfId="0" applyNumberFormat="1" applyFont="1">
      <alignment vertical="center"/>
    </xf>
    <xf numFmtId="0" fontId="0" fillId="0" borderId="1" xfId="0" applyBorder="1" applyAlignment="1">
      <alignment vertical="center" wrapText="1"/>
    </xf>
    <xf numFmtId="0" fontId="0" fillId="0" borderId="0" xfId="0" applyAlignment="1">
      <alignment horizontal="center" vertical="center" wrapText="1"/>
    </xf>
    <xf numFmtId="0" fontId="0" fillId="0" borderId="0" xfId="0" applyAlignment="1">
      <alignment horizontal="right" vertical="center"/>
    </xf>
    <xf numFmtId="2" fontId="13" fillId="7" borderId="1" xfId="3" applyNumberFormat="1" applyFont="1" applyFill="1" applyBorder="1" applyAlignment="1">
      <alignment horizontal="center" vertical="center"/>
    </xf>
    <xf numFmtId="0" fontId="0" fillId="5" borderId="1" xfId="0" applyFill="1" applyBorder="1" applyAlignment="1">
      <alignment vertical="center" wrapText="1"/>
    </xf>
    <xf numFmtId="0" fontId="12" fillId="0" borderId="0" xfId="3" applyFont="1" applyAlignment="1">
      <alignment vertical="top" wrapText="1"/>
    </xf>
    <xf numFmtId="167" fontId="9" fillId="2" borderId="13" xfId="1" applyNumberFormat="1" applyFont="1" applyFill="1" applyBorder="1" applyAlignment="1" applyProtection="1">
      <alignment horizontal="right" vertical="center" wrapText="1"/>
    </xf>
    <xf numFmtId="168" fontId="9" fillId="2" borderId="13" xfId="1" applyNumberFormat="1" applyFont="1" applyFill="1" applyBorder="1" applyAlignment="1" applyProtection="1">
      <alignment horizontal="right" vertical="center" wrapText="1"/>
    </xf>
    <xf numFmtId="169" fontId="9" fillId="2" borderId="13" xfId="1" applyNumberFormat="1" applyFont="1" applyFill="1" applyBorder="1" applyAlignment="1" applyProtection="1">
      <alignment horizontal="right" vertical="center" wrapText="1"/>
    </xf>
    <xf numFmtId="2" fontId="16" fillId="6" borderId="13" xfId="0" applyNumberFormat="1" applyFont="1" applyFill="1" applyBorder="1" applyAlignment="1">
      <alignment horizontal="center" vertical="center" wrapText="1"/>
    </xf>
    <xf numFmtId="0" fontId="0" fillId="0" borderId="19" xfId="0"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indent="1"/>
    </xf>
    <xf numFmtId="1" fontId="10" fillId="0" borderId="0" xfId="0" applyNumberFormat="1" applyFont="1">
      <alignment vertical="center"/>
    </xf>
    <xf numFmtId="2" fontId="0" fillId="8" borderId="1" xfId="0" applyNumberFormat="1" applyFill="1" applyBorder="1">
      <alignment vertical="center"/>
    </xf>
    <xf numFmtId="2" fontId="0" fillId="0" borderId="0" xfId="0" applyNumberFormat="1">
      <alignment vertical="center"/>
    </xf>
    <xf numFmtId="0" fontId="0" fillId="0" borderId="0" xfId="0" applyAlignment="1">
      <alignment vertical="center" wrapText="1"/>
    </xf>
    <xf numFmtId="9" fontId="0" fillId="0" borderId="1" xfId="0" applyNumberFormat="1" applyBorder="1">
      <alignment vertical="center"/>
    </xf>
    <xf numFmtId="170" fontId="0" fillId="0" borderId="1" xfId="0" applyNumberFormat="1" applyBorder="1">
      <alignment vertical="center"/>
    </xf>
    <xf numFmtId="0" fontId="0" fillId="0" borderId="15"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24" fillId="2" borderId="1" xfId="2" applyFont="1" applyFill="1" applyBorder="1">
      <alignment vertical="center"/>
    </xf>
    <xf numFmtId="17" fontId="25" fillId="3" borderId="1" xfId="3" applyNumberFormat="1" applyFont="1" applyFill="1" applyBorder="1" applyAlignment="1" applyProtection="1">
      <alignment vertical="top"/>
      <protection locked="0"/>
    </xf>
    <xf numFmtId="164" fontId="15" fillId="0" borderId="0" xfId="3" applyNumberFormat="1" applyFont="1" applyAlignment="1">
      <alignment horizontal="left" vertical="top" wrapText="1"/>
    </xf>
    <xf numFmtId="0" fontId="24" fillId="2" borderId="1" xfId="2" applyFont="1" applyFill="1" applyBorder="1" applyAlignment="1">
      <alignment horizontal="center" vertical="center"/>
    </xf>
    <xf numFmtId="172" fontId="16" fillId="0" borderId="0" xfId="3" applyNumberFormat="1" applyFont="1" applyAlignment="1">
      <alignment horizontal="left" vertical="top" wrapText="1"/>
    </xf>
    <xf numFmtId="0" fontId="16" fillId="0" borderId="0" xfId="3" applyFont="1" applyAlignment="1">
      <alignment vertical="top"/>
    </xf>
    <xf numFmtId="0" fontId="15" fillId="0" borderId="0" xfId="3" applyFont="1" applyAlignment="1">
      <alignment vertical="top"/>
    </xf>
    <xf numFmtId="17" fontId="25" fillId="3" borderId="1" xfId="3" applyNumberFormat="1" applyFont="1" applyFill="1" applyBorder="1" applyAlignment="1" applyProtection="1">
      <alignment vertical="top" wrapText="1"/>
      <protection locked="0"/>
    </xf>
    <xf numFmtId="0" fontId="16" fillId="5" borderId="1" xfId="5" applyFont="1" applyFill="1" applyBorder="1" applyAlignment="1">
      <alignment horizontal="left" vertical="center" wrapText="1"/>
    </xf>
    <xf numFmtId="44" fontId="19" fillId="0" borderId="1" xfId="6" applyFont="1" applyFill="1" applyBorder="1" applyAlignment="1" applyProtection="1">
      <alignment horizontal="center" vertical="center" wrapText="1"/>
    </xf>
    <xf numFmtId="44" fontId="19" fillId="5" borderId="1" xfId="6" applyFont="1" applyFill="1" applyBorder="1" applyAlignment="1" applyProtection="1">
      <alignment horizontal="center" vertical="center" wrapText="1"/>
    </xf>
    <xf numFmtId="165" fontId="19" fillId="5" borderId="1" xfId="1" applyFont="1" applyFill="1" applyBorder="1" applyAlignment="1" applyProtection="1">
      <alignment horizontal="center" vertical="center" wrapText="1"/>
    </xf>
    <xf numFmtId="173" fontId="19" fillId="5" borderId="1" xfId="6" applyNumberFormat="1" applyFont="1" applyFill="1" applyBorder="1" applyAlignment="1" applyProtection="1">
      <alignment horizontal="center" vertical="center" wrapText="1"/>
    </xf>
    <xf numFmtId="0" fontId="16" fillId="3" borderId="1" xfId="3" applyFont="1" applyFill="1" applyBorder="1" applyAlignment="1" applyProtection="1">
      <alignment horizontal="left" vertical="top" wrapText="1"/>
      <protection locked="0"/>
    </xf>
    <xf numFmtId="164" fontId="16" fillId="0" borderId="0" xfId="3" applyNumberFormat="1" applyFont="1" applyAlignment="1">
      <alignment horizontal="left" vertical="top" wrapText="1"/>
    </xf>
    <xf numFmtId="174" fontId="16" fillId="5" borderId="1" xfId="5" applyNumberFormat="1" applyFont="1" applyFill="1" applyBorder="1" applyAlignment="1">
      <alignment horizontal="left" vertical="center" wrapText="1"/>
    </xf>
    <xf numFmtId="174" fontId="16" fillId="3" borderId="1" xfId="3" applyNumberFormat="1" applyFont="1" applyFill="1" applyBorder="1" applyAlignment="1" applyProtection="1">
      <alignment horizontal="left" vertical="top" wrapText="1"/>
      <protection locked="0"/>
    </xf>
    <xf numFmtId="175" fontId="15" fillId="0" borderId="0" xfId="7" applyNumberFormat="1" applyFont="1" applyAlignment="1">
      <alignment horizontal="right" vertical="center"/>
    </xf>
    <xf numFmtId="0" fontId="16" fillId="5" borderId="1" xfId="5" applyFont="1" applyFill="1" applyBorder="1" applyAlignment="1">
      <alignment horizontal="center" vertical="center" wrapText="1"/>
    </xf>
    <xf numFmtId="0" fontId="19" fillId="5" borderId="1" xfId="5" applyFont="1" applyFill="1" applyBorder="1" applyAlignment="1">
      <alignment horizontal="left" vertical="center" wrapText="1"/>
    </xf>
    <xf numFmtId="44" fontId="19" fillId="8" borderId="1" xfId="1" applyNumberFormat="1" applyFont="1" applyFill="1" applyBorder="1" applyAlignment="1" applyProtection="1">
      <alignment horizontal="center" vertical="center" wrapText="1"/>
    </xf>
    <xf numFmtId="9" fontId="19" fillId="8" borderId="1" xfId="8" applyFont="1" applyFill="1" applyBorder="1" applyAlignment="1" applyProtection="1">
      <alignment horizontal="center" vertical="center" wrapText="1"/>
    </xf>
    <xf numFmtId="44" fontId="16" fillId="8" borderId="1" xfId="1" applyNumberFormat="1" applyFont="1" applyFill="1" applyBorder="1" applyAlignment="1" applyProtection="1">
      <alignment horizontal="center" vertical="center" wrapText="1"/>
    </xf>
    <xf numFmtId="10" fontId="19" fillId="8" borderId="1" xfId="8" applyNumberFormat="1" applyFont="1" applyFill="1" applyBorder="1" applyAlignment="1" applyProtection="1">
      <alignment horizontal="center" vertical="center" wrapText="1"/>
    </xf>
    <xf numFmtId="172" fontId="15" fillId="0" borderId="0" xfId="3" applyNumberFormat="1" applyFont="1" applyAlignment="1">
      <alignment horizontal="left" vertical="top" wrapText="1"/>
    </xf>
    <xf numFmtId="0" fontId="15" fillId="0" borderId="0" xfId="3" applyFont="1" applyAlignment="1">
      <alignment horizontal="left" vertical="top" wrapText="1"/>
    </xf>
    <xf numFmtId="17" fontId="17" fillId="11" borderId="1" xfId="3" applyNumberFormat="1" applyFont="1" applyFill="1" applyBorder="1" applyAlignment="1" applyProtection="1">
      <alignment vertical="top"/>
      <protection locked="0"/>
    </xf>
    <xf numFmtId="0" fontId="15" fillId="0" borderId="0" xfId="3" applyFont="1" applyAlignment="1">
      <alignment horizontal="left" vertical="top"/>
    </xf>
    <xf numFmtId="0" fontId="16" fillId="0" borderId="0" xfId="3" applyFont="1" applyAlignment="1">
      <alignment horizontal="left" vertical="top"/>
    </xf>
    <xf numFmtId="165" fontId="17" fillId="8" borderId="1" xfId="1" applyFont="1" applyFill="1" applyBorder="1" applyAlignment="1" applyProtection="1">
      <alignment vertical="top"/>
      <protection locked="0"/>
    </xf>
    <xf numFmtId="0" fontId="16" fillId="0" borderId="0" xfId="3" applyFont="1" applyAlignment="1">
      <alignment horizontal="left" vertical="top" wrapText="1"/>
    </xf>
    <xf numFmtId="9" fontId="16" fillId="0" borderId="0" xfId="8" applyFont="1" applyAlignment="1" applyProtection="1">
      <alignment horizontal="right" vertical="top" wrapText="1"/>
    </xf>
    <xf numFmtId="164" fontId="16" fillId="0" borderId="0" xfId="3" applyNumberFormat="1" applyFont="1" applyAlignment="1">
      <alignment horizontal="right" vertical="top" wrapText="1"/>
    </xf>
    <xf numFmtId="10" fontId="16" fillId="0" borderId="0" xfId="8" applyNumberFormat="1" applyFont="1" applyAlignment="1" applyProtection="1">
      <alignment horizontal="left" vertical="top" wrapText="1"/>
    </xf>
    <xf numFmtId="165" fontId="17" fillId="0" borderId="1" xfId="1" applyFont="1" applyFill="1" applyBorder="1" applyAlignment="1" applyProtection="1">
      <alignment vertical="top"/>
      <protection locked="0"/>
    </xf>
    <xf numFmtId="0" fontId="24" fillId="2" borderId="1" xfId="2" applyFont="1" applyFill="1" applyBorder="1" applyAlignment="1">
      <alignment horizontal="left" vertical="center"/>
    </xf>
    <xf numFmtId="44" fontId="16" fillId="5" borderId="1" xfId="1" applyNumberFormat="1" applyFont="1" applyFill="1" applyBorder="1" applyAlignment="1" applyProtection="1">
      <alignment horizontal="center" vertical="center" wrapText="1"/>
    </xf>
    <xf numFmtId="44" fontId="16" fillId="5" borderId="2" xfId="1" applyNumberFormat="1" applyFont="1" applyFill="1" applyBorder="1" applyAlignment="1" applyProtection="1">
      <alignment horizontal="right" vertical="center" wrapText="1"/>
    </xf>
    <xf numFmtId="44" fontId="16" fillId="5" borderId="3" xfId="1" applyNumberFormat="1" applyFont="1" applyFill="1" applyBorder="1" applyAlignment="1" applyProtection="1">
      <alignment horizontal="left" vertical="center" wrapText="1"/>
    </xf>
    <xf numFmtId="9" fontId="16" fillId="0" borderId="0" xfId="8" applyFont="1" applyAlignment="1" applyProtection="1">
      <alignment horizontal="left" vertical="top" wrapText="1"/>
    </xf>
    <xf numFmtId="165" fontId="16" fillId="0" borderId="0" xfId="1" applyFont="1" applyAlignment="1" applyProtection="1">
      <alignment horizontal="left" vertical="top" wrapText="1"/>
    </xf>
    <xf numFmtId="176" fontId="16" fillId="5" borderId="1" xfId="8" applyNumberFormat="1" applyFont="1" applyFill="1" applyBorder="1" applyAlignment="1" applyProtection="1">
      <alignment horizontal="right" vertical="center" wrapText="1"/>
    </xf>
    <xf numFmtId="0" fontId="16" fillId="5" borderId="1" xfId="5" applyFont="1" applyFill="1" applyBorder="1" applyAlignment="1">
      <alignment horizontal="center" vertical="center"/>
    </xf>
    <xf numFmtId="164" fontId="16" fillId="5" borderId="1" xfId="5" applyNumberFormat="1" applyFont="1" applyFill="1" applyBorder="1" applyAlignment="1">
      <alignment horizontal="center" vertical="center" wrapText="1"/>
    </xf>
    <xf numFmtId="9" fontId="16" fillId="5" borderId="1" xfId="8" applyFont="1" applyFill="1" applyBorder="1" applyAlignment="1" applyProtection="1">
      <alignment horizontal="center" vertical="center" wrapText="1"/>
    </xf>
    <xf numFmtId="10" fontId="16" fillId="5" borderId="1" xfId="8" applyNumberFormat="1" applyFont="1" applyFill="1" applyBorder="1" applyAlignment="1" applyProtection="1">
      <alignment horizontal="center" vertical="center" wrapText="1"/>
    </xf>
    <xf numFmtId="0" fontId="9" fillId="2" borderId="2" xfId="2" applyFont="1" applyFill="1" applyBorder="1" applyAlignment="1">
      <alignment horizontal="center" vertical="center" wrapText="1"/>
    </xf>
    <xf numFmtId="0" fontId="9" fillId="2" borderId="3" xfId="2" applyFont="1" applyFill="1" applyBorder="1" applyAlignment="1">
      <alignment vertical="center" wrapText="1"/>
    </xf>
    <xf numFmtId="44" fontId="27" fillId="2" borderId="1" xfId="1" applyNumberFormat="1" applyFont="1" applyFill="1" applyBorder="1" applyAlignment="1" applyProtection="1">
      <alignment vertical="top"/>
    </xf>
    <xf numFmtId="9" fontId="27" fillId="2" borderId="1" xfId="8" applyFont="1" applyFill="1" applyBorder="1" applyAlignment="1" applyProtection="1">
      <alignment vertical="top"/>
    </xf>
    <xf numFmtId="10" fontId="27" fillId="2" borderId="1" xfId="8" applyNumberFormat="1" applyFont="1" applyFill="1" applyBorder="1" applyAlignment="1" applyProtection="1">
      <alignment vertical="top"/>
    </xf>
    <xf numFmtId="10" fontId="27" fillId="2" borderId="1" xfId="8" applyNumberFormat="1" applyFont="1" applyFill="1" applyBorder="1" applyAlignment="1" applyProtection="1">
      <alignment horizontal="left" vertical="top"/>
    </xf>
    <xf numFmtId="0" fontId="19" fillId="8" borderId="1" xfId="1" applyNumberFormat="1" applyFont="1" applyFill="1" applyBorder="1" applyAlignment="1" applyProtection="1">
      <alignment horizontal="center" vertical="center" wrapText="1"/>
    </xf>
    <xf numFmtId="0" fontId="19" fillId="8" borderId="1" xfId="1" applyNumberFormat="1" applyFont="1" applyFill="1" applyBorder="1" applyAlignment="1" applyProtection="1">
      <alignment horizontal="left" vertical="center" wrapText="1"/>
    </xf>
    <xf numFmtId="44" fontId="24" fillId="2" borderId="1" xfId="1" applyNumberFormat="1" applyFont="1" applyFill="1" applyBorder="1" applyAlignment="1" applyProtection="1">
      <alignment vertical="top"/>
    </xf>
    <xf numFmtId="9" fontId="19" fillId="0" borderId="1" xfId="8" applyFont="1" applyFill="1" applyBorder="1" applyAlignment="1" applyProtection="1">
      <alignment horizontal="center" vertical="center" wrapText="1"/>
    </xf>
    <xf numFmtId="0" fontId="16" fillId="0" borderId="1" xfId="3" applyFont="1" applyBorder="1" applyAlignment="1">
      <alignment horizontal="left" vertical="top"/>
    </xf>
    <xf numFmtId="0" fontId="9" fillId="2" borderId="1" xfId="2" applyFont="1" applyFill="1" applyBorder="1" applyAlignment="1">
      <alignment horizontal="center" vertical="center" wrapText="1"/>
    </xf>
    <xf numFmtId="0" fontId="9" fillId="2" borderId="1" xfId="2" applyFont="1" applyFill="1" applyBorder="1" applyAlignment="1">
      <alignment vertical="center" wrapText="1"/>
    </xf>
    <xf numFmtId="0" fontId="19" fillId="8" borderId="1" xfId="1" quotePrefix="1" applyNumberFormat="1" applyFont="1" applyFill="1" applyBorder="1" applyAlignment="1" applyProtection="1">
      <alignment horizontal="center" vertical="center" wrapText="1"/>
    </xf>
    <xf numFmtId="0" fontId="15" fillId="0" borderId="1" xfId="3" applyFont="1" applyBorder="1" applyAlignment="1">
      <alignment horizontal="left" vertical="top"/>
    </xf>
    <xf numFmtId="0" fontId="9" fillId="2" borderId="3" xfId="2" applyFont="1" applyFill="1" applyBorder="1" applyAlignment="1">
      <alignment horizontal="center" vertical="center" wrapText="1"/>
    </xf>
    <xf numFmtId="176" fontId="19" fillId="0" borderId="1" xfId="8" applyNumberFormat="1" applyFont="1" applyFill="1" applyBorder="1" applyAlignment="1" applyProtection="1">
      <alignment horizontal="center" vertical="center" wrapText="1"/>
    </xf>
    <xf numFmtId="177" fontId="19" fillId="8" borderId="1" xfId="1" applyNumberFormat="1" applyFont="1" applyFill="1" applyBorder="1" applyAlignment="1" applyProtection="1">
      <alignment horizontal="left" vertical="center" wrapText="1"/>
    </xf>
    <xf numFmtId="10" fontId="27" fillId="0" borderId="1" xfId="8" applyNumberFormat="1" applyFont="1" applyFill="1" applyBorder="1" applyAlignment="1" applyProtection="1">
      <alignment horizontal="left" vertical="top"/>
    </xf>
    <xf numFmtId="9" fontId="15" fillId="0" borderId="0" xfId="8" applyFont="1" applyAlignment="1" applyProtection="1">
      <alignment horizontal="left" vertical="top" wrapText="1"/>
    </xf>
    <xf numFmtId="10" fontId="15" fillId="0" borderId="0" xfId="8" applyNumberFormat="1" applyFont="1" applyAlignment="1" applyProtection="1">
      <alignment horizontal="left" vertical="top" wrapText="1"/>
    </xf>
    <xf numFmtId="44" fontId="28" fillId="8" borderId="1" xfId="6" applyFont="1" applyFill="1" applyBorder="1" applyAlignment="1" applyProtection="1">
      <alignment horizontal="center" vertical="center" wrapText="1"/>
    </xf>
    <xf numFmtId="0" fontId="9" fillId="2" borderId="1" xfId="2" applyFont="1" applyFill="1" applyBorder="1" applyAlignment="1">
      <alignment horizontal="center" vertical="center"/>
    </xf>
    <xf numFmtId="0" fontId="29" fillId="8" borderId="1" xfId="1" quotePrefix="1" applyNumberFormat="1" applyFont="1" applyFill="1" applyBorder="1" applyAlignment="1" applyProtection="1">
      <alignment horizontal="center" vertical="center" wrapText="1"/>
    </xf>
    <xf numFmtId="0" fontId="29" fillId="8" borderId="1" xfId="1" applyNumberFormat="1" applyFont="1" applyFill="1" applyBorder="1" applyAlignment="1" applyProtection="1">
      <alignment horizontal="left" vertical="center" wrapText="1"/>
    </xf>
    <xf numFmtId="17" fontId="31" fillId="8" borderId="1" xfId="9" applyNumberFormat="1" applyFont="1" applyFill="1" applyBorder="1"/>
    <xf numFmtId="44" fontId="29" fillId="0" borderId="1" xfId="1" applyNumberFormat="1" applyFont="1" applyFill="1" applyBorder="1" applyAlignment="1" applyProtection="1">
      <alignment horizontal="center" vertical="center" wrapText="1"/>
    </xf>
    <xf numFmtId="9" fontId="32" fillId="0" borderId="1" xfId="9" applyNumberFormat="1" applyFont="1" applyBorder="1" applyAlignment="1">
      <alignment horizontal="center"/>
    </xf>
    <xf numFmtId="44" fontId="29" fillId="8" borderId="1" xfId="6" applyFont="1" applyFill="1" applyBorder="1" applyAlignment="1" applyProtection="1">
      <alignment horizontal="center" vertical="center" wrapText="1"/>
    </xf>
    <xf numFmtId="0" fontId="33" fillId="0" borderId="1" xfId="0" applyFont="1" applyBorder="1">
      <alignment vertical="center"/>
    </xf>
    <xf numFmtId="0" fontId="33" fillId="0" borderId="0" xfId="0" applyFont="1">
      <alignment vertical="center"/>
    </xf>
    <xf numFmtId="0" fontId="29" fillId="8" borderId="1" xfId="1" applyNumberFormat="1" applyFont="1" applyFill="1" applyBorder="1" applyAlignment="1" applyProtection="1">
      <alignment horizontal="center" vertical="center" wrapText="1"/>
    </xf>
    <xf numFmtId="164" fontId="16" fillId="0" borderId="0" xfId="3" applyNumberFormat="1" applyFont="1" applyAlignment="1">
      <alignment horizontal="center" vertical="top" wrapText="1"/>
    </xf>
    <xf numFmtId="0" fontId="16" fillId="5" borderId="1" xfId="5" applyFont="1" applyFill="1" applyBorder="1" applyAlignment="1">
      <alignment vertical="center"/>
    </xf>
    <xf numFmtId="44" fontId="19" fillId="4" borderId="1" xfId="6" applyFont="1" applyFill="1" applyBorder="1" applyAlignment="1" applyProtection="1">
      <alignment horizontal="center" vertical="center" wrapText="1"/>
    </xf>
    <xf numFmtId="0" fontId="19" fillId="0" borderId="1" xfId="3" applyFont="1" applyBorder="1" applyAlignment="1">
      <alignment vertical="top"/>
    </xf>
    <xf numFmtId="165" fontId="19" fillId="4" borderId="1" xfId="1" applyFont="1" applyFill="1" applyBorder="1" applyAlignment="1" applyProtection="1">
      <alignment horizontal="center" vertical="center" wrapText="1"/>
    </xf>
    <xf numFmtId="0" fontId="19" fillId="8" borderId="13" xfId="1" quotePrefix="1" applyNumberFormat="1" applyFont="1" applyFill="1" applyBorder="1" applyAlignment="1" applyProtection="1">
      <alignment horizontal="center" vertical="center" wrapText="1"/>
    </xf>
    <xf numFmtId="0" fontId="19" fillId="8" borderId="13" xfId="1" applyNumberFormat="1" applyFont="1" applyFill="1" applyBorder="1" applyAlignment="1" applyProtection="1">
      <alignment horizontal="left" vertical="center" wrapText="1"/>
    </xf>
    <xf numFmtId="44" fontId="19" fillId="8" borderId="13" xfId="6" applyFont="1" applyFill="1" applyBorder="1" applyAlignment="1" applyProtection="1">
      <alignment horizontal="center" vertical="center" wrapText="1"/>
    </xf>
    <xf numFmtId="0" fontId="19" fillId="8" borderId="1" xfId="1" quotePrefix="1" applyNumberFormat="1" applyFont="1" applyFill="1" applyBorder="1" applyAlignment="1" applyProtection="1">
      <alignment horizontal="center" vertical="top" wrapText="1"/>
    </xf>
    <xf numFmtId="0" fontId="19" fillId="8" borderId="1" xfId="1" applyNumberFormat="1" applyFont="1" applyFill="1" applyBorder="1" applyAlignment="1" applyProtection="1">
      <alignment horizontal="left" vertical="top" wrapText="1"/>
    </xf>
    <xf numFmtId="165" fontId="16" fillId="8" borderId="1" xfId="1" applyFont="1" applyFill="1" applyBorder="1" applyAlignment="1" applyProtection="1">
      <alignment horizontal="left" vertical="top"/>
    </xf>
    <xf numFmtId="0" fontId="16" fillId="8" borderId="1" xfId="3" applyFont="1" applyFill="1" applyBorder="1" applyAlignment="1">
      <alignment horizontal="left" vertical="top"/>
    </xf>
    <xf numFmtId="44" fontId="19" fillId="0" borderId="1" xfId="1" applyNumberFormat="1" applyFont="1" applyFill="1" applyBorder="1" applyAlignment="1" applyProtection="1">
      <alignment horizontal="center" vertical="center" wrapText="1"/>
    </xf>
    <xf numFmtId="44" fontId="16" fillId="0" borderId="1" xfId="6" applyFont="1" applyBorder="1" applyAlignment="1" applyProtection="1">
      <alignment horizontal="left" vertical="top"/>
    </xf>
    <xf numFmtId="0" fontId="16" fillId="0" borderId="1" xfId="3" applyFont="1" applyBorder="1" applyAlignment="1">
      <alignment vertical="top"/>
    </xf>
    <xf numFmtId="165" fontId="16" fillId="0" borderId="1" xfId="1" applyFont="1" applyBorder="1" applyAlignment="1" applyProtection="1">
      <alignment horizontal="left" vertical="top"/>
    </xf>
    <xf numFmtId="165" fontId="15" fillId="0" borderId="0" xfId="1" applyFont="1" applyAlignment="1" applyProtection="1">
      <alignment horizontal="left" vertical="top" wrapText="1"/>
    </xf>
    <xf numFmtId="165" fontId="27" fillId="2" borderId="1" xfId="1" applyFont="1" applyFill="1" applyBorder="1" applyAlignment="1" applyProtection="1">
      <alignment vertical="top"/>
    </xf>
    <xf numFmtId="165" fontId="19" fillId="0" borderId="1" xfId="1" applyFont="1" applyFill="1" applyBorder="1" applyAlignment="1" applyProtection="1">
      <alignment horizontal="left" vertical="center" wrapText="1"/>
    </xf>
    <xf numFmtId="164" fontId="15" fillId="8" borderId="1" xfId="3" applyNumberFormat="1" applyFont="1" applyFill="1" applyBorder="1" applyAlignment="1">
      <alignment horizontal="left" vertical="top" wrapText="1"/>
    </xf>
    <xf numFmtId="165" fontId="15" fillId="0" borderId="1" xfId="1" applyFont="1" applyFill="1" applyBorder="1" applyAlignment="1" applyProtection="1">
      <alignment horizontal="left" vertical="top" wrapText="1"/>
    </xf>
    <xf numFmtId="164" fontId="19" fillId="8" borderId="1" xfId="3" applyNumberFormat="1" applyFont="1" applyFill="1" applyBorder="1" applyAlignment="1">
      <alignment horizontal="left" vertical="top" wrapText="1"/>
    </xf>
    <xf numFmtId="164" fontId="16" fillId="5" borderId="1" xfId="5" applyNumberFormat="1" applyFont="1" applyFill="1" applyBorder="1" applyAlignment="1">
      <alignment vertical="center" wrapText="1"/>
    </xf>
    <xf numFmtId="164" fontId="16" fillId="5" borderId="3" xfId="5" applyNumberFormat="1" applyFont="1" applyFill="1" applyBorder="1" applyAlignment="1">
      <alignment vertical="center" wrapText="1"/>
    </xf>
    <xf numFmtId="164" fontId="16" fillId="5" borderId="3" xfId="5" applyNumberFormat="1" applyFont="1" applyFill="1" applyBorder="1" applyAlignment="1">
      <alignment horizontal="center" vertical="center" wrapText="1"/>
    </xf>
    <xf numFmtId="0" fontId="19" fillId="8" borderId="20" xfId="1" applyNumberFormat="1" applyFont="1" applyFill="1" applyBorder="1" applyAlignment="1" applyProtection="1">
      <alignment vertical="center" wrapText="1"/>
    </xf>
    <xf numFmtId="164" fontId="15" fillId="0" borderId="1" xfId="3" applyNumberFormat="1" applyFont="1" applyBorder="1" applyAlignment="1">
      <alignment horizontal="left" vertical="top" wrapText="1"/>
    </xf>
    <xf numFmtId="165" fontId="15" fillId="0" borderId="1" xfId="1" applyFont="1" applyBorder="1" applyAlignment="1" applyProtection="1">
      <alignment horizontal="left" vertical="top" wrapText="1"/>
    </xf>
    <xf numFmtId="0" fontId="15" fillId="0" borderId="1" xfId="3" applyFont="1" applyBorder="1" applyAlignment="1">
      <alignment horizontal="left" vertical="top" wrapText="1"/>
    </xf>
    <xf numFmtId="165" fontId="15" fillId="0" borderId="0" xfId="3" applyNumberFormat="1" applyFont="1" applyAlignment="1">
      <alignment vertical="top"/>
    </xf>
    <xf numFmtId="0" fontId="34" fillId="0" borderId="1" xfId="10" applyFill="1" applyBorder="1" applyAlignment="1">
      <alignment horizontal="left" vertical="top"/>
    </xf>
    <xf numFmtId="164" fontId="15" fillId="0" borderId="0" xfId="3" applyNumberFormat="1" applyFont="1" applyAlignment="1">
      <alignment vertical="top"/>
    </xf>
    <xf numFmtId="165" fontId="15" fillId="0" borderId="0" xfId="1" applyFont="1" applyAlignment="1" applyProtection="1">
      <alignment vertical="top"/>
    </xf>
    <xf numFmtId="164" fontId="15" fillId="0" borderId="1" xfId="3" applyNumberFormat="1" applyFont="1" applyBorder="1" applyAlignment="1">
      <alignment horizontal="left" vertical="top"/>
    </xf>
    <xf numFmtId="0" fontId="19" fillId="8" borderId="1" xfId="1" applyNumberFormat="1" applyFont="1" applyFill="1" applyBorder="1" applyAlignment="1" applyProtection="1">
      <alignment vertical="center" wrapText="1"/>
    </xf>
    <xf numFmtId="0" fontId="35" fillId="12" borderId="1" xfId="3" applyFont="1" applyFill="1" applyBorder="1" applyAlignment="1">
      <alignment vertical="top"/>
    </xf>
    <xf numFmtId="164" fontId="16" fillId="5" borderId="2" xfId="5" applyNumberFormat="1" applyFont="1" applyFill="1" applyBorder="1" applyAlignment="1">
      <alignment vertical="center" wrapText="1"/>
    </xf>
    <xf numFmtId="165" fontId="19" fillId="4" borderId="1" xfId="1" applyFont="1" applyFill="1" applyBorder="1" applyAlignment="1" applyProtection="1">
      <alignment horizontal="left" vertical="center" wrapText="1"/>
    </xf>
    <xf numFmtId="0" fontId="19" fillId="0" borderId="1" xfId="3" applyFont="1" applyBorder="1" applyAlignment="1">
      <alignment horizontal="left" vertical="top"/>
    </xf>
    <xf numFmtId="44" fontId="19" fillId="4" borderId="1" xfId="6" applyFont="1" applyFill="1" applyBorder="1" applyAlignment="1" applyProtection="1">
      <alignment horizontal="left" vertical="center" wrapText="1"/>
    </xf>
    <xf numFmtId="0" fontId="19" fillId="4" borderId="1" xfId="3" applyFont="1" applyFill="1" applyBorder="1" applyAlignment="1">
      <alignment horizontal="left" vertical="top"/>
    </xf>
    <xf numFmtId="0" fontId="16" fillId="4" borderId="1" xfId="3" applyFont="1" applyFill="1" applyBorder="1" applyAlignment="1">
      <alignment horizontal="left" vertical="top"/>
    </xf>
    <xf numFmtId="44" fontId="19" fillId="8" borderId="1" xfId="6" applyFont="1" applyFill="1" applyBorder="1" applyAlignment="1" applyProtection="1">
      <alignment horizontal="left" vertical="center" wrapText="1"/>
    </xf>
    <xf numFmtId="44" fontId="19" fillId="8" borderId="2" xfId="1" applyNumberFormat="1" applyFont="1" applyFill="1" applyBorder="1" applyAlignment="1" applyProtection="1">
      <alignment vertical="center" wrapText="1"/>
    </xf>
    <xf numFmtId="44" fontId="19" fillId="8" borderId="3" xfId="1" applyNumberFormat="1" applyFont="1" applyFill="1" applyBorder="1" applyAlignment="1" applyProtection="1">
      <alignment vertical="center" wrapText="1"/>
    </xf>
    <xf numFmtId="44" fontId="19" fillId="0" borderId="1" xfId="6" applyFont="1" applyFill="1" applyBorder="1" applyAlignment="1" applyProtection="1">
      <alignment horizontal="left" vertical="center" wrapText="1"/>
    </xf>
    <xf numFmtId="165" fontId="32" fillId="4" borderId="1" xfId="1" applyFont="1" applyFill="1" applyBorder="1" applyAlignment="1" applyProtection="1">
      <alignment horizontal="left" vertical="center" wrapText="1"/>
    </xf>
    <xf numFmtId="44" fontId="19" fillId="11" borderId="1" xfId="6" applyFont="1" applyFill="1" applyBorder="1" applyAlignment="1" applyProtection="1">
      <alignment horizontal="left" vertical="center" wrapText="1"/>
    </xf>
    <xf numFmtId="0" fontId="19" fillId="0" borderId="1" xfId="1" applyNumberFormat="1" applyFont="1" applyFill="1" applyBorder="1" applyAlignment="1" applyProtection="1">
      <alignment vertical="center" wrapText="1"/>
    </xf>
    <xf numFmtId="165" fontId="19" fillId="8" borderId="1" xfId="1" applyFont="1" applyFill="1" applyBorder="1" applyAlignment="1" applyProtection="1">
      <alignment horizontal="left" vertical="center" wrapText="1"/>
    </xf>
    <xf numFmtId="164" fontId="16" fillId="5" borderId="1" xfId="5" applyNumberFormat="1" applyFont="1" applyFill="1" applyBorder="1" applyAlignment="1">
      <alignment horizontal="right" vertical="center" wrapText="1"/>
    </xf>
    <xf numFmtId="165" fontId="19" fillId="8" borderId="1" xfId="1" applyFont="1" applyFill="1" applyBorder="1" applyAlignment="1" applyProtection="1">
      <alignment horizontal="center" vertical="center" wrapText="1"/>
    </xf>
    <xf numFmtId="165" fontId="15" fillId="0" borderId="0" xfId="3" applyNumberFormat="1" applyFont="1" applyAlignment="1">
      <alignment horizontal="left" vertical="top"/>
    </xf>
    <xf numFmtId="0" fontId="19" fillId="4" borderId="1" xfId="3" applyFont="1" applyFill="1" applyBorder="1" applyAlignment="1">
      <alignment vertical="top"/>
    </xf>
    <xf numFmtId="165" fontId="16" fillId="0" borderId="8" xfId="3" applyNumberFormat="1" applyFont="1" applyBorder="1" applyAlignment="1">
      <alignment vertical="top"/>
    </xf>
    <xf numFmtId="0" fontId="16" fillId="4" borderId="1" xfId="3" applyFont="1" applyFill="1" applyBorder="1" applyAlignment="1">
      <alignment horizontal="right" vertical="top"/>
    </xf>
    <xf numFmtId="0" fontId="19" fillId="4" borderId="1" xfId="3" applyFont="1" applyFill="1" applyBorder="1" applyAlignment="1">
      <alignment horizontal="left" vertical="top" wrapText="1"/>
    </xf>
    <xf numFmtId="44" fontId="19" fillId="8" borderId="1" xfId="6" applyFont="1" applyFill="1" applyBorder="1" applyAlignment="1" applyProtection="1">
      <alignment horizontal="center" vertical="center" wrapText="1"/>
    </xf>
    <xf numFmtId="44" fontId="19" fillId="4" borderId="1" xfId="1" applyNumberFormat="1" applyFont="1" applyFill="1" applyBorder="1" applyAlignment="1" applyProtection="1">
      <alignment horizontal="center" vertical="center" wrapText="1"/>
    </xf>
    <xf numFmtId="0" fontId="19" fillId="8" borderId="20" xfId="1" applyNumberFormat="1" applyFont="1" applyFill="1" applyBorder="1" applyAlignment="1" applyProtection="1">
      <alignment horizontal="center" vertical="center" wrapText="1"/>
    </xf>
    <xf numFmtId="44" fontId="19" fillId="0" borderId="1" xfId="1" applyNumberFormat="1" applyFont="1" applyFill="1" applyBorder="1" applyAlignment="1" applyProtection="1">
      <alignment horizontal="left" vertical="top" wrapText="1"/>
    </xf>
    <xf numFmtId="0" fontId="9" fillId="2" borderId="20" xfId="2" applyFont="1" applyFill="1" applyBorder="1" applyAlignment="1">
      <alignment horizontal="center" vertical="center" wrapText="1"/>
    </xf>
    <xf numFmtId="0" fontId="9" fillId="2" borderId="20" xfId="2" applyFont="1" applyFill="1" applyBorder="1" applyAlignment="1">
      <alignment vertical="center" wrapText="1"/>
    </xf>
    <xf numFmtId="0" fontId="19" fillId="8" borderId="20" xfId="1" applyNumberFormat="1" applyFont="1" applyFill="1" applyBorder="1" applyAlignment="1" applyProtection="1">
      <alignment horizontal="left" vertical="center" wrapText="1"/>
    </xf>
    <xf numFmtId="44" fontId="16" fillId="4" borderId="1" xfId="6" applyFont="1" applyFill="1" applyBorder="1" applyAlignment="1" applyProtection="1">
      <alignment horizontal="center" vertical="center" wrapText="1"/>
    </xf>
    <xf numFmtId="0" fontId="23" fillId="0" borderId="0" xfId="0" applyFont="1">
      <alignment vertical="center"/>
    </xf>
    <xf numFmtId="0" fontId="0" fillId="0" borderId="0" xfId="0" applyAlignment="1">
      <alignment horizontal="center" vertical="center"/>
    </xf>
    <xf numFmtId="0" fontId="0" fillId="0" borderId="0" xfId="0" applyAlignment="1">
      <alignment horizontal="left" vertical="top" wrapText="1"/>
    </xf>
    <xf numFmtId="0" fontId="0" fillId="0" borderId="3" xfId="0" applyBorder="1" applyAlignment="1">
      <alignment vertical="center" wrapText="1"/>
    </xf>
    <xf numFmtId="179" fontId="0" fillId="0" borderId="0" xfId="0" applyNumberFormat="1">
      <alignment vertical="center"/>
    </xf>
    <xf numFmtId="0" fontId="37" fillId="0" borderId="0" xfId="0" applyFont="1">
      <alignment vertical="center"/>
    </xf>
    <xf numFmtId="179" fontId="37" fillId="0" borderId="0" xfId="0" applyNumberFormat="1" applyFont="1">
      <alignment vertical="center"/>
    </xf>
    <xf numFmtId="164" fontId="16" fillId="0" borderId="0" xfId="3" applyNumberFormat="1" applyFont="1" applyAlignment="1">
      <alignment vertical="top"/>
    </xf>
    <xf numFmtId="164" fontId="25" fillId="0" borderId="0" xfId="3" applyNumberFormat="1" applyFont="1" applyAlignment="1">
      <alignment horizontal="left" vertical="top" wrapText="1"/>
    </xf>
    <xf numFmtId="180" fontId="15" fillId="0" borderId="1" xfId="1" applyNumberFormat="1" applyFont="1" applyFill="1" applyBorder="1" applyAlignment="1" applyProtection="1">
      <alignment horizontal="right" vertical="top" wrapText="1"/>
    </xf>
    <xf numFmtId="181" fontId="19" fillId="8" borderId="1" xfId="3" applyNumberFormat="1" applyFont="1" applyFill="1" applyBorder="1" applyAlignment="1">
      <alignment horizontal="left" vertical="top" wrapText="1"/>
    </xf>
    <xf numFmtId="3" fontId="0" fillId="0" borderId="0" xfId="0" applyNumberFormat="1">
      <alignment vertical="center"/>
    </xf>
    <xf numFmtId="3" fontId="0" fillId="0" borderId="0" xfId="0" applyNumberFormat="1" applyAlignment="1">
      <alignment vertical="center" wrapText="1"/>
    </xf>
    <xf numFmtId="0" fontId="14" fillId="0" borderId="0" xfId="0" applyFont="1">
      <alignment vertical="center"/>
    </xf>
    <xf numFmtId="0" fontId="14" fillId="0" borderId="0" xfId="10" applyFont="1" applyFill="1">
      <alignment vertical="center"/>
    </xf>
    <xf numFmtId="179" fontId="0" fillId="0" borderId="0" xfId="0" applyNumberFormat="1" applyAlignment="1">
      <alignment horizontal="left" vertical="center"/>
    </xf>
    <xf numFmtId="0" fontId="0" fillId="0" borderId="0" xfId="10" applyFont="1" applyFill="1">
      <alignment vertical="center"/>
    </xf>
    <xf numFmtId="182" fontId="0" fillId="0" borderId="0" xfId="0" applyNumberFormat="1">
      <alignment vertical="center"/>
    </xf>
    <xf numFmtId="182" fontId="0" fillId="8" borderId="0" xfId="0" applyNumberFormat="1" applyFill="1">
      <alignment vertical="center"/>
    </xf>
    <xf numFmtId="179" fontId="0" fillId="4" borderId="0" xfId="0" applyNumberFormat="1" applyFill="1">
      <alignment vertical="center"/>
    </xf>
    <xf numFmtId="182" fontId="0" fillId="4" borderId="0" xfId="0" applyNumberFormat="1" applyFill="1" applyAlignment="1">
      <alignment horizontal="left" vertical="center"/>
    </xf>
    <xf numFmtId="182" fontId="0" fillId="0" borderId="0" xfId="0" applyNumberFormat="1" applyAlignment="1">
      <alignment vertical="center" wrapText="1"/>
    </xf>
    <xf numFmtId="3" fontId="0" fillId="0" borderId="0" xfId="0" applyNumberFormat="1" applyAlignment="1">
      <alignment horizontal="left" vertical="center" wrapText="1"/>
    </xf>
    <xf numFmtId="182" fontId="0" fillId="8" borderId="0" xfId="0" applyNumberFormat="1" applyFill="1" applyAlignment="1">
      <alignment horizontal="right" vertical="center"/>
    </xf>
    <xf numFmtId="0" fontId="19" fillId="8" borderId="1" xfId="3" applyFont="1" applyFill="1" applyBorder="1" applyAlignment="1">
      <alignment horizontal="left" vertical="center" wrapText="1"/>
    </xf>
    <xf numFmtId="0" fontId="19" fillId="0" borderId="1" xfId="3" applyFont="1" applyBorder="1" applyAlignment="1">
      <alignment horizontal="center" vertical="center"/>
    </xf>
    <xf numFmtId="182" fontId="0" fillId="11" borderId="0" xfId="0" applyNumberFormat="1" applyFill="1">
      <alignment vertical="center"/>
    </xf>
    <xf numFmtId="2" fontId="13" fillId="7" borderId="20" xfId="3" applyNumberFormat="1" applyFont="1" applyFill="1" applyBorder="1" applyAlignment="1">
      <alignment horizontal="center" vertical="center"/>
    </xf>
    <xf numFmtId="2" fontId="18" fillId="7" borderId="20" xfId="1" applyNumberFormat="1" applyFont="1" applyFill="1" applyBorder="1" applyAlignment="1" applyProtection="1">
      <alignment horizontal="center" vertical="center" wrapText="1"/>
    </xf>
    <xf numFmtId="44" fontId="16" fillId="0" borderId="1" xfId="6" applyFont="1" applyFill="1" applyBorder="1" applyAlignment="1" applyProtection="1">
      <alignment horizontal="left" vertical="top"/>
    </xf>
    <xf numFmtId="182" fontId="0" fillId="0" borderId="0" xfId="0" applyNumberFormat="1" applyAlignment="1">
      <alignment horizontal="left" vertical="center"/>
    </xf>
    <xf numFmtId="44" fontId="17" fillId="8" borderId="1" xfId="6" applyFont="1" applyFill="1" applyBorder="1" applyAlignment="1" applyProtection="1">
      <alignment horizontal="left" vertical="top"/>
    </xf>
    <xf numFmtId="0" fontId="16" fillId="0" borderId="1" xfId="3" applyFont="1" applyBorder="1" applyAlignment="1">
      <alignment horizontal="center" vertical="center"/>
    </xf>
    <xf numFmtId="165" fontId="19" fillId="11" borderId="1" xfId="1" applyFont="1" applyFill="1" applyBorder="1" applyAlignment="1" applyProtection="1">
      <alignment horizontal="center" vertical="center" wrapText="1"/>
    </xf>
    <xf numFmtId="179" fontId="0" fillId="0" borderId="0" xfId="0" applyNumberFormat="1" applyAlignment="1">
      <alignment vertical="center" wrapText="1"/>
    </xf>
    <xf numFmtId="165" fontId="45" fillId="0" borderId="1" xfId="1" applyFont="1" applyBorder="1" applyAlignment="1" applyProtection="1">
      <alignment vertical="top"/>
      <protection locked="0"/>
    </xf>
    <xf numFmtId="9" fontId="19" fillId="11" borderId="1" xfId="8" applyFont="1" applyFill="1" applyBorder="1" applyAlignment="1" applyProtection="1">
      <alignment horizontal="center" vertical="center" wrapText="1"/>
    </xf>
    <xf numFmtId="9" fontId="46" fillId="8" borderId="1" xfId="8" applyFont="1" applyFill="1" applyBorder="1" applyAlignment="1">
      <alignment horizontal="center" vertical="center" wrapText="1"/>
    </xf>
    <xf numFmtId="9" fontId="46" fillId="11" borderId="1" xfId="8" applyFont="1" applyFill="1" applyBorder="1" applyAlignment="1">
      <alignment horizontal="center" vertical="center" wrapText="1"/>
    </xf>
    <xf numFmtId="1" fontId="42" fillId="0" borderId="0" xfId="0" applyNumberFormat="1" applyFont="1">
      <alignment vertical="center"/>
    </xf>
    <xf numFmtId="49" fontId="13" fillId="0" borderId="1" xfId="0" applyNumberFormat="1" applyFont="1" applyBorder="1" applyAlignment="1">
      <alignment vertical="center" wrapText="1"/>
    </xf>
    <xf numFmtId="1" fontId="16" fillId="8" borderId="1" xfId="22" applyNumberFormat="1" applyFont="1" applyFill="1" applyBorder="1" applyAlignment="1">
      <alignment horizontal="center" vertical="center" wrapText="1"/>
    </xf>
    <xf numFmtId="171" fontId="16" fillId="8" borderId="1" xfId="22" applyNumberFormat="1" applyFont="1" applyFill="1" applyBorder="1" applyAlignment="1">
      <alignment horizontal="center" vertical="center" wrapText="1"/>
    </xf>
    <xf numFmtId="170" fontId="16" fillId="8" borderId="1" xfId="22" applyNumberFormat="1" applyFont="1" applyFill="1" applyBorder="1" applyAlignment="1">
      <alignment horizontal="center" vertical="center" wrapText="1"/>
    </xf>
    <xf numFmtId="0" fontId="10" fillId="0" borderId="12" xfId="0" applyFont="1" applyBorder="1" applyAlignment="1">
      <alignment vertical="center" wrapText="1"/>
    </xf>
    <xf numFmtId="0" fontId="10" fillId="0" borderId="13" xfId="0" applyFont="1" applyBorder="1" applyAlignment="1">
      <alignment vertical="center" wrapText="1"/>
    </xf>
    <xf numFmtId="0" fontId="10" fillId="0" borderId="10" xfId="0" applyFont="1" applyBorder="1" applyAlignment="1">
      <alignment vertical="center" wrapText="1"/>
    </xf>
    <xf numFmtId="0" fontId="10" fillId="0" borderId="1" xfId="0" applyFont="1" applyBorder="1" applyAlignment="1">
      <alignment vertical="center" wrapText="1"/>
    </xf>
    <xf numFmtId="179" fontId="0" fillId="0" borderId="1" xfId="0" applyNumberFormat="1" applyBorder="1" applyAlignment="1">
      <alignment horizontal="right" vertical="center" wrapText="1"/>
    </xf>
    <xf numFmtId="0" fontId="0" fillId="0" borderId="2" xfId="0" applyBorder="1" applyAlignment="1">
      <alignment vertical="center" wrapText="1"/>
    </xf>
    <xf numFmtId="179" fontId="23" fillId="0" borderId="1" xfId="0" applyNumberFormat="1" applyFont="1" applyBorder="1" applyAlignment="1">
      <alignment horizontal="right" vertical="center" wrapText="1"/>
    </xf>
    <xf numFmtId="0" fontId="0" fillId="11" borderId="1" xfId="0" applyFill="1" applyBorder="1" applyAlignment="1">
      <alignment vertical="center" wrapText="1"/>
    </xf>
    <xf numFmtId="0" fontId="0" fillId="0" borderId="7" xfId="0" applyBorder="1" applyAlignment="1">
      <alignment vertical="center" wrapText="1"/>
    </xf>
    <xf numFmtId="0" fontId="0" fillId="0" borderId="20" xfId="0" applyBorder="1" applyAlignment="1">
      <alignment vertical="center" wrapText="1"/>
    </xf>
    <xf numFmtId="179" fontId="0" fillId="0" borderId="20" xfId="0" applyNumberFormat="1" applyBorder="1" applyAlignment="1">
      <alignment horizontal="right" vertical="center" wrapText="1"/>
    </xf>
    <xf numFmtId="0" fontId="0" fillId="0" borderId="5" xfId="0" applyBorder="1" applyAlignment="1">
      <alignment vertical="center" wrapText="1"/>
    </xf>
    <xf numFmtId="0" fontId="0" fillId="9" borderId="1" xfId="0" applyFill="1" applyBorder="1" applyAlignment="1">
      <alignment horizontal="right" vertical="center"/>
    </xf>
    <xf numFmtId="0" fontId="0" fillId="9" borderId="1" xfId="0" applyFill="1" applyBorder="1">
      <alignment vertical="center"/>
    </xf>
    <xf numFmtId="0" fontId="0" fillId="0" borderId="0" xfId="0" applyAlignment="1">
      <alignment horizontal="left" vertical="center" indent="2"/>
    </xf>
    <xf numFmtId="0" fontId="0" fillId="10" borderId="1" xfId="0" applyFill="1" applyBorder="1">
      <alignment vertical="center"/>
    </xf>
    <xf numFmtId="0" fontId="0" fillId="10" borderId="1" xfId="0" applyFill="1" applyBorder="1" applyAlignment="1">
      <alignment horizontal="right" vertical="center"/>
    </xf>
    <xf numFmtId="0" fontId="0" fillId="0" borderId="1" xfId="0" applyBorder="1" applyAlignment="1">
      <alignment horizontal="right" vertical="center" wrapText="1"/>
    </xf>
    <xf numFmtId="175" fontId="15" fillId="8" borderId="0" xfId="7" applyNumberFormat="1" applyFont="1" applyFill="1" applyAlignment="1">
      <alignment horizontal="right" vertical="center"/>
    </xf>
    <xf numFmtId="0" fontId="47" fillId="0" borderId="0" xfId="0" applyFont="1" applyAlignment="1">
      <alignment vertical="center" wrapText="1"/>
    </xf>
    <xf numFmtId="1" fontId="4" fillId="8" borderId="1" xfId="0" applyNumberFormat="1" applyFont="1" applyFill="1" applyBorder="1">
      <alignment vertical="center"/>
    </xf>
    <xf numFmtId="1" fontId="4" fillId="0" borderId="1" xfId="1"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49" fontId="4" fillId="0" borderId="1" xfId="0" applyNumberFormat="1" applyFont="1" applyBorder="1" applyAlignment="1">
      <alignment horizontal="left" vertical="center" wrapText="1"/>
    </xf>
    <xf numFmtId="1" fontId="4" fillId="0" borderId="1" xfId="0" applyNumberFormat="1" applyFont="1" applyBorder="1" applyAlignment="1">
      <alignment horizontal="left" vertical="center" wrapText="1"/>
    </xf>
    <xf numFmtId="2" fontId="4" fillId="0" borderId="1" xfId="0" applyNumberFormat="1" applyFont="1" applyBorder="1" applyAlignment="1">
      <alignment horizontal="left" vertical="center" wrapText="1"/>
    </xf>
    <xf numFmtId="49" fontId="4" fillId="0" borderId="1" xfId="0" applyNumberFormat="1" applyFont="1" applyBorder="1" applyAlignment="1">
      <alignment vertical="center" wrapText="1"/>
    </xf>
    <xf numFmtId="166" fontId="4" fillId="0" borderId="1" xfId="1" applyNumberFormat="1" applyFont="1" applyFill="1" applyBorder="1" applyAlignment="1">
      <alignment vertical="center" wrapText="1"/>
    </xf>
    <xf numFmtId="166" fontId="4" fillId="0" borderId="1" xfId="1" applyNumberFormat="1" applyFont="1" applyBorder="1" applyAlignment="1">
      <alignment vertical="center" wrapText="1"/>
    </xf>
    <xf numFmtId="2" fontId="4" fillId="7" borderId="1" xfId="1" applyNumberFormat="1" applyFont="1" applyFill="1" applyBorder="1" applyAlignment="1" applyProtection="1">
      <alignment horizontal="center" vertical="center"/>
    </xf>
    <xf numFmtId="2" fontId="4" fillId="7" borderId="20" xfId="1" applyNumberFormat="1" applyFont="1" applyFill="1" applyBorder="1" applyAlignment="1" applyProtection="1">
      <alignment horizontal="center" vertical="center"/>
    </xf>
    <xf numFmtId="0" fontId="16" fillId="3" borderId="2" xfId="3" applyFont="1" applyFill="1" applyBorder="1" applyAlignment="1" applyProtection="1">
      <alignment horizontal="left" vertical="top" wrapText="1"/>
      <protection locked="0"/>
    </xf>
    <xf numFmtId="0" fontId="16" fillId="3" borderId="3" xfId="3" applyFont="1" applyFill="1" applyBorder="1" applyAlignment="1" applyProtection="1">
      <alignment horizontal="left" vertical="top" wrapText="1"/>
      <protection locked="0"/>
    </xf>
    <xf numFmtId="174" fontId="16" fillId="3" borderId="2" xfId="3" applyNumberFormat="1" applyFont="1" applyFill="1" applyBorder="1" applyAlignment="1" applyProtection="1">
      <alignment horizontal="left" vertical="top" wrapText="1"/>
      <protection locked="0"/>
    </xf>
    <xf numFmtId="174" fontId="16" fillId="3" borderId="3" xfId="3" applyNumberFormat="1" applyFont="1" applyFill="1" applyBorder="1" applyAlignment="1" applyProtection="1">
      <alignment horizontal="left" vertical="top" wrapText="1"/>
      <protection locked="0"/>
    </xf>
    <xf numFmtId="17" fontId="25" fillId="3" borderId="2" xfId="3" applyNumberFormat="1" applyFont="1" applyFill="1" applyBorder="1" applyAlignment="1" applyProtection="1">
      <alignment vertical="top"/>
      <protection locked="0"/>
    </xf>
    <xf numFmtId="17" fontId="25" fillId="3" borderId="4" xfId="3" applyNumberFormat="1" applyFont="1" applyFill="1" applyBorder="1" applyAlignment="1" applyProtection="1">
      <alignment vertical="top"/>
      <protection locked="0"/>
    </xf>
    <xf numFmtId="17" fontId="25" fillId="3" borderId="3" xfId="3" applyNumberFormat="1" applyFont="1" applyFill="1" applyBorder="1" applyAlignment="1" applyProtection="1">
      <alignment vertical="top"/>
      <protection locked="0"/>
    </xf>
    <xf numFmtId="0" fontId="16" fillId="0" borderId="4" xfId="3" applyFont="1" applyBorder="1" applyAlignment="1">
      <alignment horizontal="left" vertical="top" wrapText="1"/>
    </xf>
    <xf numFmtId="49" fontId="3" fillId="0" borderId="1" xfId="0" applyNumberFormat="1" applyFont="1" applyBorder="1" applyAlignment="1">
      <alignment horizontal="center" vertical="center" wrapText="1"/>
    </xf>
    <xf numFmtId="49" fontId="3" fillId="0" borderId="1" xfId="0" applyNumberFormat="1" applyFont="1" applyBorder="1" applyAlignment="1">
      <alignment horizontal="left" vertical="center" wrapText="1"/>
    </xf>
    <xf numFmtId="49" fontId="3" fillId="0" borderId="1" xfId="0" applyNumberFormat="1" applyFont="1" applyBorder="1" applyAlignment="1">
      <alignment vertical="center" wrapText="1"/>
    </xf>
    <xf numFmtId="0" fontId="16" fillId="0" borderId="4" xfId="3" applyFont="1" applyBorder="1" applyAlignment="1">
      <alignment vertical="top" wrapText="1"/>
    </xf>
    <xf numFmtId="0" fontId="16" fillId="3" borderId="4" xfId="3" applyFont="1" applyFill="1" applyBorder="1" applyAlignment="1" applyProtection="1">
      <alignment vertical="top" wrapText="1"/>
      <protection locked="0"/>
    </xf>
    <xf numFmtId="174" fontId="16" fillId="3" borderId="4" xfId="3" applyNumberFormat="1" applyFont="1" applyFill="1" applyBorder="1" applyAlignment="1" applyProtection="1">
      <alignment vertical="top" wrapText="1"/>
      <protection locked="0"/>
    </xf>
    <xf numFmtId="0" fontId="16" fillId="5" borderId="13" xfId="0" applyFont="1" applyFill="1" applyBorder="1" applyAlignment="1" applyProtection="1">
      <alignment vertical="center" wrapText="1"/>
      <protection locked="0"/>
    </xf>
    <xf numFmtId="182" fontId="23" fillId="0" borderId="0" xfId="0" applyNumberFormat="1" applyFont="1">
      <alignment vertical="center"/>
    </xf>
    <xf numFmtId="0" fontId="2" fillId="0" borderId="0" xfId="0" applyFont="1" applyAlignment="1">
      <alignment vertical="center" wrapText="1"/>
    </xf>
    <xf numFmtId="49" fontId="2" fillId="0" borderId="1" xfId="0" applyNumberFormat="1" applyFont="1" applyBorder="1" applyAlignment="1">
      <alignment vertical="center" wrapText="1"/>
    </xf>
    <xf numFmtId="49" fontId="2" fillId="0" borderId="1" xfId="0" applyNumberFormat="1" applyFont="1" applyBorder="1" applyAlignment="1">
      <alignment horizontal="center" vertical="center" wrapText="1"/>
    </xf>
    <xf numFmtId="165" fontId="48" fillId="13" borderId="0" xfId="1" applyFont="1" applyFill="1" applyAlignment="1" applyProtection="1">
      <alignment horizontal="right" vertical="center" wrapText="1"/>
    </xf>
    <xf numFmtId="2" fontId="49" fillId="6" borderId="25" xfId="0" applyNumberFormat="1" applyFont="1" applyFill="1" applyBorder="1" applyAlignment="1" applyProtection="1">
      <alignment horizontal="center" vertical="center" wrapText="1"/>
      <protection locked="0"/>
    </xf>
    <xf numFmtId="49" fontId="2" fillId="0" borderId="1" xfId="0" applyNumberFormat="1" applyFont="1" applyBorder="1" applyAlignment="1">
      <alignment horizontal="left" vertical="center" wrapText="1"/>
    </xf>
    <xf numFmtId="183" fontId="15" fillId="8" borderId="1" xfId="3" applyNumberFormat="1" applyFont="1" applyFill="1" applyBorder="1" applyAlignment="1">
      <alignment horizontal="left" vertical="top"/>
    </xf>
    <xf numFmtId="184" fontId="15" fillId="8" borderId="1" xfId="3" applyNumberFormat="1" applyFont="1" applyFill="1" applyBorder="1" applyAlignment="1">
      <alignment horizontal="left" vertical="top"/>
    </xf>
    <xf numFmtId="0" fontId="15" fillId="14" borderId="26" xfId="23" applyFont="1" applyFill="1" applyBorder="1" applyProtection="1">
      <protection locked="0"/>
    </xf>
    <xf numFmtId="0" fontId="15" fillId="4" borderId="27" xfId="23" applyFont="1" applyFill="1" applyBorder="1" applyProtection="1">
      <protection locked="0"/>
    </xf>
    <xf numFmtId="0" fontId="15" fillId="14" borderId="28" xfId="23" applyFont="1" applyFill="1" applyBorder="1" applyProtection="1">
      <protection locked="0"/>
    </xf>
    <xf numFmtId="0" fontId="15" fillId="14" borderId="0" xfId="23" applyFont="1" applyFill="1" applyProtection="1">
      <protection locked="0"/>
    </xf>
    <xf numFmtId="0" fontId="15" fillId="14" borderId="29" xfId="23" applyFont="1" applyFill="1" applyBorder="1" applyProtection="1">
      <protection locked="0"/>
    </xf>
    <xf numFmtId="0" fontId="50" fillId="4" borderId="0" xfId="23" applyFont="1" applyFill="1" applyProtection="1">
      <protection locked="0"/>
    </xf>
    <xf numFmtId="0" fontId="50" fillId="4" borderId="0" xfId="23" quotePrefix="1" applyFont="1" applyFill="1" applyProtection="1">
      <protection locked="0"/>
    </xf>
    <xf numFmtId="0" fontId="13" fillId="4" borderId="0" xfId="23" applyFont="1" applyFill="1" applyProtection="1">
      <protection locked="0"/>
    </xf>
    <xf numFmtId="0" fontId="15" fillId="4" borderId="0" xfId="23" applyFont="1" applyFill="1" applyProtection="1">
      <protection locked="0"/>
    </xf>
    <xf numFmtId="0" fontId="15" fillId="14" borderId="30" xfId="23" applyFont="1" applyFill="1" applyBorder="1" applyProtection="1">
      <protection locked="0"/>
    </xf>
    <xf numFmtId="0" fontId="51" fillId="14" borderId="0" xfId="23" applyFont="1" applyFill="1" applyAlignment="1" applyProtection="1">
      <alignment vertical="center"/>
      <protection locked="0"/>
    </xf>
    <xf numFmtId="0" fontId="25" fillId="14" borderId="0" xfId="23" applyFont="1" applyFill="1" applyAlignment="1" applyProtection="1">
      <alignment vertical="top"/>
      <protection locked="0"/>
    </xf>
    <xf numFmtId="0" fontId="15" fillId="14" borderId="0" xfId="23" applyFont="1" applyFill="1" applyAlignment="1" applyProtection="1">
      <alignment horizontal="left"/>
      <protection locked="0"/>
    </xf>
    <xf numFmtId="0" fontId="13" fillId="14" borderId="30" xfId="23" applyFont="1" applyFill="1" applyBorder="1" applyAlignment="1" applyProtection="1">
      <alignment vertical="top"/>
      <protection locked="0"/>
    </xf>
    <xf numFmtId="0" fontId="13" fillId="14" borderId="0" xfId="23" applyFont="1" applyFill="1" applyProtection="1">
      <protection locked="0"/>
    </xf>
    <xf numFmtId="0" fontId="54" fillId="14" borderId="30" xfId="23" applyFont="1" applyFill="1" applyBorder="1" applyAlignment="1" applyProtection="1">
      <alignment horizontal="center" vertical="center"/>
      <protection locked="0"/>
    </xf>
    <xf numFmtId="0" fontId="13" fillId="14" borderId="0" xfId="23" applyFont="1" applyFill="1" applyAlignment="1" applyProtection="1">
      <alignment vertical="top"/>
      <protection locked="0"/>
    </xf>
    <xf numFmtId="0" fontId="55" fillId="14" borderId="29" xfId="23" applyFont="1" applyFill="1" applyBorder="1" applyProtection="1">
      <protection locked="0"/>
    </xf>
    <xf numFmtId="0" fontId="56" fillId="4" borderId="0" xfId="23" applyFont="1" applyFill="1" applyProtection="1">
      <protection locked="0"/>
    </xf>
    <xf numFmtId="0" fontId="56" fillId="14" borderId="0" xfId="23" applyFont="1" applyFill="1" applyProtection="1">
      <protection locked="0"/>
    </xf>
    <xf numFmtId="0" fontId="55" fillId="14" borderId="30" xfId="23" applyFont="1" applyFill="1" applyBorder="1" applyProtection="1">
      <protection locked="0"/>
    </xf>
    <xf numFmtId="0" fontId="55" fillId="14" borderId="0" xfId="23" applyFont="1" applyFill="1" applyProtection="1">
      <protection locked="0"/>
    </xf>
    <xf numFmtId="0" fontId="50" fillId="16" borderId="32" xfId="23" applyFont="1" applyFill="1" applyBorder="1" applyAlignment="1" applyProtection="1">
      <alignment horizontal="left" vertical="center"/>
      <protection locked="0"/>
    </xf>
    <xf numFmtId="0" fontId="50" fillId="16" borderId="0" xfId="23" applyFont="1" applyFill="1" applyAlignment="1" applyProtection="1">
      <alignment horizontal="left" vertical="center"/>
      <protection locked="0"/>
    </xf>
    <xf numFmtId="0" fontId="35" fillId="14" borderId="30" xfId="23" applyFont="1" applyFill="1" applyBorder="1" applyAlignment="1" applyProtection="1">
      <alignment horizontal="left" vertical="center"/>
      <protection locked="0"/>
    </xf>
    <xf numFmtId="0" fontId="50" fillId="16" borderId="34" xfId="23" applyFont="1" applyFill="1" applyBorder="1" applyAlignment="1" applyProtection="1">
      <alignment horizontal="left" vertical="center"/>
      <protection locked="0"/>
    </xf>
    <xf numFmtId="0" fontId="50" fillId="16" borderId="35" xfId="23" applyFont="1" applyFill="1" applyBorder="1" applyAlignment="1" applyProtection="1">
      <alignment horizontal="left" vertical="center"/>
      <protection locked="0"/>
    </xf>
    <xf numFmtId="0" fontId="50" fillId="16" borderId="37" xfId="23" applyFont="1" applyFill="1" applyBorder="1" applyAlignment="1" applyProtection="1">
      <alignment horizontal="left" vertical="center"/>
      <protection locked="0"/>
    </xf>
    <xf numFmtId="0" fontId="50" fillId="16" borderId="38" xfId="23" applyFont="1" applyFill="1" applyBorder="1" applyAlignment="1" applyProtection="1">
      <alignment horizontal="left" vertical="center"/>
      <protection locked="0"/>
    </xf>
    <xf numFmtId="0" fontId="55" fillId="4" borderId="30" xfId="23" applyFont="1" applyFill="1" applyBorder="1" applyProtection="1">
      <protection locked="0"/>
    </xf>
    <xf numFmtId="0" fontId="56" fillId="14" borderId="29" xfId="23" applyFont="1" applyFill="1" applyBorder="1" applyProtection="1">
      <protection locked="0"/>
    </xf>
    <xf numFmtId="0" fontId="56" fillId="14" borderId="30" xfId="23" applyFont="1" applyFill="1" applyBorder="1" applyProtection="1">
      <protection locked="0"/>
    </xf>
    <xf numFmtId="0" fontId="58" fillId="15" borderId="0" xfId="23" applyFont="1" applyFill="1" applyAlignment="1" applyProtection="1">
      <alignment horizontal="left" vertical="center"/>
      <protection locked="0"/>
    </xf>
    <xf numFmtId="0" fontId="50" fillId="16" borderId="37" xfId="23" applyFont="1" applyFill="1" applyBorder="1" applyAlignment="1" applyProtection="1">
      <alignment horizontal="left"/>
      <protection locked="0"/>
    </xf>
    <xf numFmtId="0" fontId="56" fillId="7" borderId="33" xfId="23" applyFont="1" applyFill="1" applyBorder="1" applyProtection="1">
      <protection locked="0"/>
    </xf>
    <xf numFmtId="0" fontId="50" fillId="16" borderId="38" xfId="23" applyFont="1" applyFill="1" applyBorder="1" applyAlignment="1" applyProtection="1">
      <alignment horizontal="left"/>
      <protection locked="0"/>
    </xf>
    <xf numFmtId="0" fontId="56" fillId="7" borderId="0" xfId="23" applyFont="1" applyFill="1" applyAlignment="1" applyProtection="1">
      <alignment horizontal="left"/>
      <protection locked="0"/>
    </xf>
    <xf numFmtId="0" fontId="56" fillId="14" borderId="30" xfId="23" applyFont="1" applyFill="1" applyBorder="1" applyAlignment="1" applyProtection="1">
      <alignment horizontal="right"/>
      <protection locked="0"/>
    </xf>
    <xf numFmtId="0" fontId="50" fillId="16" borderId="31" xfId="23" applyFont="1" applyFill="1" applyBorder="1" applyAlignment="1" applyProtection="1">
      <alignment horizontal="left"/>
      <protection locked="0"/>
    </xf>
    <xf numFmtId="0" fontId="50" fillId="16" borderId="34" xfId="23" applyFont="1" applyFill="1" applyBorder="1" applyAlignment="1" applyProtection="1">
      <alignment horizontal="left"/>
      <protection locked="0"/>
    </xf>
    <xf numFmtId="0" fontId="56" fillId="7" borderId="35" xfId="23" applyFont="1" applyFill="1" applyBorder="1" applyAlignment="1" applyProtection="1">
      <alignment horizontal="left"/>
      <protection locked="0"/>
    </xf>
    <xf numFmtId="0" fontId="50" fillId="16" borderId="35" xfId="23" applyFont="1" applyFill="1" applyBorder="1" applyAlignment="1" applyProtection="1">
      <alignment horizontal="left"/>
      <protection locked="0"/>
    </xf>
    <xf numFmtId="0" fontId="50" fillId="16" borderId="32" xfId="23" applyFont="1" applyFill="1" applyBorder="1" applyAlignment="1" applyProtection="1">
      <alignment horizontal="left"/>
      <protection locked="0"/>
    </xf>
    <xf numFmtId="0" fontId="56" fillId="7" borderId="35" xfId="24" applyNumberFormat="1" applyFont="1" applyFill="1" applyBorder="1" applyAlignment="1" applyProtection="1">
      <protection locked="0"/>
    </xf>
    <xf numFmtId="0" fontId="50" fillId="16" borderId="0" xfId="23" applyFont="1" applyFill="1" applyAlignment="1" applyProtection="1">
      <alignment horizontal="left"/>
      <protection locked="0"/>
    </xf>
    <xf numFmtId="4" fontId="56" fillId="14" borderId="30" xfId="23" applyNumberFormat="1" applyFont="1" applyFill="1" applyBorder="1" applyAlignment="1" applyProtection="1">
      <alignment horizontal="left"/>
      <protection locked="0"/>
    </xf>
    <xf numFmtId="0" fontId="56" fillId="7" borderId="35" xfId="23" applyFont="1" applyFill="1" applyBorder="1" applyProtection="1">
      <protection locked="0"/>
    </xf>
    <xf numFmtId="49" fontId="56" fillId="14" borderId="30" xfId="23" applyNumberFormat="1" applyFont="1" applyFill="1" applyBorder="1" applyAlignment="1" applyProtection="1">
      <alignment horizontal="right"/>
      <protection locked="0"/>
    </xf>
    <xf numFmtId="0" fontId="50" fillId="16" borderId="42" xfId="23" applyFont="1" applyFill="1" applyBorder="1" applyAlignment="1" applyProtection="1">
      <alignment horizontal="left"/>
      <protection locked="0"/>
    </xf>
    <xf numFmtId="14" fontId="56" fillId="7" borderId="35" xfId="23" applyNumberFormat="1" applyFont="1" applyFill="1" applyBorder="1" applyAlignment="1" applyProtection="1">
      <alignment horizontal="left"/>
      <protection locked="0"/>
    </xf>
    <xf numFmtId="2" fontId="56" fillId="7" borderId="35" xfId="23" applyNumberFormat="1" applyFont="1" applyFill="1" applyBorder="1" applyAlignment="1" applyProtection="1">
      <alignment horizontal="left"/>
      <protection locked="0"/>
    </xf>
    <xf numFmtId="2" fontId="56" fillId="7" borderId="35" xfId="23" applyNumberFormat="1" applyFont="1" applyFill="1" applyBorder="1" applyProtection="1">
      <protection locked="0"/>
    </xf>
    <xf numFmtId="0" fontId="50" fillId="16" borderId="33" xfId="23" applyFont="1" applyFill="1" applyBorder="1" applyAlignment="1" applyProtection="1">
      <alignment horizontal="left"/>
      <protection locked="0"/>
    </xf>
    <xf numFmtId="0" fontId="56" fillId="7" borderId="0" xfId="23" applyFont="1" applyFill="1" applyProtection="1">
      <protection locked="0"/>
    </xf>
    <xf numFmtId="0" fontId="59" fillId="14" borderId="0" xfId="23" applyFont="1" applyFill="1" applyProtection="1">
      <protection locked="0"/>
    </xf>
    <xf numFmtId="2" fontId="56" fillId="14" borderId="0" xfId="23" applyNumberFormat="1" applyFont="1" applyFill="1" applyAlignment="1" applyProtection="1">
      <alignment horizontal="right"/>
      <protection locked="0"/>
    </xf>
    <xf numFmtId="4" fontId="56" fillId="14" borderId="30" xfId="23" applyNumberFormat="1" applyFont="1" applyFill="1" applyBorder="1" applyAlignment="1" applyProtection="1">
      <alignment horizontal="right"/>
      <protection locked="0"/>
    </xf>
    <xf numFmtId="2" fontId="60" fillId="14" borderId="46" xfId="23" applyNumberFormat="1" applyFont="1" applyFill="1" applyBorder="1" applyAlignment="1" applyProtection="1">
      <alignment horizontal="center"/>
      <protection locked="0"/>
    </xf>
    <xf numFmtId="2" fontId="60" fillId="14" borderId="47" xfId="23" applyNumberFormat="1" applyFont="1" applyFill="1" applyBorder="1" applyAlignment="1" applyProtection="1">
      <alignment horizontal="center"/>
      <protection locked="0"/>
    </xf>
    <xf numFmtId="2" fontId="60" fillId="14" borderId="48" xfId="23" applyNumberFormat="1" applyFont="1" applyFill="1" applyBorder="1" applyAlignment="1" applyProtection="1">
      <alignment horizontal="center"/>
      <protection locked="0"/>
    </xf>
    <xf numFmtId="4" fontId="56" fillId="14" borderId="0" xfId="23" applyNumberFormat="1" applyFont="1" applyFill="1" applyProtection="1">
      <protection locked="0"/>
    </xf>
    <xf numFmtId="0" fontId="50" fillId="16" borderId="51" xfId="23" applyFont="1" applyFill="1" applyBorder="1" applyAlignment="1" applyProtection="1">
      <alignment horizontal="left"/>
      <protection locked="0"/>
    </xf>
    <xf numFmtId="0" fontId="50" fillId="16" borderId="52" xfId="23" applyFont="1" applyFill="1" applyBorder="1" applyAlignment="1" applyProtection="1">
      <alignment horizontal="left"/>
      <protection locked="0"/>
    </xf>
    <xf numFmtId="0" fontId="56" fillId="14" borderId="53" xfId="23" applyFont="1" applyFill="1" applyBorder="1" applyProtection="1">
      <protection locked="0"/>
    </xf>
    <xf numFmtId="0" fontId="56" fillId="14" borderId="54" xfId="23" applyFont="1" applyFill="1" applyBorder="1" applyAlignment="1" applyProtection="1">
      <alignment horizontal="center"/>
      <protection locked="0"/>
    </xf>
    <xf numFmtId="0" fontId="56" fillId="14" borderId="54" xfId="23" applyFont="1" applyFill="1" applyBorder="1" applyProtection="1">
      <protection locked="0"/>
    </xf>
    <xf numFmtId="0" fontId="56" fillId="14" borderId="55" xfId="23" applyFont="1" applyFill="1" applyBorder="1" applyProtection="1">
      <protection locked="0"/>
    </xf>
    <xf numFmtId="2" fontId="56" fillId="14" borderId="30" xfId="23" applyNumberFormat="1" applyFont="1" applyFill="1" applyBorder="1" applyAlignment="1" applyProtection="1">
      <alignment horizontal="left"/>
      <protection locked="0"/>
    </xf>
    <xf numFmtId="0" fontId="56" fillId="14" borderId="0" xfId="23" applyFont="1" applyFill="1" applyAlignment="1" applyProtection="1">
      <alignment horizontal="center"/>
      <protection locked="0"/>
    </xf>
    <xf numFmtId="4" fontId="56" fillId="7" borderId="0" xfId="23" applyNumberFormat="1" applyFont="1" applyFill="1" applyAlignment="1" applyProtection="1">
      <alignment horizontal="left"/>
      <protection locked="0"/>
    </xf>
    <xf numFmtId="0" fontId="56" fillId="7" borderId="0" xfId="23" applyFont="1" applyFill="1" applyAlignment="1">
      <alignment horizontal="left"/>
    </xf>
    <xf numFmtId="2" fontId="56" fillId="7" borderId="0" xfId="23" applyNumberFormat="1" applyFont="1" applyFill="1" applyAlignment="1" applyProtection="1">
      <alignment horizontal="center"/>
      <protection locked="0"/>
    </xf>
    <xf numFmtId="165" fontId="56" fillId="7" borderId="0" xfId="23" applyNumberFormat="1" applyFont="1" applyFill="1" applyAlignment="1" applyProtection="1">
      <alignment horizontal="center"/>
      <protection locked="0"/>
    </xf>
    <xf numFmtId="4" fontId="56" fillId="7" borderId="0" xfId="23" applyNumberFormat="1" applyFont="1" applyFill="1" applyAlignment="1" applyProtection="1">
      <alignment horizontal="center"/>
      <protection locked="0"/>
    </xf>
    <xf numFmtId="4" fontId="56" fillId="4" borderId="30" xfId="23" applyNumberFormat="1" applyFont="1" applyFill="1" applyBorder="1" applyAlignment="1" applyProtection="1">
      <alignment horizontal="left"/>
      <protection locked="0"/>
    </xf>
    <xf numFmtId="4" fontId="56" fillId="4" borderId="0" xfId="23" applyNumberFormat="1" applyFont="1" applyFill="1" applyAlignment="1" applyProtection="1">
      <alignment horizontal="left"/>
      <protection locked="0"/>
    </xf>
    <xf numFmtId="0" fontId="56" fillId="4" borderId="0" xfId="23" applyFont="1" applyFill="1" applyAlignment="1">
      <alignment horizontal="left"/>
    </xf>
    <xf numFmtId="0" fontId="60" fillId="7" borderId="0" xfId="23" applyFont="1" applyFill="1" applyProtection="1">
      <protection locked="0"/>
    </xf>
    <xf numFmtId="2" fontId="60" fillId="7" borderId="0" xfId="23" applyNumberFormat="1" applyFont="1" applyFill="1" applyAlignment="1" applyProtection="1">
      <alignment horizontal="center"/>
      <protection locked="0"/>
    </xf>
    <xf numFmtId="0" fontId="60" fillId="7" borderId="0" xfId="23" applyFont="1" applyFill="1" applyAlignment="1" applyProtection="1">
      <alignment horizontal="center"/>
      <protection locked="0"/>
    </xf>
    <xf numFmtId="4" fontId="60" fillId="7" borderId="0" xfId="23" applyNumberFormat="1" applyFont="1" applyFill="1" applyAlignment="1" applyProtection="1">
      <alignment horizontal="center"/>
      <protection locked="0"/>
    </xf>
    <xf numFmtId="0" fontId="58" fillId="15" borderId="0" xfId="23" applyFont="1" applyFill="1" applyAlignment="1" applyProtection="1">
      <alignment horizontal="center" vertical="center"/>
      <protection locked="0"/>
    </xf>
    <xf numFmtId="4" fontId="56" fillId="14" borderId="30" xfId="23" applyNumberFormat="1" applyFont="1" applyFill="1" applyBorder="1" applyProtection="1">
      <protection locked="0"/>
    </xf>
    <xf numFmtId="187" fontId="56" fillId="7" borderId="0" xfId="23" applyNumberFormat="1" applyFont="1" applyFill="1" applyProtection="1">
      <protection locked="0"/>
    </xf>
    <xf numFmtId="1" fontId="56" fillId="7" borderId="0" xfId="23" applyNumberFormat="1" applyFont="1" applyFill="1" applyAlignment="1" applyProtection="1">
      <alignment horizontal="center"/>
      <protection locked="0"/>
    </xf>
    <xf numFmtId="165" fontId="56" fillId="14" borderId="0" xfId="23" applyNumberFormat="1" applyFont="1" applyFill="1" applyProtection="1">
      <protection locked="0"/>
    </xf>
    <xf numFmtId="3" fontId="61" fillId="7" borderId="0" xfId="23" applyNumberFormat="1" applyFont="1" applyFill="1" applyAlignment="1" applyProtection="1">
      <alignment horizontal="center"/>
      <protection locked="0"/>
    </xf>
    <xf numFmtId="2" fontId="61" fillId="7" borderId="0" xfId="23" applyNumberFormat="1" applyFont="1" applyFill="1" applyAlignment="1" applyProtection="1">
      <alignment horizontal="center"/>
      <protection locked="0"/>
    </xf>
    <xf numFmtId="9" fontId="56" fillId="7" borderId="0" xfId="23" applyNumberFormat="1" applyFont="1" applyFill="1" applyAlignment="1" applyProtection="1">
      <alignment horizontal="left"/>
      <protection locked="0"/>
    </xf>
    <xf numFmtId="0" fontId="60" fillId="14" borderId="0" xfId="23" applyFont="1" applyFill="1" applyProtection="1">
      <protection locked="0"/>
    </xf>
    <xf numFmtId="2" fontId="60" fillId="14" borderId="0" xfId="23" applyNumberFormat="1" applyFont="1" applyFill="1" applyProtection="1">
      <protection locked="0"/>
    </xf>
    <xf numFmtId="4" fontId="60" fillId="14" borderId="30" xfId="23" applyNumberFormat="1" applyFont="1" applyFill="1" applyBorder="1" applyProtection="1">
      <protection locked="0"/>
    </xf>
    <xf numFmtId="0" fontId="58" fillId="15" borderId="0" xfId="23" applyFont="1" applyFill="1" applyAlignment="1" applyProtection="1">
      <alignment vertical="center"/>
      <protection locked="0"/>
    </xf>
    <xf numFmtId="0" fontId="62" fillId="15" borderId="0" xfId="23" applyFont="1" applyFill="1" applyProtection="1">
      <protection locked="0"/>
    </xf>
    <xf numFmtId="0" fontId="58" fillId="15" borderId="0" xfId="23" applyFont="1" applyFill="1" applyProtection="1">
      <protection locked="0"/>
    </xf>
    <xf numFmtId="4" fontId="58" fillId="15" borderId="0" xfId="23" applyNumberFormat="1" applyFont="1" applyFill="1" applyAlignment="1">
      <alignment horizontal="center" vertical="center"/>
    </xf>
    <xf numFmtId="0" fontId="63" fillId="14" borderId="29" xfId="23" applyFont="1" applyFill="1" applyBorder="1" applyProtection="1">
      <protection locked="0"/>
    </xf>
    <xf numFmtId="0" fontId="63" fillId="14" borderId="0" xfId="23" applyFont="1" applyFill="1" applyProtection="1">
      <protection locked="0"/>
    </xf>
    <xf numFmtId="0" fontId="63" fillId="14" borderId="0" xfId="23" quotePrefix="1" applyFont="1" applyFill="1" applyAlignment="1" applyProtection="1">
      <alignment horizontal="left"/>
      <protection locked="0"/>
    </xf>
    <xf numFmtId="4" fontId="63" fillId="14" borderId="30" xfId="23" applyNumberFormat="1" applyFont="1" applyFill="1" applyBorder="1" applyProtection="1">
      <protection locked="0"/>
    </xf>
    <xf numFmtId="0" fontId="50" fillId="14" borderId="0" xfId="23" applyFont="1" applyFill="1" applyAlignment="1" applyProtection="1">
      <alignment horizontal="left"/>
      <protection locked="0"/>
    </xf>
    <xf numFmtId="0" fontId="63" fillId="14" borderId="30" xfId="23" applyFont="1" applyFill="1" applyBorder="1" applyProtection="1">
      <protection locked="0"/>
    </xf>
    <xf numFmtId="0" fontId="63" fillId="14" borderId="29" xfId="23" quotePrefix="1" applyFont="1" applyFill="1" applyBorder="1" applyProtection="1">
      <protection locked="0"/>
    </xf>
    <xf numFmtId="0" fontId="64" fillId="14" borderId="0" xfId="23" quotePrefix="1" applyFont="1" applyFill="1" applyAlignment="1" applyProtection="1">
      <alignment horizontal="left"/>
      <protection locked="0"/>
    </xf>
    <xf numFmtId="0" fontId="63" fillId="14" borderId="30" xfId="23" quotePrefix="1" applyFont="1" applyFill="1" applyBorder="1" applyAlignment="1" applyProtection="1">
      <alignment horizontal="left"/>
      <protection locked="0"/>
    </xf>
    <xf numFmtId="0" fontId="63" fillId="14" borderId="29" xfId="23" quotePrefix="1" applyFont="1" applyFill="1" applyBorder="1" applyAlignment="1" applyProtection="1">
      <alignment horizontal="left"/>
      <protection locked="0"/>
    </xf>
    <xf numFmtId="0" fontId="65" fillId="14" borderId="29" xfId="23" quotePrefix="1" applyFont="1" applyFill="1" applyBorder="1" applyProtection="1">
      <protection locked="0"/>
    </xf>
    <xf numFmtId="0" fontId="65" fillId="14" borderId="0" xfId="23" applyFont="1" applyFill="1" applyProtection="1">
      <protection locked="0"/>
    </xf>
    <xf numFmtId="0" fontId="58" fillId="15" borderId="35" xfId="23" applyFont="1" applyFill="1" applyBorder="1" applyAlignment="1" applyProtection="1">
      <alignment horizontal="left" vertical="center"/>
      <protection locked="0"/>
    </xf>
    <xf numFmtId="0" fontId="56" fillId="16" borderId="0" xfId="23" applyFont="1" applyFill="1" applyProtection="1">
      <protection locked="0"/>
    </xf>
    <xf numFmtId="0" fontId="58" fillId="15" borderId="36" xfId="23" applyFont="1" applyFill="1" applyBorder="1" applyAlignment="1" applyProtection="1">
      <alignment horizontal="left" vertical="center"/>
      <protection locked="0"/>
    </xf>
    <xf numFmtId="0" fontId="58" fillId="16" borderId="0" xfId="23" applyFont="1" applyFill="1" applyAlignment="1" applyProtection="1">
      <alignment vertical="center"/>
      <protection locked="0"/>
    </xf>
    <xf numFmtId="0" fontId="58" fillId="16" borderId="35" xfId="23" applyFont="1" applyFill="1" applyBorder="1" applyAlignment="1" applyProtection="1">
      <alignment vertical="center"/>
      <protection locked="0"/>
    </xf>
    <xf numFmtId="0" fontId="58" fillId="15" borderId="56" xfId="23" applyFont="1" applyFill="1" applyBorder="1" applyAlignment="1" applyProtection="1">
      <alignment vertical="center"/>
      <protection locked="0"/>
    </xf>
    <xf numFmtId="0" fontId="65" fillId="14" borderId="57" xfId="23" applyFont="1" applyFill="1" applyBorder="1" applyProtection="1">
      <protection locked="0"/>
    </xf>
    <xf numFmtId="0" fontId="65" fillId="14" borderId="58" xfId="23" applyFont="1" applyFill="1" applyBorder="1" applyProtection="1">
      <protection locked="0"/>
    </xf>
    <xf numFmtId="0" fontId="15" fillId="14" borderId="59" xfId="23" applyFont="1" applyFill="1" applyBorder="1" applyProtection="1">
      <protection locked="0"/>
    </xf>
    <xf numFmtId="0" fontId="16" fillId="5" borderId="2" xfId="5" applyFont="1" applyFill="1" applyBorder="1" applyAlignment="1">
      <alignment horizontal="center" vertical="center" wrapText="1"/>
    </xf>
    <xf numFmtId="0" fontId="16" fillId="5" borderId="4" xfId="5" applyFont="1" applyFill="1" applyBorder="1" applyAlignment="1">
      <alignment horizontal="center" vertical="center" wrapText="1"/>
    </xf>
    <xf numFmtId="0" fontId="16" fillId="5" borderId="3" xfId="5" applyFont="1" applyFill="1" applyBorder="1" applyAlignment="1">
      <alignment horizontal="center" vertical="center" wrapText="1"/>
    </xf>
    <xf numFmtId="175" fontId="15" fillId="0" borderId="1" xfId="7" applyNumberFormat="1" applyFont="1" applyBorder="1" applyAlignment="1">
      <alignment horizontal="left" vertical="top" wrapText="1"/>
    </xf>
    <xf numFmtId="175" fontId="15" fillId="0" borderId="1" xfId="7" applyNumberFormat="1" applyFont="1" applyBorder="1" applyAlignment="1">
      <alignment horizontal="left" vertical="top"/>
    </xf>
    <xf numFmtId="0" fontId="24" fillId="2" borderId="2" xfId="2" applyFont="1" applyFill="1" applyBorder="1" applyAlignment="1">
      <alignment horizontal="right" vertical="center"/>
    </xf>
    <xf numFmtId="0" fontId="24" fillId="2" borderId="3" xfId="2" applyFont="1" applyFill="1" applyBorder="1" applyAlignment="1">
      <alignment horizontal="right" vertical="center"/>
    </xf>
    <xf numFmtId="0" fontId="16" fillId="0" borderId="2" xfId="3" applyFont="1" applyBorder="1" applyAlignment="1">
      <alignment horizontal="left" vertical="top"/>
    </xf>
    <xf numFmtId="0" fontId="16" fillId="0" borderId="3" xfId="3" applyFont="1" applyBorder="1" applyAlignment="1">
      <alignment horizontal="left" vertical="top"/>
    </xf>
    <xf numFmtId="0" fontId="19" fillId="8" borderId="20" xfId="1" quotePrefix="1" applyNumberFormat="1" applyFont="1" applyFill="1" applyBorder="1" applyAlignment="1" applyProtection="1">
      <alignment horizontal="center" vertical="center" wrapText="1"/>
    </xf>
    <xf numFmtId="0" fontId="19" fillId="8" borderId="22" xfId="1" quotePrefix="1" applyNumberFormat="1" applyFont="1" applyFill="1" applyBorder="1" applyAlignment="1" applyProtection="1">
      <alignment horizontal="center" vertical="center" wrapText="1"/>
    </xf>
    <xf numFmtId="0" fontId="19" fillId="8" borderId="13" xfId="1" quotePrefix="1" applyNumberFormat="1" applyFont="1" applyFill="1" applyBorder="1" applyAlignment="1" applyProtection="1">
      <alignment horizontal="center" vertical="center" wrapText="1"/>
    </xf>
    <xf numFmtId="0" fontId="19" fillId="8" borderId="20" xfId="1" applyNumberFormat="1" applyFont="1" applyFill="1" applyBorder="1" applyAlignment="1" applyProtection="1">
      <alignment horizontal="center" vertical="center" wrapText="1"/>
    </xf>
    <xf numFmtId="0" fontId="19" fillId="8" borderId="22" xfId="1" applyNumberFormat="1" applyFont="1" applyFill="1" applyBorder="1" applyAlignment="1" applyProtection="1">
      <alignment horizontal="center" vertical="center" wrapText="1"/>
    </xf>
    <xf numFmtId="0" fontId="19" fillId="8" borderId="13" xfId="1" applyNumberFormat="1" applyFont="1" applyFill="1" applyBorder="1" applyAlignment="1" applyProtection="1">
      <alignment horizontal="center" vertical="center" wrapText="1"/>
    </xf>
    <xf numFmtId="44" fontId="19" fillId="8" borderId="20" xfId="6" applyFont="1" applyFill="1" applyBorder="1" applyAlignment="1" applyProtection="1">
      <alignment horizontal="center" vertical="center" wrapText="1"/>
    </xf>
    <xf numFmtId="44" fontId="19" fillId="8" borderId="22" xfId="6" applyFont="1" applyFill="1" applyBorder="1" applyAlignment="1" applyProtection="1">
      <alignment horizontal="center" vertical="center" wrapText="1"/>
    </xf>
    <xf numFmtId="44" fontId="19" fillId="8" borderId="13" xfId="6" applyFont="1" applyFill="1" applyBorder="1" applyAlignment="1" applyProtection="1">
      <alignment horizontal="center" vertical="center" wrapText="1"/>
    </xf>
    <xf numFmtId="164" fontId="16" fillId="5" borderId="1" xfId="5" applyNumberFormat="1" applyFont="1" applyFill="1" applyBorder="1" applyAlignment="1">
      <alignment horizontal="center" vertical="center" wrapText="1"/>
    </xf>
    <xf numFmtId="178" fontId="16" fillId="0" borderId="2" xfId="3" applyNumberFormat="1" applyFont="1" applyBorder="1" applyAlignment="1">
      <alignment horizontal="center" vertical="top"/>
    </xf>
    <xf numFmtId="178" fontId="16" fillId="0" borderId="3" xfId="3" applyNumberFormat="1" applyFont="1" applyBorder="1" applyAlignment="1">
      <alignment horizontal="center" vertical="top"/>
    </xf>
    <xf numFmtId="164" fontId="16" fillId="5" borderId="2" xfId="5" applyNumberFormat="1" applyFont="1" applyFill="1" applyBorder="1" applyAlignment="1">
      <alignment horizontal="center" vertical="center" wrapText="1"/>
    </xf>
    <xf numFmtId="164" fontId="16" fillId="5" borderId="3" xfId="5" applyNumberFormat="1" applyFont="1" applyFill="1" applyBorder="1" applyAlignment="1">
      <alignment horizontal="center" vertical="center" wrapText="1"/>
    </xf>
    <xf numFmtId="0" fontId="19" fillId="8" borderId="20" xfId="1" applyNumberFormat="1" applyFont="1" applyFill="1" applyBorder="1" applyAlignment="1" applyProtection="1">
      <alignment horizontal="left" vertical="center" wrapText="1"/>
    </xf>
    <xf numFmtId="0" fontId="19" fillId="8" borderId="13" xfId="1" applyNumberFormat="1" applyFont="1" applyFill="1" applyBorder="1" applyAlignment="1" applyProtection="1">
      <alignment horizontal="left" vertical="center" wrapText="1"/>
    </xf>
    <xf numFmtId="44" fontId="19" fillId="8" borderId="22" xfId="1" applyNumberFormat="1" applyFont="1" applyFill="1" applyBorder="1" applyAlignment="1" applyProtection="1">
      <alignment horizontal="center" vertical="center" wrapText="1"/>
    </xf>
    <xf numFmtId="44" fontId="19" fillId="8" borderId="13" xfId="1" applyNumberFormat="1" applyFont="1" applyFill="1" applyBorder="1" applyAlignment="1" applyProtection="1">
      <alignment horizontal="center" vertical="center" wrapText="1"/>
    </xf>
    <xf numFmtId="0" fontId="19" fillId="8" borderId="20" xfId="1" applyNumberFormat="1" applyFont="1" applyFill="1" applyBorder="1" applyAlignment="1" applyProtection="1">
      <alignment horizontal="center" vertical="center"/>
    </xf>
    <xf numFmtId="0" fontId="19" fillId="8" borderId="22" xfId="1" applyNumberFormat="1" applyFont="1" applyFill="1" applyBorder="1" applyAlignment="1" applyProtection="1">
      <alignment horizontal="center" vertical="center"/>
    </xf>
    <xf numFmtId="0" fontId="19" fillId="8" borderId="13" xfId="1" applyNumberFormat="1" applyFont="1" applyFill="1" applyBorder="1" applyAlignment="1" applyProtection="1">
      <alignment horizontal="center" vertical="center"/>
    </xf>
    <xf numFmtId="0" fontId="19" fillId="8" borderId="22" xfId="1" applyNumberFormat="1" applyFont="1" applyFill="1" applyBorder="1" applyAlignment="1" applyProtection="1">
      <alignment horizontal="left" vertical="center" wrapText="1"/>
    </xf>
    <xf numFmtId="44" fontId="19" fillId="8" borderId="20" xfId="1" applyNumberFormat="1" applyFont="1" applyFill="1" applyBorder="1" applyAlignment="1" applyProtection="1">
      <alignment horizontal="center" vertical="center" wrapText="1"/>
    </xf>
    <xf numFmtId="0" fontId="16" fillId="0" borderId="1" xfId="3" applyFont="1" applyBorder="1" applyAlignment="1">
      <alignment horizontal="center" vertical="top"/>
    </xf>
    <xf numFmtId="0" fontId="17" fillId="0" borderId="1" xfId="3" applyFont="1" applyBorder="1" applyAlignment="1">
      <alignment horizontal="center" vertical="top"/>
    </xf>
    <xf numFmtId="10" fontId="16" fillId="5" borderId="1" xfId="8" applyNumberFormat="1" applyFont="1" applyFill="1" applyBorder="1" applyAlignment="1" applyProtection="1">
      <alignment horizontal="center" vertical="center" wrapText="1"/>
    </xf>
    <xf numFmtId="0" fontId="16" fillId="8" borderId="1" xfId="3" applyFont="1" applyFill="1" applyBorder="1" applyAlignment="1">
      <alignment horizontal="center" vertical="top"/>
    </xf>
    <xf numFmtId="165" fontId="27" fillId="2" borderId="1" xfId="1" applyFont="1" applyFill="1" applyBorder="1" applyAlignment="1" applyProtection="1">
      <alignment horizontal="center" vertical="top"/>
    </xf>
    <xf numFmtId="0" fontId="17" fillId="0" borderId="1" xfId="3" applyFont="1" applyBorder="1" applyAlignment="1">
      <alignment horizontal="left" vertical="top"/>
    </xf>
    <xf numFmtId="0" fontId="19" fillId="8" borderId="1" xfId="1" applyNumberFormat="1" applyFont="1" applyFill="1" applyBorder="1" applyAlignment="1" applyProtection="1">
      <alignment horizontal="center" vertical="center" wrapText="1"/>
    </xf>
    <xf numFmtId="0" fontId="19" fillId="8" borderId="1" xfId="1" applyNumberFormat="1" applyFont="1" applyFill="1" applyBorder="1" applyAlignment="1" applyProtection="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1" xfId="0" applyBorder="1" applyAlignment="1">
      <alignment horizontal="center" vertical="center" wrapText="1"/>
    </xf>
    <xf numFmtId="0" fontId="12" fillId="5" borderId="2" xfId="3" applyFont="1" applyFill="1" applyBorder="1" applyAlignment="1">
      <alignment horizontal="center" vertical="top" wrapText="1"/>
    </xf>
    <xf numFmtId="0" fontId="12" fillId="5" borderId="4" xfId="3" applyFont="1" applyFill="1" applyBorder="1" applyAlignment="1">
      <alignment horizontal="center" vertical="top" wrapText="1"/>
    </xf>
    <xf numFmtId="0" fontId="12" fillId="5" borderId="3" xfId="3" applyFont="1" applyFill="1" applyBorder="1" applyAlignment="1">
      <alignment horizontal="center" vertical="top" wrapText="1"/>
    </xf>
    <xf numFmtId="49" fontId="13" fillId="4" borderId="5" xfId="3" applyNumberFormat="1" applyFont="1" applyFill="1" applyBorder="1" applyAlignment="1">
      <alignment horizontal="left" vertical="top" wrapText="1"/>
    </xf>
    <xf numFmtId="49" fontId="13" fillId="4" borderId="6" xfId="3" applyNumberFormat="1" applyFont="1" applyFill="1" applyBorder="1" applyAlignment="1">
      <alignment horizontal="left" vertical="top" wrapText="1"/>
    </xf>
    <xf numFmtId="49" fontId="13" fillId="4" borderId="7" xfId="3" applyNumberFormat="1" applyFont="1" applyFill="1" applyBorder="1" applyAlignment="1">
      <alignment horizontal="left" vertical="top" wrapText="1"/>
    </xf>
    <xf numFmtId="49" fontId="13" fillId="4" borderId="8" xfId="3" applyNumberFormat="1" applyFont="1" applyFill="1" applyBorder="1" applyAlignment="1">
      <alignment horizontal="left" vertical="top" wrapText="1"/>
    </xf>
    <xf numFmtId="49" fontId="13" fillId="4" borderId="0" xfId="3" applyNumberFormat="1" applyFont="1" applyFill="1" applyAlignment="1">
      <alignment horizontal="left" vertical="top" wrapText="1"/>
    </xf>
    <xf numFmtId="49" fontId="13" fillId="4" borderId="9" xfId="3" applyNumberFormat="1" applyFont="1" applyFill="1" applyBorder="1" applyAlignment="1">
      <alignment horizontal="left" vertical="top" wrapText="1"/>
    </xf>
    <xf numFmtId="49" fontId="13" fillId="4" borderId="10" xfId="3" applyNumberFormat="1" applyFont="1" applyFill="1" applyBorder="1" applyAlignment="1">
      <alignment horizontal="left" vertical="top" wrapText="1"/>
    </xf>
    <xf numFmtId="49" fontId="13" fillId="4" borderId="11" xfId="3" applyNumberFormat="1" applyFont="1" applyFill="1" applyBorder="1" applyAlignment="1">
      <alignment horizontal="left" vertical="top" wrapText="1"/>
    </xf>
    <xf numFmtId="49" fontId="13" fillId="4" borderId="12" xfId="3" applyNumberFormat="1" applyFont="1" applyFill="1" applyBorder="1" applyAlignment="1">
      <alignment horizontal="left" vertical="top" wrapText="1"/>
    </xf>
    <xf numFmtId="0" fontId="63" fillId="14" borderId="0" xfId="23" quotePrefix="1" applyFont="1" applyFill="1" applyAlignment="1" applyProtection="1">
      <alignment horizontal="left"/>
      <protection locked="0"/>
    </xf>
    <xf numFmtId="0" fontId="63" fillId="14" borderId="30" xfId="23" quotePrefix="1" applyFont="1" applyFill="1" applyBorder="1" applyAlignment="1" applyProtection="1">
      <alignment horizontal="left"/>
      <protection locked="0"/>
    </xf>
    <xf numFmtId="0" fontId="58" fillId="15" borderId="34" xfId="23" applyFont="1" applyFill="1" applyBorder="1" applyAlignment="1" applyProtection="1">
      <alignment horizontal="left" vertical="center"/>
      <protection locked="0"/>
    </xf>
    <xf numFmtId="0" fontId="58" fillId="15" borderId="35" xfId="23" applyFont="1" applyFill="1" applyBorder="1" applyAlignment="1" applyProtection="1">
      <alignment horizontal="left" vertical="center"/>
      <protection locked="0"/>
    </xf>
    <xf numFmtId="0" fontId="56" fillId="7" borderId="0" xfId="23" applyFont="1" applyFill="1" applyAlignment="1" applyProtection="1">
      <alignment horizontal="left"/>
      <protection locked="0"/>
    </xf>
    <xf numFmtId="4" fontId="58" fillId="15" borderId="0" xfId="23" applyNumberFormat="1" applyFont="1" applyFill="1" applyAlignment="1">
      <alignment horizontal="center" vertical="center"/>
    </xf>
    <xf numFmtId="0" fontId="58" fillId="15" borderId="0" xfId="23" applyFont="1" applyFill="1" applyAlignment="1" applyProtection="1">
      <alignment horizontal="left" vertical="center"/>
      <protection locked="0"/>
    </xf>
    <xf numFmtId="0" fontId="58" fillId="15" borderId="0" xfId="23" applyFont="1" applyFill="1" applyAlignment="1" applyProtection="1">
      <alignment horizontal="center" vertical="center"/>
      <protection locked="0"/>
    </xf>
    <xf numFmtId="2" fontId="58" fillId="15" borderId="43" xfId="23" applyNumberFormat="1" applyFont="1" applyFill="1" applyBorder="1" applyAlignment="1" applyProtection="1">
      <alignment horizontal="center" vertical="center"/>
      <protection locked="0"/>
    </xf>
    <xf numFmtId="2" fontId="58" fillId="15" borderId="44" xfId="23" applyNumberFormat="1" applyFont="1" applyFill="1" applyBorder="1" applyAlignment="1" applyProtection="1">
      <alignment horizontal="center" vertical="center"/>
      <protection locked="0"/>
    </xf>
    <xf numFmtId="2" fontId="58" fillId="15" borderId="45" xfId="23" applyNumberFormat="1" applyFont="1" applyFill="1" applyBorder="1" applyAlignment="1" applyProtection="1">
      <alignment horizontal="center" vertical="center"/>
      <protection locked="0"/>
    </xf>
    <xf numFmtId="0" fontId="50" fillId="16" borderId="49" xfId="23" applyFont="1" applyFill="1" applyBorder="1" applyAlignment="1" applyProtection="1">
      <alignment horizontal="left" vertical="top" wrapText="1"/>
      <protection locked="0"/>
    </xf>
    <xf numFmtId="0" fontId="50" fillId="16" borderId="35" xfId="23" applyFont="1" applyFill="1" applyBorder="1" applyAlignment="1" applyProtection="1">
      <alignment horizontal="left" vertical="top" wrapText="1"/>
      <protection locked="0"/>
    </xf>
    <xf numFmtId="0" fontId="50" fillId="16" borderId="50" xfId="23" applyFont="1" applyFill="1" applyBorder="1" applyAlignment="1" applyProtection="1">
      <alignment horizontal="left" vertical="top" wrapText="1"/>
      <protection locked="0"/>
    </xf>
    <xf numFmtId="0" fontId="50" fillId="16" borderId="49" xfId="23" applyFont="1" applyFill="1" applyBorder="1" applyAlignment="1" applyProtection="1">
      <alignment horizontal="left"/>
      <protection locked="0"/>
    </xf>
    <xf numFmtId="0" fontId="50" fillId="16" borderId="35" xfId="23" applyFont="1" applyFill="1" applyBorder="1" applyAlignment="1" applyProtection="1">
      <alignment horizontal="left"/>
      <protection locked="0"/>
    </xf>
    <xf numFmtId="0" fontId="50" fillId="16" borderId="50" xfId="23" applyFont="1" applyFill="1" applyBorder="1" applyAlignment="1" applyProtection="1">
      <alignment horizontal="left"/>
      <protection locked="0"/>
    </xf>
    <xf numFmtId="0" fontId="1" fillId="0" borderId="0" xfId="23"/>
    <xf numFmtId="2" fontId="60" fillId="7" borderId="0" xfId="23" applyNumberFormat="1" applyFont="1" applyFill="1" applyAlignment="1" applyProtection="1">
      <alignment horizontal="center"/>
      <protection locked="0"/>
    </xf>
    <xf numFmtId="0" fontId="50" fillId="16" borderId="34" xfId="23" applyFont="1" applyFill="1" applyBorder="1" applyAlignment="1" applyProtection="1">
      <alignment horizontal="left"/>
      <protection locked="0"/>
    </xf>
    <xf numFmtId="0" fontId="50" fillId="16" borderId="31" xfId="23" applyFont="1" applyFill="1" applyBorder="1" applyAlignment="1" applyProtection="1">
      <alignment vertical="center"/>
      <protection locked="0"/>
    </xf>
    <xf numFmtId="0" fontId="57" fillId="7" borderId="34" xfId="23" applyFont="1" applyFill="1" applyBorder="1" applyAlignment="1" applyProtection="1">
      <alignment horizontal="left" vertical="center"/>
      <protection locked="0"/>
    </xf>
    <xf numFmtId="0" fontId="57" fillId="7" borderId="35" xfId="23" applyFont="1" applyFill="1" applyBorder="1" applyAlignment="1" applyProtection="1">
      <alignment horizontal="left" vertical="center"/>
      <protection locked="0"/>
    </xf>
    <xf numFmtId="0" fontId="57" fillId="7" borderId="36" xfId="23" applyFont="1" applyFill="1" applyBorder="1" applyAlignment="1" applyProtection="1">
      <alignment horizontal="left" vertical="center"/>
      <protection locked="0"/>
    </xf>
    <xf numFmtId="0" fontId="56" fillId="7" borderId="38" xfId="23" applyFont="1" applyFill="1" applyBorder="1" applyAlignment="1" applyProtection="1">
      <alignment horizontal="left" vertical="center"/>
      <protection locked="0"/>
    </xf>
    <xf numFmtId="0" fontId="50" fillId="16" borderId="39" xfId="23" applyFont="1" applyFill="1" applyBorder="1" applyAlignment="1" applyProtection="1">
      <alignment horizontal="left"/>
      <protection locked="0"/>
    </xf>
    <xf numFmtId="0" fontId="50" fillId="16" borderId="37" xfId="23" applyFont="1" applyFill="1" applyBorder="1" applyAlignment="1" applyProtection="1">
      <alignment horizontal="left"/>
      <protection locked="0"/>
    </xf>
    <xf numFmtId="0" fontId="50" fillId="16" borderId="31" xfId="23" applyFont="1" applyFill="1" applyBorder="1" applyAlignment="1" applyProtection="1">
      <alignment horizontal="left"/>
      <protection locked="0"/>
    </xf>
    <xf numFmtId="0" fontId="56" fillId="7" borderId="35" xfId="23" applyFont="1" applyFill="1" applyBorder="1" applyAlignment="1" applyProtection="1">
      <alignment horizontal="left"/>
      <protection locked="0"/>
    </xf>
    <xf numFmtId="0" fontId="56" fillId="7" borderId="36" xfId="23" applyFont="1" applyFill="1" applyBorder="1" applyAlignment="1" applyProtection="1">
      <alignment horizontal="left"/>
      <protection locked="0"/>
    </xf>
    <xf numFmtId="0" fontId="50" fillId="16" borderId="40" xfId="23" applyFont="1" applyFill="1" applyBorder="1" applyAlignment="1" applyProtection="1">
      <alignment horizontal="left"/>
      <protection locked="0"/>
    </xf>
    <xf numFmtId="0" fontId="50" fillId="16" borderId="32" xfId="23" applyFont="1" applyFill="1" applyBorder="1" applyAlignment="1" applyProtection="1">
      <alignment horizontal="left"/>
      <protection locked="0"/>
    </xf>
    <xf numFmtId="0" fontId="50" fillId="16" borderId="41" xfId="23" applyFont="1" applyFill="1" applyBorder="1" applyAlignment="1" applyProtection="1">
      <alignment horizontal="left"/>
      <protection locked="0"/>
    </xf>
    <xf numFmtId="0" fontId="50" fillId="16" borderId="42" xfId="23" applyFont="1" applyFill="1" applyBorder="1" applyAlignment="1" applyProtection="1">
      <alignment horizontal="left"/>
      <protection locked="0"/>
    </xf>
    <xf numFmtId="0" fontId="52" fillId="15" borderId="0" xfId="23" applyFont="1" applyFill="1" applyAlignment="1" applyProtection="1">
      <alignment horizontal="center" vertical="center"/>
      <protection locked="0"/>
    </xf>
    <xf numFmtId="0" fontId="53" fillId="15" borderId="0" xfId="23" applyFont="1" applyFill="1" applyAlignment="1" applyProtection="1">
      <alignment horizontal="center" vertical="center"/>
      <protection locked="0"/>
    </xf>
    <xf numFmtId="0" fontId="56" fillId="7" borderId="31" xfId="23" applyFont="1" applyFill="1" applyBorder="1" applyAlignment="1" applyProtection="1">
      <alignment horizontal="left" vertical="center"/>
      <protection locked="0"/>
    </xf>
    <xf numFmtId="16" fontId="56" fillId="7" borderId="33" xfId="23" applyNumberFormat="1" applyFont="1" applyFill="1" applyBorder="1" applyAlignment="1" applyProtection="1">
      <alignment horizontal="left" vertical="center"/>
      <protection locked="0"/>
    </xf>
    <xf numFmtId="185" fontId="56" fillId="7" borderId="35" xfId="23" applyNumberFormat="1" applyFont="1" applyFill="1" applyBorder="1" applyAlignment="1" applyProtection="1">
      <alignment horizontal="left" vertical="center"/>
      <protection locked="0"/>
    </xf>
  </cellXfs>
  <cellStyles count="25">
    <cellStyle name="Comma" xfId="1" builtinId="3"/>
    <cellStyle name="Comma 2" xfId="21" xr:uid="{9AC7C2F8-7CFB-4876-9FC6-1ECA8615E049}"/>
    <cellStyle name="Comma 2 2" xfId="24" xr:uid="{9C5A510E-D2C4-4A27-A70B-8C9A504A3992}"/>
    <cellStyle name="Currency 2" xfId="6" xr:uid="{AEE69505-76BE-445B-BA12-71CC217736BF}"/>
    <cellStyle name="Currency 3" xfId="16" xr:uid="{12097430-C506-457B-9176-5BFBC496A056}"/>
    <cellStyle name="Currency 4" xfId="19" xr:uid="{F10D0BD2-E6DB-4215-AF14-0E4D551278CF}"/>
    <cellStyle name="Hyperlink" xfId="10" builtinId="8"/>
    <cellStyle name="Normal" xfId="0" builtinId="0"/>
    <cellStyle name="Normal 2" xfId="12" xr:uid="{B4040DA5-8C65-4869-8FCC-287EB690D462}"/>
    <cellStyle name="Normal 2 2" xfId="23" xr:uid="{9D40F734-118C-495F-9C2B-C3F448EB134E}"/>
    <cellStyle name="Normal 2 2 2" xfId="5" xr:uid="{A9DF9433-F7A1-42BE-BEA0-566206CE7EE3}"/>
    <cellStyle name="Normal 2 2 3" xfId="4" xr:uid="{BC29F998-7745-43AD-973E-7DDACC3D841D}"/>
    <cellStyle name="Normal 2 2 3 2" xfId="22" xr:uid="{05BFEC97-375A-49D0-8453-56FEFA296C67}"/>
    <cellStyle name="Normal 3" xfId="11" xr:uid="{EF7A7228-D417-4AA9-97D2-D4F9F7560806}"/>
    <cellStyle name="Normal 3 2" xfId="3" xr:uid="{F498FACB-BE88-4BAA-9D17-9417BC6B6909}"/>
    <cellStyle name="Normal 32" xfId="9" xr:uid="{95B26E97-742A-4A7A-B5D6-3CD039922033}"/>
    <cellStyle name="Normal 4" xfId="13" xr:uid="{01CAC70B-B203-4794-BA46-8A34AEE78811}"/>
    <cellStyle name="Normal 4 7" xfId="7" xr:uid="{527AC52E-6F72-4BA5-A259-B992FFC423E1}"/>
    <cellStyle name="Normal 5" xfId="15" xr:uid="{2BE9A79E-E6EB-4EB1-9D9C-F4A6F8CD5FDB}"/>
    <cellStyle name="Normal 6" xfId="17" xr:uid="{ADDF529A-245D-4273-9632-92A58A553710}"/>
    <cellStyle name="Normal 7" xfId="18" xr:uid="{9D704F9D-DBBA-4972-9BCB-2C6A08A8F1FF}"/>
    <cellStyle name="Normal_1122 Park Budget Rev 07 (04JAN2008) FINAL" xfId="2" xr:uid="{9F06A387-79A2-4BB2-978C-8315FADA046A}"/>
    <cellStyle name="Percent 2" xfId="8" xr:uid="{49A0394B-FCCA-4C58-A331-39CA8AAD6AE6}"/>
    <cellStyle name="Percent 3" xfId="20" xr:uid="{CBE307AA-946B-419C-9F89-0B4DC3196111}"/>
    <cellStyle name="千位分隔 16" xfId="14" xr:uid="{EF6D4023-7F13-4C30-9731-4BB051A9989D}"/>
  </cellStyles>
  <dxfs count="593">
    <dxf>
      <font>
        <color rgb="FF9C0006"/>
      </font>
      <fill>
        <patternFill>
          <bgColor rgb="FFFFC7CE"/>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minor"/>
      </font>
      <numFmt numFmtId="165" formatCode="_-* #,##0.00_-;\-* #,##0.00_-;_-* &quot;-&quot;??_-;_-@_-"/>
      <fill>
        <patternFill patternType="solid">
          <fgColor rgb="FF000000"/>
          <bgColor rgb="FFE2EFDA"/>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indexed="8"/>
        <name val="Calibri"/>
        <family val="2"/>
        <scheme val="minor"/>
      </font>
      <numFmt numFmtId="0" formatCode="General"/>
      <fill>
        <patternFill patternType="solid">
          <fgColor indexed="64"/>
          <bgColor theme="9" tint="0.79998168889431442"/>
        </patternFill>
      </fill>
      <alignment horizontal="right" vertical="center" textRotation="0" wrapText="1" indent="0" justifyLastLine="0" shrinkToFit="0" readingOrder="0"/>
      <border diagonalUp="0" diagonalDown="0" outline="0">
        <left style="thin">
          <color indexed="64"/>
        </left>
        <right style="thin">
          <color indexed="64"/>
        </right>
        <top style="thin">
          <color rgb="FF000000"/>
        </top>
        <bottom/>
      </border>
      <protection locked="1" hidden="0"/>
    </dxf>
    <dxf>
      <font>
        <b val="0"/>
        <i val="0"/>
        <strike val="0"/>
        <condense val="0"/>
        <extend val="0"/>
        <outline val="0"/>
        <shadow val="0"/>
        <u val="none"/>
        <vertAlign val="baseline"/>
        <sz val="11"/>
        <color indexed="8"/>
        <name val="Calibri"/>
        <family val="2"/>
        <scheme val="minor"/>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79998168889431442"/>
        </patternFill>
      </fill>
      <alignment horizontal="right" vertical="center" textRotation="0" wrapText="0"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indexed="8"/>
        <name val="Calibri"/>
        <family val="2"/>
        <scheme val="minor"/>
      </font>
      <numFmt numFmtId="0" formatCode="General"/>
      <fill>
        <patternFill patternType="solid">
          <fgColor indexed="64"/>
          <bgColor theme="9" tint="0.79998168889431442"/>
        </patternFill>
      </fill>
      <alignment horizontal="right" vertical="center" textRotation="0" wrapText="1" indent="0" justifyLastLine="0" shrinkToFit="0" readingOrder="0"/>
      <border diagonalUp="0" diagonalDown="0" outline="0">
        <left style="thin">
          <color indexed="64"/>
        </left>
        <right style="thin">
          <color indexed="64"/>
        </right>
        <top style="thin">
          <color rgb="FF000000"/>
        </top>
        <bottom/>
      </border>
      <protection locked="1" hidden="0"/>
    </dxf>
    <dxf>
      <font>
        <b val="0"/>
        <i val="0"/>
        <strike val="0"/>
        <condense val="0"/>
        <extend val="0"/>
        <outline val="0"/>
        <shadow val="0"/>
        <u val="none"/>
        <vertAlign val="baseline"/>
        <sz val="11"/>
        <color indexed="8"/>
        <name val="Calibri"/>
        <family val="2"/>
        <scheme val="minor"/>
      </font>
      <numFmt numFmtId="2" formatCode="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9" tint="0.79998168889431442"/>
        </patternFill>
      </fill>
      <alignment horizontal="right" vertical="top" textRotation="0" wrapText="0" indent="0" justifyLastLine="0" shrinkToFit="0" readingOrder="0"/>
      <border diagonalUp="0" diagonalDown="0" outline="0">
        <left style="thin">
          <color indexed="64"/>
        </left>
        <right style="thin">
          <color indexed="64"/>
        </right>
        <top style="thin">
          <color rgb="FF000000"/>
        </top>
        <bottom/>
      </border>
      <protection locked="1" hidden="0"/>
    </dxf>
    <dxf>
      <font>
        <b val="0"/>
        <i val="0"/>
        <strike val="0"/>
        <condense val="0"/>
        <extend val="0"/>
        <outline val="0"/>
        <shadow val="0"/>
        <u val="none"/>
        <vertAlign val="baseline"/>
        <sz val="11"/>
        <color auto="1"/>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9" tint="0.79998168889431442"/>
        </patternFill>
      </fill>
      <alignment horizontal="right" vertical="top" textRotation="0" wrapText="0" indent="0" justifyLastLine="0" shrinkToFit="0" readingOrder="0"/>
      <border diagonalUp="0" diagonalDown="0" outline="0">
        <left style="thin">
          <color indexed="64"/>
        </left>
        <right style="thin">
          <color indexed="64"/>
        </right>
        <top style="thin">
          <color rgb="FF000000"/>
        </top>
        <bottom/>
      </border>
      <protection locked="1" hidden="0"/>
    </dxf>
    <dxf>
      <font>
        <b val="0"/>
        <i val="0"/>
        <strike val="0"/>
        <condense val="0"/>
        <extend val="0"/>
        <outline val="0"/>
        <shadow val="0"/>
        <u val="none"/>
        <vertAlign val="baseline"/>
        <sz val="11"/>
        <color auto="1"/>
        <name val="Calibri"/>
        <family val="2"/>
        <scheme val="minor"/>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family val="2"/>
        <charset val="134"/>
        <scheme val="minor"/>
      </font>
      <numFmt numFmtId="0" formatCode="Genera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166" formatCode="#,##0_ ;\-#,##0\ "/>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charset val="134"/>
        <scheme val="minor"/>
      </font>
      <numFmt numFmtId="0" formatCode="General"/>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166" formatCode="#,##0_ ;\-#,##0\ "/>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charset val="134"/>
        <scheme val="minor"/>
      </font>
      <numFmt numFmtId="0" formatCode="General"/>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166" formatCode="#,##0_ ;\-#,##0\ "/>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30" formatCode="@"/>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charset val="134"/>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auto="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30" formatCode="@"/>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2" formatCode="0.00"/>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2" formatCode="0.00"/>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1" indent="0" justifyLastLine="0" shrinkToFit="0" readingOrder="0"/>
      <border diagonalUp="0" diagonalDown="0" outline="0">
        <left style="thin">
          <color indexed="64"/>
        </left>
        <right style="thin">
          <color indexed="64"/>
        </right>
        <top style="thin">
          <color rgb="FF000000"/>
        </top>
        <bottom/>
      </border>
    </dxf>
    <dxf>
      <font>
        <strike val="0"/>
        <outline val="0"/>
        <shadow val="0"/>
        <u val="none"/>
        <vertAlign val="baseline"/>
        <sz val="11"/>
        <name val="Calibri"/>
        <family val="2"/>
        <scheme val="minor"/>
      </font>
      <numFmt numFmtId="1" formatCode="0"/>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outline="0">
        <left style="thin">
          <color indexed="64"/>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Calibri"/>
        <family val="2"/>
        <scheme val="minor"/>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Calibri"/>
        <family val="2"/>
        <scheme val="minor"/>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charset val="134"/>
        <scheme val="minor"/>
      </font>
      <numFmt numFmtId="0" formatCode="General"/>
      <alignment horizontal="center" vertical="center" textRotation="0" wrapText="1" indent="0" justifyLastLine="0" shrinkToFit="0" readingOrder="0"/>
      <border diagonalUp="0" diagonalDown="0" outline="0">
        <left/>
        <right style="thin">
          <color indexed="64"/>
        </right>
        <top style="thin">
          <color rgb="FF000000"/>
        </top>
        <bottom/>
      </border>
    </dxf>
    <dxf>
      <font>
        <b val="0"/>
        <i val="0"/>
        <strike val="0"/>
        <condense val="0"/>
        <extend val="0"/>
        <outline val="0"/>
        <shadow val="0"/>
        <u val="none"/>
        <vertAlign val="baseline"/>
        <sz val="11"/>
        <color theme="1"/>
        <name val="Calibri"/>
        <family val="2"/>
        <scheme val="minor"/>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alignment horizontal="right" vertical="center" textRotation="0" wrapText="1" indent="0" justifyLastLine="0" shrinkToFit="0" readingOrder="0"/>
      <protection locked="1" hidden="0"/>
    </dxf>
    <dxf>
      <border outline="0">
        <bottom style="thin">
          <color rgb="FF000000"/>
        </bottom>
      </border>
    </dxf>
    <dxf>
      <font>
        <b/>
        <i val="0"/>
        <strike val="0"/>
        <condense val="0"/>
        <extend val="0"/>
        <outline val="0"/>
        <shadow val="0"/>
        <u val="none"/>
        <vertAlign val="baseline"/>
        <sz val="10"/>
        <color rgb="FF7030A0"/>
        <name val="Calibri"/>
        <family val="2"/>
        <scheme val="minor"/>
      </font>
      <numFmt numFmtId="2" formatCode="0.00"/>
      <fill>
        <patternFill patternType="solid">
          <fgColor indexed="64"/>
          <bgColor theme="5"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4" tint="0.59999389629810485"/>
        </patternFill>
      </fill>
    </dxf>
    <dxf>
      <fill>
        <patternFill>
          <bgColor theme="4" tint="0.59999389629810485"/>
        </patternFill>
      </fill>
    </dxf>
    <dxf>
      <alignment wrapText="1"/>
    </dxf>
    <dxf>
      <alignment wrapText="1"/>
    </dxf>
    <dxf>
      <fill>
        <patternFill patternType="solid">
          <bgColor theme="2" tint="-9.9978637043366805E-2"/>
        </patternFill>
      </fill>
    </dxf>
    <dxf>
      <fill>
        <patternFill patternType="solid">
          <bgColor theme="2" tint="-9.9978637043366805E-2"/>
        </patternFill>
      </fill>
    </dxf>
    <dxf>
      <fill>
        <patternFill patternType="solid">
          <bgColor theme="8" tint="0.79998168889431442"/>
        </patternFill>
      </fill>
    </dxf>
    <dxf>
      <fill>
        <patternFill patternType="solid">
          <bgColor theme="8" tint="0.79998168889431442"/>
        </patternFill>
      </fill>
    </dxf>
    <dxf>
      <fill>
        <patternFill patternType="none">
          <bgColor auto="1"/>
        </patternFill>
      </fill>
    </dxf>
    <dxf>
      <fill>
        <patternFill patternType="none">
          <bgColor auto="1"/>
        </patternFill>
      </fill>
    </dxf>
    <dxf>
      <alignment horizontal="right"/>
    </dxf>
    <dxf>
      <alignment horizontal="general"/>
    </dxf>
    <dxf>
      <border>
        <left style="thin">
          <color indexed="64"/>
        </left>
        <right style="thin">
          <color indexed="64"/>
        </right>
        <horizontal style="thin">
          <color indexed="64"/>
        </horizontal>
      </border>
    </dxf>
    <dxf>
      <border>
        <left style="thin">
          <color indexed="64"/>
        </left>
        <right style="thin">
          <color indexed="64"/>
        </right>
        <horizontal style="thin">
          <color indexed="64"/>
        </horizontal>
      </border>
    </dxf>
    <dxf>
      <border>
        <horizontal style="thin">
          <color indexed="64"/>
        </horizontal>
      </border>
    </dxf>
    <dxf>
      <border>
        <right style="thick">
          <color indexed="64"/>
        </right>
      </border>
    </dxf>
    <dxf>
      <border>
        <bottom style="thick">
          <color indexed="64"/>
        </bottom>
      </border>
    </dxf>
    <dxf>
      <border>
        <bottom style="thick">
          <color indexed="64"/>
        </bottom>
      </border>
    </dxf>
    <dxf>
      <border>
        <top style="thick">
          <color indexed="64"/>
        </top>
      </border>
    </dxf>
    <dxf>
      <border>
        <top style="thick">
          <color indexed="64"/>
        </top>
      </border>
    </dxf>
    <dxf>
      <border>
        <left style="thick">
          <color auto="1"/>
        </left>
      </border>
    </dxf>
    <dxf>
      <alignment wrapText="1"/>
    </dxf>
    <dxf>
      <alignment wrapText="1"/>
    </dxf>
    <dxf>
      <alignment horizontal="center"/>
    </dxf>
    <dxf>
      <alignment horizontal="center"/>
    </dxf>
    <dxf>
      <fill>
        <patternFill patternType="solid">
          <bgColor theme="8" tint="0.79998168889431442"/>
        </patternFill>
      </fill>
    </dxf>
    <dxf>
      <fill>
        <patternFill patternType="solid">
          <bgColor theme="8" tint="0.79998168889431442"/>
        </patternFill>
      </fill>
    </dxf>
    <dxf>
      <fill>
        <patternFill patternType="solid">
          <bgColor theme="8" tint="0.39997558519241921"/>
        </patternFill>
      </fill>
    </dxf>
    <dxf>
      <fill>
        <patternFill patternType="solid">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4506668294322"/>
        </patternFill>
      </fill>
    </dxf>
    <dxf>
      <fill>
        <patternFill>
          <bgColor theme="8" tint="0.79998168889431442"/>
        </patternFill>
      </fill>
    </dxf>
    <dxf>
      <fill>
        <patternFill>
          <bgColor theme="8" tint="0.39994506668294322"/>
        </patternFill>
      </fill>
    </dxf>
    <dxf>
      <fill>
        <patternFill>
          <bgColor theme="8" tint="0.79998168889431442"/>
        </patternFill>
      </fill>
    </dxf>
    <dxf>
      <fill>
        <patternFill>
          <bgColor theme="8" tint="0.39994506668294322"/>
        </patternFill>
      </fill>
    </dxf>
    <dxf>
      <fill>
        <patternFill>
          <bgColor theme="8" tint="0.79998168889431442"/>
        </patternFill>
      </fill>
    </dxf>
    <dxf>
      <fill>
        <patternFill>
          <bgColor theme="8" tint="0.39994506668294322"/>
        </patternFill>
      </fill>
    </dxf>
    <dxf>
      <fill>
        <patternFill>
          <bgColor theme="8" tint="0.79998168889431442"/>
        </patternFill>
      </fill>
    </dxf>
    <dxf>
      <fill>
        <patternFill>
          <bgColor theme="8" tint="0.39994506668294322"/>
        </patternFill>
      </fill>
    </dxf>
    <dxf>
      <fill>
        <patternFill>
          <bgColor theme="8" tint="0.79998168889431442"/>
        </patternFill>
      </fill>
    </dxf>
    <dxf>
      <fill>
        <patternFill>
          <bgColor theme="8" tint="0.39994506668294322"/>
        </patternFill>
      </fill>
    </dxf>
    <dxf>
      <fill>
        <patternFill>
          <bgColor theme="8" tint="0.79998168889431442"/>
        </patternFill>
      </fill>
    </dxf>
    <dxf>
      <fill>
        <patternFill>
          <bgColor theme="9" tint="0.39994506668294322"/>
        </patternFill>
      </fill>
    </dxf>
    <dxf>
      <fill>
        <patternFill>
          <bgColor theme="9" tint="0.79998168889431442"/>
        </patternFill>
      </fill>
    </dxf>
    <dxf>
      <fill>
        <patternFill>
          <bgColor theme="9" tint="0.39994506668294322"/>
        </patternFill>
      </fill>
    </dxf>
    <dxf>
      <fill>
        <patternFill>
          <bgColor theme="9" tint="0.79998168889431442"/>
        </patternFill>
      </fill>
    </dxf>
    <dxf>
      <fill>
        <patternFill patternType="none">
          <fgColor indexed="64"/>
          <bgColor auto="1"/>
        </patternFill>
      </fill>
    </dxf>
    <dxf>
      <numFmt numFmtId="3" formatCode="#,##0"/>
      <fill>
        <patternFill patternType="none">
          <fgColor indexed="64"/>
          <bgColor auto="1"/>
        </patternFill>
      </fill>
    </dxf>
    <dxf>
      <numFmt numFmtId="3" formatCode="#,##0"/>
      <fill>
        <patternFill patternType="none">
          <fgColor indexed="64"/>
          <bgColor auto="1"/>
        </patternFill>
      </fill>
    </dxf>
    <dxf>
      <numFmt numFmtId="182" formatCode="&quot;$&quot;#,##0"/>
      <fill>
        <patternFill patternType="solid">
          <fgColor indexed="64"/>
          <bgColor theme="9" tint="0.79998168889431442"/>
        </patternFill>
      </fill>
    </dxf>
    <dxf>
      <numFmt numFmtId="182" formatCode="&quot;$&quot;#,##0"/>
      <fill>
        <patternFill patternType="solid">
          <fgColor indexed="64"/>
          <bgColor theme="9" tint="0.79998168889431442"/>
        </patternFill>
      </fill>
    </dxf>
    <dxf>
      <numFmt numFmtId="182" formatCode="&quot;$&quot;#,##0"/>
      <fill>
        <patternFill patternType="solid">
          <fgColor indexed="64"/>
          <bgColor theme="9" tint="0.79998168889431442"/>
        </patternFill>
      </fill>
    </dxf>
    <dxf>
      <numFmt numFmtId="182" formatCode="&quot;$&quot;#,##0"/>
      <fill>
        <patternFill patternType="solid">
          <fgColor indexed="64"/>
          <bgColor theme="9" tint="0.79998168889431442"/>
        </patternFill>
      </fill>
    </dxf>
    <dxf>
      <numFmt numFmtId="182" formatCode="&quot;$&quot;#,##0"/>
      <fill>
        <patternFill patternType="solid">
          <fgColor indexed="64"/>
          <bgColor theme="9" tint="0.79998168889431442"/>
        </patternFill>
      </fill>
    </dxf>
    <dxf>
      <numFmt numFmtId="182" formatCode="&quot;$&quot;#,##0"/>
      <fill>
        <patternFill patternType="solid">
          <fgColor indexed="64"/>
          <bgColor theme="0"/>
        </patternFill>
      </fill>
    </dxf>
    <dxf>
      <numFmt numFmtId="179" formatCode="&quot;$&quot;#,##0.00"/>
      <fill>
        <patternFill patternType="solid">
          <fgColor indexed="64"/>
          <bgColor theme="0"/>
        </patternFill>
      </fill>
    </dxf>
    <dxf>
      <numFmt numFmtId="182" formatCode="&quot;$&quot;#,##0"/>
      <fill>
        <patternFill patternType="solid">
          <fgColor indexed="64"/>
          <bgColor theme="9" tint="0.79998168889431442"/>
        </patternFill>
      </fill>
      <alignment horizontal="right" vertical="center" textRotation="0" wrapText="0" indent="0" justifyLastLine="0" shrinkToFit="0" readingOrder="0"/>
    </dxf>
    <dxf>
      <numFmt numFmtId="179" formatCode="&quot;$&quot;#,##0.00"/>
      <fill>
        <patternFill patternType="none">
          <fgColor indexed="64"/>
          <bgColor indexed="65"/>
        </patternFill>
      </fill>
      <alignment horizontal="left" vertical="center" textRotation="0" wrapText="0" indent="0" justifyLastLine="0" shrinkToFit="0" readingOrder="0"/>
    </dxf>
    <dxf>
      <numFmt numFmtId="182" formatCode="&quot;$&quot;#,##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 formatCode="0"/>
    </dxf>
    <dxf>
      <numFmt numFmtId="1" formatCode="0"/>
      <fill>
        <patternFill patternType="none">
          <fgColor indexed="64"/>
          <bgColor auto="1"/>
        </patternFill>
      </fill>
    </dxf>
    <dxf>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dxf>
    <dxf>
      <font>
        <strike val="0"/>
        <outline val="0"/>
        <shadow val="0"/>
        <u val="none"/>
        <vertAlign val="baseline"/>
        <sz val="11"/>
        <color theme="1"/>
        <name val="Calibri"/>
        <family val="2"/>
        <charset val="134"/>
        <scheme val="minor"/>
      </font>
      <fill>
        <patternFill patternType="none">
          <fgColor indexed="64"/>
          <bgColor indexed="65"/>
        </patternFill>
      </fill>
    </dxf>
    <dxf>
      <fill>
        <patternFill patternType="none">
          <fgColor indexed="64"/>
          <bgColor auto="1"/>
        </patternFill>
      </fill>
    </dxf>
    <dxf>
      <fill>
        <patternFill patternType="none">
          <fgColor indexed="64"/>
          <bgColor auto="1"/>
        </patternFill>
      </fill>
    </dxf>
    <dxf>
      <alignment vertical="center" textRotation="0" wrapText="1" indent="0" justifyLastLine="0" shrinkToFit="0" readingOrder="0"/>
    </dxf>
    <dxf>
      <font>
        <color rgb="FF00B050"/>
      </font>
      <numFmt numFmtId="182" formatCode="&quot;$&quot;#,##0"/>
      <fill>
        <patternFill patternType="none">
          <bgColor auto="1"/>
        </patternFill>
      </fill>
    </dxf>
    <dxf>
      <font>
        <color rgb="FFFF0000"/>
      </font>
      <numFmt numFmtId="188" formatCode="\+\ &quot;$&quot;#,##0"/>
      <fill>
        <patternFill patternType="none">
          <bgColor auto="1"/>
        </patternFill>
      </fill>
    </dxf>
    <dxf>
      <fill>
        <patternFill>
          <bgColor theme="5" tint="0.79998168889431442"/>
        </patternFill>
      </fill>
    </dxf>
    <dxf>
      <font>
        <color rgb="FF00B050"/>
      </font>
      <numFmt numFmtId="182" formatCode="&quot;$&quot;#,##0"/>
      <fill>
        <patternFill patternType="solid">
          <bgColor theme="9" tint="0.79998168889431442"/>
        </patternFill>
      </fill>
    </dxf>
    <dxf>
      <font>
        <color rgb="FFFF0000"/>
      </font>
      <numFmt numFmtId="188" formatCode="\+\ &quot;$&quot;#,##0"/>
      <fill>
        <patternFill patternType="solid">
          <bgColor theme="9" tint="0.79998168889431442"/>
        </patternFill>
      </fill>
    </dxf>
    <dxf>
      <font>
        <strike val="0"/>
        <color theme="9" tint="-0.24994659260841701"/>
      </font>
    </dxf>
    <dxf>
      <font>
        <strike/>
        <color theme="2" tint="-0.24994659260841701"/>
      </font>
    </dxf>
    <dxf>
      <font>
        <strike/>
        <color rgb="FF7030A0"/>
      </font>
    </dxf>
    <dxf>
      <font>
        <b/>
        <i val="0"/>
        <strike val="0"/>
      </font>
    </dxf>
    <dxf>
      <font>
        <b val="0"/>
        <i val="0"/>
        <strike/>
        <color rgb="FF7030A0"/>
      </font>
    </dxf>
    <dxf>
      <font>
        <b val="0"/>
        <i val="0"/>
        <strike val="0"/>
        <color theme="9"/>
      </font>
    </dxf>
    <dxf>
      <fill>
        <patternFill>
          <bgColor theme="5" tint="0.79998168889431442"/>
        </patternFill>
      </fill>
    </dxf>
    <dxf>
      <fill>
        <patternFill>
          <bgColor theme="5" tint="0.79998168889431442"/>
        </patternFill>
      </fill>
    </dxf>
    <dxf>
      <font>
        <b val="0"/>
        <i val="0"/>
        <strike/>
        <color rgb="FF7030A0"/>
      </font>
    </dxf>
    <dxf>
      <font>
        <b val="0"/>
        <i val="0"/>
        <strike val="0"/>
        <color theme="9"/>
      </font>
    </dxf>
    <dxf>
      <font>
        <color rgb="FF00B050"/>
      </font>
      <numFmt numFmtId="182" formatCode="&quot;$&quot;#,##0"/>
      <fill>
        <patternFill patternType="none">
          <bgColor auto="1"/>
        </patternFill>
      </fill>
    </dxf>
    <dxf>
      <font>
        <color rgb="FFFF0000"/>
      </font>
      <numFmt numFmtId="188" formatCode="\+\ &quot;$&quot;#,##0"/>
      <fill>
        <patternFill patternType="none">
          <bgColor auto="1"/>
        </patternFill>
      </fill>
    </dxf>
    <dxf>
      <fill>
        <patternFill>
          <bgColor theme="5" tint="0.79998168889431442"/>
        </patternFill>
      </fill>
    </dxf>
    <dxf>
      <font>
        <color rgb="FF00B050"/>
      </font>
      <numFmt numFmtId="182" formatCode="&quot;$&quot;#,##0"/>
      <fill>
        <patternFill patternType="solid">
          <bgColor theme="9" tint="0.79998168889431442"/>
        </patternFill>
      </fill>
    </dxf>
    <dxf>
      <font>
        <color rgb="FFFF0000"/>
      </font>
      <numFmt numFmtId="188" formatCode="\+\ &quot;$&quot;#,##0"/>
      <fill>
        <patternFill patternType="solid">
          <bgColor theme="9" tint="0.79998168889431442"/>
        </patternFill>
      </fill>
    </dxf>
    <dxf>
      <font>
        <b val="0"/>
        <i val="0"/>
        <strike/>
        <color rgb="FF7030A0"/>
      </font>
    </dxf>
    <dxf>
      <font>
        <b val="0"/>
        <i val="0"/>
        <strike val="0"/>
        <color theme="9"/>
      </font>
    </dxf>
    <dxf>
      <fill>
        <patternFill>
          <bgColor theme="5" tint="0.79998168889431442"/>
        </patternFill>
      </fill>
    </dxf>
    <dxf>
      <font>
        <strike val="0"/>
        <color theme="9" tint="-0.24994659260841701"/>
      </font>
    </dxf>
    <dxf>
      <font>
        <strike/>
        <color theme="2" tint="-0.24994659260841701"/>
      </font>
    </dxf>
    <dxf>
      <font>
        <strike/>
        <color rgb="FF7030A0"/>
      </font>
    </dxf>
    <dxf>
      <font>
        <strike val="0"/>
        <color theme="9" tint="-0.24994659260841701"/>
      </font>
    </dxf>
    <dxf>
      <font>
        <strike/>
        <color theme="2" tint="-0.24994659260841701"/>
      </font>
    </dxf>
    <dxf>
      <font>
        <strike/>
        <color rgb="FF7030A0"/>
      </font>
    </dxf>
    <dxf>
      <font>
        <strike val="0"/>
        <color theme="9" tint="-0.24994659260841701"/>
      </font>
    </dxf>
    <dxf>
      <font>
        <strike/>
        <color theme="2" tint="-0.24994659260841701"/>
      </font>
    </dxf>
    <dxf>
      <font>
        <strike/>
        <color rgb="FF7030A0"/>
      </font>
    </dxf>
    <dxf>
      <font>
        <strike val="0"/>
        <color theme="9" tint="-0.24994659260841701"/>
      </font>
    </dxf>
    <dxf>
      <font>
        <strike/>
        <color theme="2" tint="-0.24994659260841701"/>
      </font>
    </dxf>
    <dxf>
      <font>
        <strike/>
        <color rgb="FF7030A0"/>
      </font>
    </dxf>
    <dxf>
      <font>
        <b/>
        <i val="0"/>
        <strike val="0"/>
      </font>
    </dxf>
    <dxf>
      <font>
        <b val="0"/>
        <i val="0"/>
        <strike/>
        <color rgb="FF7030A0"/>
      </font>
    </dxf>
    <dxf>
      <font>
        <b val="0"/>
        <i val="0"/>
        <strike val="0"/>
        <color theme="9"/>
      </font>
    </dxf>
    <dxf>
      <fill>
        <patternFill>
          <bgColor theme="5" tint="0.79998168889431442"/>
        </patternFill>
      </fill>
    </dxf>
    <dxf>
      <fill>
        <patternFill>
          <bgColor theme="5" tint="0.79998168889431442"/>
        </patternFill>
      </fill>
    </dxf>
    <dxf>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numFmt numFmtId="179" formatCode="&quot;$&quot;#,##0.00"/>
      <fill>
        <patternFill patternType="none">
          <fgColor indexed="64"/>
          <bgColor indexed="65"/>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9" formatCode="&quot;$&quot;#,##0.00"/>
      <fill>
        <patternFill patternType="none">
          <fgColor indexed="64"/>
          <bgColor indexed="65"/>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strike val="0"/>
        <color theme="9" tint="-0.24994659260841701"/>
      </font>
    </dxf>
    <dxf>
      <font>
        <strike/>
        <color theme="2" tint="-0.24994659260841701"/>
      </font>
    </dxf>
    <dxf>
      <font>
        <strike/>
        <color rgb="FF7030A0"/>
      </font>
    </dxf>
    <dxf>
      <font>
        <strike val="0"/>
        <color theme="9" tint="-0.24994659260841701"/>
      </font>
    </dxf>
    <dxf>
      <font>
        <strike/>
        <color theme="2" tint="-0.24994659260841701"/>
      </font>
    </dxf>
    <dxf>
      <font>
        <strike/>
        <color rgb="FF7030A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vertical style="thin">
          <color theme="1"/>
        </vertical>
        <horizontal style="thin">
          <color theme="1"/>
        </horizontal>
      </border>
    </dxf>
  </dxfs>
  <tableStyles count="2" defaultTableStyle="TableStyleMedium2" defaultPivotStyle="PivotStyleLight16">
    <tableStyle name="TableStyleLight8 2" pivot="0" count="9" xr9:uid="{BEB50B9D-F9A4-4F72-B8CE-98FDF63395FE}">
      <tableStyleElement type="wholeTable" dxfId="592"/>
      <tableStyleElement type="headerRow" dxfId="591"/>
      <tableStyleElement type="totalRow" dxfId="590"/>
      <tableStyleElement type="firstColumn" dxfId="589"/>
      <tableStyleElement type="lastColumn" dxfId="588"/>
      <tableStyleElement type="firstRowStripe" dxfId="587"/>
      <tableStyleElement type="secondRowStripe" dxfId="586"/>
      <tableStyleElement type="firstColumnStripe" dxfId="585"/>
      <tableStyleElement type="secondColumnStripe" dxfId="584"/>
    </tableStyle>
    <tableStyle name="TableStyleMedium2 2" pivot="0" count="7" xr9:uid="{88AA50E1-1813-4891-A7DE-CC997C4F54D5}">
      <tableStyleElement type="wholeTable" dxfId="583"/>
      <tableStyleElement type="headerRow" dxfId="582"/>
      <tableStyleElement type="totalRow" dxfId="581"/>
      <tableStyleElement type="firstColumn" dxfId="580"/>
      <tableStyleElement type="lastColumn" dxfId="579"/>
      <tableStyleElement type="firstRowStripe" dxfId="578"/>
      <tableStyleElement type="firstColumnStripe" dxfId="57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pivotCacheDefinition" Target="pivotCache/pivotCacheDefinition2.xml"/><Relationship Id="rId39" Type="http://schemas.openxmlformats.org/officeDocument/2006/relationships/customXml" Target="../customXml/item1.xml"/><Relationship Id="rId21" Type="http://schemas.openxmlformats.org/officeDocument/2006/relationships/externalLink" Target="externalLinks/externalLink5.xml"/><Relationship Id="rId34" Type="http://schemas.microsoft.com/office/2017/06/relationships/richStyles" Target="richData/rich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tyles" Target="styles.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microsoft.com/office/2017/06/relationships/rdRichValue" Target="richData/rdrichvalue.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theme" Target="theme/theme1.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microsoft.com/office/2007/relationships/slicerCache" Target="slicerCaches/slicerCache1.xml"/><Relationship Id="rId30" Type="http://schemas.openxmlformats.org/officeDocument/2006/relationships/sharedStrings" Target="sharedStrings.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pivotCacheDefinition" Target="pivotCache/pivotCacheDefinition1.xml"/><Relationship Id="rId33" Type="http://schemas.microsoft.com/office/2017/06/relationships/rdRichValueStructure" Target="richData/rdrichvaluestructure.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6</xdr:col>
      <xdr:colOff>200025</xdr:colOff>
      <xdr:row>1</xdr:row>
      <xdr:rowOff>47625</xdr:rowOff>
    </xdr:from>
    <xdr:to>
      <xdr:col>9</xdr:col>
      <xdr:colOff>248991</xdr:colOff>
      <xdr:row>34</xdr:row>
      <xdr:rowOff>142139</xdr:rowOff>
    </xdr:to>
    <xdr:pic>
      <xdr:nvPicPr>
        <xdr:cNvPr id="3" name="Picture 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2087225" y="209550"/>
          <a:ext cx="4514286" cy="5885714"/>
        </a:xfrm>
        <a:prstGeom prst="rect">
          <a:avLst/>
        </a:prstGeom>
      </xdr:spPr>
    </xdr:pic>
    <xdr:clientData/>
  </xdr:twoCellAnchor>
  <xdr:twoCellAnchor editAs="oneCell">
    <xdr:from>
      <xdr:col>0</xdr:col>
      <xdr:colOff>793750</xdr:colOff>
      <xdr:row>27</xdr:row>
      <xdr:rowOff>82550</xdr:rowOff>
    </xdr:from>
    <xdr:to>
      <xdr:col>2</xdr:col>
      <xdr:colOff>1494264</xdr:colOff>
      <xdr:row>55</xdr:row>
      <xdr:rowOff>29133</xdr:rowOff>
    </xdr:to>
    <xdr:pic>
      <xdr:nvPicPr>
        <xdr:cNvPr id="5" name="Picture 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793750" y="4565650"/>
          <a:ext cx="5592554" cy="48570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205740</xdr:colOff>
      <xdr:row>11</xdr:row>
      <xdr:rowOff>121920</xdr:rowOff>
    </xdr:from>
    <xdr:to>
      <xdr:col>16</xdr:col>
      <xdr:colOff>267219</xdr:colOff>
      <xdr:row>27</xdr:row>
      <xdr:rowOff>122163</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4531340" y="2057400"/>
          <a:ext cx="5989839" cy="2804403"/>
        </a:xfrm>
        <a:prstGeom prst="rect">
          <a:avLst/>
        </a:prstGeom>
      </xdr:spPr>
    </xdr:pic>
    <xdr:clientData/>
  </xdr:twoCellAnchor>
  <xdr:twoCellAnchor editAs="oneCell">
    <xdr:from>
      <xdr:col>6</xdr:col>
      <xdr:colOff>182880</xdr:colOff>
      <xdr:row>28</xdr:row>
      <xdr:rowOff>76200</xdr:rowOff>
    </xdr:from>
    <xdr:to>
      <xdr:col>20</xdr:col>
      <xdr:colOff>374127</xdr:colOff>
      <xdr:row>34</xdr:row>
      <xdr:rowOff>76291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14508480" y="4991100"/>
          <a:ext cx="8618967" cy="10516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942975</xdr:colOff>
      <xdr:row>2</xdr:row>
      <xdr:rowOff>47625</xdr:rowOff>
    </xdr:from>
    <xdr:to>
      <xdr:col>11</xdr:col>
      <xdr:colOff>409575</xdr:colOff>
      <xdr:row>6</xdr:row>
      <xdr:rowOff>47625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9951720" y="582930"/>
          <a:ext cx="3295650" cy="123825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 - CONTACT DALE</a:t>
          </a:r>
          <a:r>
            <a:rPr lang="en-AU" sz="1100" b="1" baseline="0"/>
            <a:t> IF ANY ISSUES</a:t>
          </a:r>
          <a:endParaRPr lang="en-AU" sz="1100" b="1"/>
        </a:p>
        <a:p>
          <a:r>
            <a:rPr lang="en-AU" sz="1100"/>
            <a:t>-</a:t>
          </a:r>
          <a:r>
            <a:rPr lang="en-AU" sz="1100" baseline="0"/>
            <a:t> input "INCL." in RATE column for included items</a:t>
          </a:r>
        </a:p>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chemeClr val="dk1"/>
              </a:solidFill>
              <a:effectLst/>
              <a:latin typeface="+mn-lt"/>
              <a:ea typeface="+mn-ea"/>
              <a:cs typeface="+mn-cs"/>
            </a:rPr>
            <a:t>-</a:t>
          </a:r>
          <a:r>
            <a:rPr lang="en-AU" sz="1100" baseline="0">
              <a:solidFill>
                <a:schemeClr val="dk1"/>
              </a:solidFill>
              <a:effectLst/>
              <a:latin typeface="+mn-lt"/>
              <a:ea typeface="+mn-ea"/>
              <a:cs typeface="+mn-cs"/>
            </a:rPr>
            <a:t> input "EXCL." in RATE column for excluded items</a:t>
          </a:r>
        </a:p>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chemeClr val="dk1"/>
              </a:solidFill>
              <a:effectLst/>
              <a:latin typeface="+mn-lt"/>
              <a:ea typeface="+mn-ea"/>
              <a:cs typeface="+mn-cs"/>
            </a:rPr>
            <a:t>-</a:t>
          </a:r>
          <a:r>
            <a:rPr lang="en-AU" sz="1100" baseline="0">
              <a:solidFill>
                <a:schemeClr val="dk1"/>
              </a:solidFill>
              <a:effectLst/>
              <a:latin typeface="+mn-lt"/>
              <a:ea typeface="+mn-ea"/>
              <a:cs typeface="+mn-cs"/>
            </a:rPr>
            <a:t> input "N/A" in RATE column for not available items</a:t>
          </a:r>
          <a:endParaRPr lang="en-AU">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AU">
            <a:effectLst/>
          </a:endParaRPr>
        </a:p>
        <a:p>
          <a:endParaRPr lang="en-AU" sz="1100"/>
        </a:p>
      </xdr:txBody>
    </xdr:sp>
    <xdr:clientData/>
  </xdr:twoCellAnchor>
  <xdr:oneCellAnchor>
    <xdr:from>
      <xdr:col>10</xdr:col>
      <xdr:colOff>85725</xdr:colOff>
      <xdr:row>13</xdr:row>
      <xdr:rowOff>428625</xdr:rowOff>
    </xdr:from>
    <xdr:ext cx="184731" cy="264560"/>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2184380" y="33928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wsDr>
</file>

<file path=xl/drawings/drawing4.xml><?xml version="1.0" encoding="utf-8"?>
<xdr:wsDr xmlns:xdr="http://schemas.openxmlformats.org/drawingml/2006/spreadsheetDrawing" xmlns:a="http://schemas.openxmlformats.org/drawingml/2006/main">
  <xdr:twoCellAnchor editAs="absolute">
    <xdr:from>
      <xdr:col>29</xdr:col>
      <xdr:colOff>575184</xdr:colOff>
      <xdr:row>3</xdr:row>
      <xdr:rowOff>145341</xdr:rowOff>
    </xdr:from>
    <xdr:to>
      <xdr:col>32</xdr:col>
      <xdr:colOff>481390</xdr:colOff>
      <xdr:row>10</xdr:row>
      <xdr:rowOff>85725</xdr:rowOff>
    </xdr:to>
    <mc:AlternateContent xmlns:mc="http://schemas.openxmlformats.org/markup-compatibility/2006" xmlns:sle15="http://schemas.microsoft.com/office/drawing/2012/slicer">
      <mc:Choice Requires="sle15">
        <xdr:graphicFrame macro="">
          <xdr:nvGraphicFramePr>
            <xdr:cNvPr id="2" name="Price By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Price By 1"/>
            </a:graphicData>
          </a:graphic>
        </xdr:graphicFrame>
      </mc:Choice>
      <mc:Fallback xmlns="">
        <xdr:sp macro="" textlink="">
          <xdr:nvSpPr>
            <xdr:cNvPr id="0" name=""/>
            <xdr:cNvSpPr>
              <a:spLocks noTextEdit="1"/>
            </xdr:cNvSpPr>
          </xdr:nvSpPr>
          <xdr:spPr>
            <a:xfrm>
              <a:off x="27111834" y="888291"/>
              <a:ext cx="1735006" cy="1273884"/>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554183</xdr:colOff>
      <xdr:row>8</xdr:row>
      <xdr:rowOff>121228</xdr:rowOff>
    </xdr:from>
    <xdr:to>
      <xdr:col>34</xdr:col>
      <xdr:colOff>51956</xdr:colOff>
      <xdr:row>20</xdr:row>
      <xdr:rowOff>53842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24652433" y="2197678"/>
          <a:ext cx="4984173" cy="22186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28575</xdr:colOff>
          <xdr:row>9</xdr:row>
          <xdr:rowOff>85725</xdr:rowOff>
        </xdr:from>
        <xdr:to>
          <xdr:col>22</xdr:col>
          <xdr:colOff>857250</xdr:colOff>
          <xdr:row>9</xdr:row>
          <xdr:rowOff>533400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C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100" b="0" i="0" u="none" strike="noStrike" baseline="0">
                  <a:solidFill>
                    <a:srgbClr val="000000"/>
                  </a:solidFill>
                  <a:latin typeface="Calibri"/>
                  <a:cs typeface="Calibri"/>
                </a:rPr>
                <a:t>CONVERT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28575</xdr:colOff>
          <xdr:row>7</xdr:row>
          <xdr:rowOff>85725</xdr:rowOff>
        </xdr:from>
        <xdr:to>
          <xdr:col>22</xdr:col>
          <xdr:colOff>885825</xdr:colOff>
          <xdr:row>9</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C00-000006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100" b="0" i="0" u="none" strike="noStrike" baseline="0">
                  <a:solidFill>
                    <a:srgbClr val="000000"/>
                  </a:solidFill>
                  <a:latin typeface="Calibri"/>
                  <a:cs typeface="Calibri"/>
                </a:rPr>
                <a:t>Merge</a:t>
              </a:r>
            </a:p>
          </xdr:txBody>
        </xdr:sp>
        <xdr:clientData fPrintsWithSheet="0"/>
      </xdr:twoCellAnchor>
    </mc:Choice>
    <mc:Fallback/>
  </mc:AlternateContent>
  <xdr:oneCellAnchor>
    <xdr:from>
      <xdr:col>26</xdr:col>
      <xdr:colOff>266701</xdr:colOff>
      <xdr:row>0</xdr:row>
      <xdr:rowOff>104776</xdr:rowOff>
    </xdr:from>
    <xdr:ext cx="2305050" cy="1811430"/>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8778819" y="104776"/>
          <a:ext cx="2305050" cy="181143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100" b="1"/>
            <a:t>INSTRUCTION</a:t>
          </a:r>
        </a:p>
        <a:p>
          <a:r>
            <a:rPr lang="en-AU" sz="1100" u="sng"/>
            <a:t>INFILL</a:t>
          </a:r>
          <a:r>
            <a:rPr lang="en-AU" sz="1100" u="sng" baseline="0"/>
            <a:t> FORMAT</a:t>
          </a:r>
        </a:p>
        <a:p>
          <a:r>
            <a:rPr lang="en-AU" sz="1100" baseline="0"/>
            <a:t>- INFILL TYPE</a:t>
          </a:r>
        </a:p>
        <a:p>
          <a:r>
            <a:rPr lang="en-AU" sz="1100" baseline="0"/>
            <a:t>- GLASS/FILLING CODE</a:t>
          </a:r>
        </a:p>
        <a:p>
          <a:r>
            <a:rPr lang="en-AU" sz="1100" baseline="0"/>
            <a:t>- COMMENTS</a:t>
          </a:r>
          <a:endParaRPr lang="en-AU" sz="1100"/>
        </a:p>
        <a:p>
          <a:endParaRPr lang="en-AU" sz="1100"/>
        </a:p>
        <a:p>
          <a:r>
            <a:rPr lang="en-AU" sz="1100" u="sng"/>
            <a:t>PANEL FORMAT</a:t>
          </a:r>
        </a:p>
        <a:p>
          <a:r>
            <a:rPr lang="en-AU" sz="1100"/>
            <a:t>- FACADE TYPE/WINDOW SYSTEM</a:t>
          </a:r>
        </a:p>
        <a:p>
          <a:r>
            <a:rPr lang="en-AU" sz="1100"/>
            <a:t>- COMMENTS</a:t>
          </a:r>
        </a:p>
      </xdr:txBody>
    </xdr:sp>
    <xdr:clientData/>
  </xdr:oneCellAnchor>
  <mc:AlternateContent xmlns:mc="http://schemas.openxmlformats.org/markup-compatibility/2006">
    <mc:Choice xmlns:a14="http://schemas.microsoft.com/office/drawing/2010/main" Requires="a14">
      <xdr:twoCellAnchor>
        <xdr:from>
          <xdr:col>22</xdr:col>
          <xdr:colOff>28575</xdr:colOff>
          <xdr:row>5</xdr:row>
          <xdr:rowOff>85725</xdr:rowOff>
        </xdr:from>
        <xdr:to>
          <xdr:col>22</xdr:col>
          <xdr:colOff>876300</xdr:colOff>
          <xdr:row>7</xdr:row>
          <xdr:rowOff>38100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C00-000008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100" b="0" i="0" u="none" strike="noStrike" baseline="0">
                  <a:solidFill>
                    <a:srgbClr val="000000"/>
                  </a:solidFill>
                  <a:latin typeface="Calibri"/>
                  <a:cs typeface="Calibri"/>
                </a:rPr>
                <a:t>UnMerge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28575</xdr:colOff>
          <xdr:row>3</xdr:row>
          <xdr:rowOff>95250</xdr:rowOff>
        </xdr:from>
        <xdr:to>
          <xdr:col>22</xdr:col>
          <xdr:colOff>885825</xdr:colOff>
          <xdr:row>5</xdr:row>
          <xdr:rowOff>47625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C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123825</xdr:colOff>
          <xdr:row>9</xdr:row>
          <xdr:rowOff>76200</xdr:rowOff>
        </xdr:from>
        <xdr:to>
          <xdr:col>23</xdr:col>
          <xdr:colOff>952500</xdr:colOff>
          <xdr:row>9</xdr:row>
          <xdr:rowOff>523875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C00-00000A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100" b="0" i="0" u="none" strike="noStrike" baseline="0">
                  <a:solidFill>
                    <a:srgbClr val="000000"/>
                  </a:solidFill>
                  <a:latin typeface="Calibri"/>
                  <a:cs typeface="Calibri"/>
                </a:rPr>
                <a:t>TYPE CREAT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10</xdr:col>
      <xdr:colOff>327660</xdr:colOff>
      <xdr:row>0</xdr:row>
      <xdr:rowOff>350520</xdr:rowOff>
    </xdr:from>
    <xdr:to>
      <xdr:col>18</xdr:col>
      <xdr:colOff>610318</xdr:colOff>
      <xdr:row>24</xdr:row>
      <xdr:rowOff>27414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2580620" y="350520"/>
          <a:ext cx="5281378" cy="542237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476250</xdr:colOff>
      <xdr:row>0</xdr:row>
      <xdr:rowOff>352425</xdr:rowOff>
    </xdr:from>
    <xdr:to>
      <xdr:col>20</xdr:col>
      <xdr:colOff>134068</xdr:colOff>
      <xdr:row>23</xdr:row>
      <xdr:rowOff>29319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220575" y="352425"/>
          <a:ext cx="5144218" cy="53347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113030</xdr:colOff>
      <xdr:row>43</xdr:row>
      <xdr:rowOff>241300</xdr:rowOff>
    </xdr:from>
    <xdr:to>
      <xdr:col>12</xdr:col>
      <xdr:colOff>152400</xdr:colOff>
      <xdr:row>60</xdr:row>
      <xdr:rowOff>53976</xdr:rowOff>
    </xdr:to>
    <xdr:sp macro="" textlink="">
      <xdr:nvSpPr>
        <xdr:cNvPr id="2" name="Round Single Corner Rectangle 5">
          <a:extLst>
            <a:ext uri="{FF2B5EF4-FFF2-40B4-BE49-F238E27FC236}">
              <a16:creationId xmlns:a16="http://schemas.microsoft.com/office/drawing/2014/main" id="{00000000-0008-0000-0F00-000002000000}"/>
            </a:ext>
          </a:extLst>
        </xdr:cNvPr>
        <xdr:cNvSpPr/>
      </xdr:nvSpPr>
      <xdr:spPr>
        <a:xfrm>
          <a:off x="113030" y="8931910"/>
          <a:ext cx="9221470" cy="3479801"/>
        </a:xfrm>
        <a:prstGeom prst="round1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7</xdr:col>
      <xdr:colOff>520933</xdr:colOff>
      <xdr:row>0</xdr:row>
      <xdr:rowOff>136071</xdr:rowOff>
    </xdr:from>
    <xdr:ext cx="4416352" cy="1049274"/>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0498" y="132261"/>
          <a:ext cx="4416352" cy="1049274"/>
        </a:xfrm>
        <a:prstGeom prst="rect">
          <a:avLst/>
        </a:prstGeom>
      </xdr:spPr>
    </xdr:pic>
    <xdr:clientData/>
  </xdr:oneCellAnchor>
  <xdr:oneCellAnchor>
    <xdr:from>
      <xdr:col>10</xdr:col>
      <xdr:colOff>534216</xdr:colOff>
      <xdr:row>80</xdr:row>
      <xdr:rowOff>0</xdr:rowOff>
    </xdr:from>
    <xdr:ext cx="1761127" cy="569595"/>
    <xdr:pic>
      <xdr:nvPicPr>
        <xdr:cNvPr id="4" name="Picture 3" descr="Image result for australian trusted trader logo">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73166" y="16192500"/>
          <a:ext cx="1761127" cy="5695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147049</xdr:colOff>
      <xdr:row>60</xdr:row>
      <xdr:rowOff>162878</xdr:rowOff>
    </xdr:from>
    <xdr:to>
      <xdr:col>12</xdr:col>
      <xdr:colOff>81644</xdr:colOff>
      <xdr:row>63</xdr:row>
      <xdr:rowOff>76201</xdr:rowOff>
    </xdr:to>
    <xdr:sp macro="" textlink="">
      <xdr:nvSpPr>
        <xdr:cNvPr id="5" name="Round Single Corner Rectangle 7">
          <a:extLst>
            <a:ext uri="{FF2B5EF4-FFF2-40B4-BE49-F238E27FC236}">
              <a16:creationId xmlns:a16="http://schemas.microsoft.com/office/drawing/2014/main" id="{00000000-0008-0000-0F00-000005000000}"/>
            </a:ext>
          </a:extLst>
        </xdr:cNvPr>
        <xdr:cNvSpPr/>
      </xdr:nvSpPr>
      <xdr:spPr>
        <a:xfrm>
          <a:off x="145144" y="12518708"/>
          <a:ext cx="9120505" cy="568643"/>
        </a:xfrm>
        <a:prstGeom prst="round1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152400</xdr:colOff>
      <xdr:row>35</xdr:row>
      <xdr:rowOff>1</xdr:rowOff>
    </xdr:from>
    <xdr:to>
      <xdr:col>12</xdr:col>
      <xdr:colOff>106495</xdr:colOff>
      <xdr:row>38</xdr:row>
      <xdr:rowOff>76201</xdr:rowOff>
    </xdr:to>
    <xdr:sp macro="" textlink="">
      <xdr:nvSpPr>
        <xdr:cNvPr id="6" name="Round Single Corner Rectangle 4">
          <a:extLst>
            <a:ext uri="{FF2B5EF4-FFF2-40B4-BE49-F238E27FC236}">
              <a16:creationId xmlns:a16="http://schemas.microsoft.com/office/drawing/2014/main" id="{00000000-0008-0000-0F00-000006000000}"/>
            </a:ext>
          </a:extLst>
        </xdr:cNvPr>
        <xdr:cNvSpPr/>
      </xdr:nvSpPr>
      <xdr:spPr>
        <a:xfrm>
          <a:off x="152400" y="6905626"/>
          <a:ext cx="9134290" cy="704850"/>
        </a:xfrm>
        <a:prstGeom prst="round1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118659</xdr:colOff>
      <xdr:row>38</xdr:row>
      <xdr:rowOff>209550</xdr:rowOff>
    </xdr:from>
    <xdr:to>
      <xdr:col>12</xdr:col>
      <xdr:colOff>69579</xdr:colOff>
      <xdr:row>43</xdr:row>
      <xdr:rowOff>69396</xdr:rowOff>
    </xdr:to>
    <xdr:sp macro="" textlink="">
      <xdr:nvSpPr>
        <xdr:cNvPr id="7" name="Round Single Corner Rectangle 4">
          <a:extLst>
            <a:ext uri="{FF2B5EF4-FFF2-40B4-BE49-F238E27FC236}">
              <a16:creationId xmlns:a16="http://schemas.microsoft.com/office/drawing/2014/main" id="{00000000-0008-0000-0F00-000007000000}"/>
            </a:ext>
          </a:extLst>
        </xdr:cNvPr>
        <xdr:cNvSpPr/>
      </xdr:nvSpPr>
      <xdr:spPr>
        <a:xfrm>
          <a:off x="120564" y="7740015"/>
          <a:ext cx="9129210" cy="1014276"/>
        </a:xfrm>
        <a:prstGeom prst="round1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DATA\DataFile\O\DB9604\RevMay97\SHOPLIS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020354%20BOQ%20&#3592;&#3633;&#3609;&#3607;&#3610;&#3640;&#3619;&#3637;\&#3592;&#3633;&#3609;&#3607;&#3610;&#3640;&#3619;&#3637;\TU-2003-98\TU-2003\TU-2003\DELTA-5\Del-217.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tiltonau-my.sharepoint.com/personal/dale_tfgfacades_com_au/Documents/Pricing%20Centre/Logistics%20Cost%20Comparison%20220707.xlsx" TargetMode="External"/><Relationship Id="rId1" Type="http://schemas.openxmlformats.org/officeDocument/2006/relationships/externalLinkPath" Target="https://tiltonau-my.sharepoint.com/personal/dale_tfgfacades_com_au/Documents/Pricing%20Centre/Logistics%20Cost%20Comparison%2022070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oc-02\Me\PROJECT\2004\Maxxis%20international%20(Thailand%20)%20Phase%20II\X-042151\Total-Summary%20(for%20owner)-r1.xls"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tiltonau.sharepoint.com/sites/Facades/Shared%20Documents/TENDERS/T1111%20-%20Lot%209%20-%20Speculative%20Facility/01.2%20-%20COST%20AND%20BUDGET/T1111%20-%20Lot%209%20Speculative%20Facility%20-%20TFG%20Budget%20Rev.00.xlsm" TargetMode="External"/><Relationship Id="rId1" Type="http://schemas.openxmlformats.org/officeDocument/2006/relationships/externalLinkPath" Target="/sites/Facades/Shared%20Documents/TENDERS/T1111%20-%20Lot%209%20-%20Speculative%20Facility/01.2%20-%20COST%20AND%20BUDGET/T1111%20-%20Lot%209%20Speculative%20Facility%20-%20TFG%20Budget%20Rev.0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3649;&#3610;&#3610;&#3610;&#3657;&#3634;&#3609;&#3592;&#3634;&#3585;%20110%2016%20&#3585;.&#3618;%2057\&#3649;&#3610;&#3610;&#3648;&#3614;&#3636;&#3656;&#3617;&#3648;&#3605;&#3636;&#3617;&#3610;&#3657;&#3634;&#3609;&#3627;&#3617;&#3629;&#3621;&#3633;&#3585;&#3625;&#3617;&#3637;\WINDOWS\TEMP\&#3648;&#3626;&#3609;&#3629;&#3619;&#3634;&#3588;&#3634;-%20(&#3626;&#3641;&#3605;&#3619;)-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WINDOWS\TEMP\&#3648;&#3626;&#3609;&#3629;&#3619;&#3634;&#3588;&#3634;-%20(&#3626;&#3641;&#3605;&#3619;)-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SC1\data\WINDOWS\TEMP\&#3648;&#3626;&#3609;&#3629;&#3619;&#3634;&#3588;&#3634;-%20(&#3626;&#3641;&#3605;&#3619;)-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Contents"/>
      <sheetName val="Summary"/>
      <sheetName val="HQBuilding"/>
      <sheetName val="FitOutHQBldg"/>
      <sheetName val="Security"/>
      <sheetName val="AutoMessengerSystem"/>
      <sheetName val="PASystem"/>
      <sheetName val="TelephoneSystem"/>
      <sheetName val="HQSpecialSystems"/>
      <sheetName val="WaterFeatures"/>
      <sheetName val="DealerRoom"/>
      <sheetName val="Services"/>
      <sheetName val="ACtoStairs"/>
      <sheetName val="GoodsDelivery"/>
      <sheetName val="ToiletPods"/>
      <sheetName val="HQBldgExtCladding"/>
      <sheetName val="GlazedSouthWall"/>
      <sheetName val="HQFFandE"/>
      <sheetName val="ConferenceCentre"/>
      <sheetName val="FitOutConfCentre"/>
      <sheetName val="ConfCentreSpecialSystems"/>
      <sheetName val="ConfCentreExtCladding"/>
      <sheetName val="ConfFFandE"/>
      <sheetName val="CarPark"/>
      <sheetName val="StatutoryCharges"/>
      <sheetName val="Drawingscover"/>
      <sheetName val="Drawings"/>
      <sheetName val="GFA HQ Building"/>
      <sheetName val="GFA Conference"/>
      <sheetName val="GeneralSummary"/>
      <sheetName val="ElementalSummary"/>
      <sheetName val="BQ"/>
      <sheetName val="BQ External"/>
      <sheetName val="Notes"/>
      <sheetName val="Basis"/>
      <sheetName val="SHOPLIST"/>
      <sheetName val="TAS"/>
      <sheetName val="icmal"/>
      <sheetName val="Cash2"/>
      <sheetName val="Z"/>
      <sheetName val="Raw Data"/>
      <sheetName val="SubmitCal"/>
      <sheetName val="Penthouse Apartment"/>
      <sheetName val="Graph Data (DO NOT PRINT)"/>
      <sheetName val="D-623D"/>
      <sheetName val="Option"/>
      <sheetName val="Chiet tinh dz22"/>
      <sheetName val="Chiet tinh dz35"/>
      <sheetName val="#REF"/>
      <sheetName val="StattCo yCharges"/>
      <sheetName val="GFA_HQ_Building"/>
      <sheetName val="GFA_Conference"/>
      <sheetName val="Su}}ary"/>
      <sheetName val="BQ_External"/>
      <sheetName val="Bill_1"/>
      <sheetName val="Bill_2"/>
      <sheetName val="Bill_3"/>
      <sheetName val="Bill_4"/>
      <sheetName val="Bill_5"/>
      <sheetName val="Bill_6"/>
      <sheetName val="Bill_7"/>
      <sheetName val="LABOUR HISTOGRAM"/>
      <sheetName val="Projet, methodes &amp; couts"/>
      <sheetName val="Macro1"/>
      <sheetName val="Planning"/>
      <sheetName val="TAHRIR"/>
      <sheetName val="Bases"/>
      <sheetName val="Risques majeurs &amp; Frais Ind."/>
      <sheetName val="Bouclage"/>
      <sheetName val="AREG_05"/>
      <sheetName val="CASHFLOWS"/>
      <sheetName val="LEVEL SHEET"/>
      <sheetName val="_______"/>
      <sheetName val="核算项目余额表"/>
      <sheetName val="Criteria"/>
      <sheetName val="Assumptions"/>
      <sheetName val="@risk rents and incentives"/>
      <sheetName val="Car park lease"/>
      <sheetName val="Net rent analysis"/>
      <sheetName val="Poz-1 "/>
      <sheetName val="차액보증"/>
      <sheetName val="Quantity"/>
      <sheetName val="PNT-QUOT-#3"/>
      <sheetName val="COAT&amp;WRAP-QIOT-#3"/>
      <sheetName val="Earthwork"/>
      <sheetName val="GIAVLIEU"/>
      <sheetName val="??-BLDG"/>
      <sheetName val="BG"/>
      <sheetName val="RAB AR&amp;STR"/>
      <sheetName val="ml"/>
      <sheetName val="__-BLDG"/>
      <sheetName val="BOQ"/>
      <sheetName val="Bill No. 2"/>
      <sheetName val="Lab Cum Hist"/>
      <sheetName val="1"/>
      <sheetName val="ancillary"/>
      <sheetName val="改加胶玻璃、室外栏杆"/>
      <sheetName val="FOL - Bar"/>
      <sheetName val="CT Thang Mo"/>
      <sheetName val="Budget"/>
      <sheetName val="SPT vs PHI"/>
      <sheetName val="budget summary (2)"/>
      <sheetName val="Budget Analysis Summary"/>
      <sheetName val=""/>
      <sheetName val="Sheet1"/>
      <sheetName val="LABOUR_HISTOGRAM"/>
      <sheetName val="JAS"/>
      <sheetName val="Rate analysis"/>
      <sheetName val="企业表一"/>
      <sheetName val="M-5C"/>
      <sheetName val="M-5A"/>
      <sheetName val="Sheet2"/>
      <sheetName val="ANNEXURE-A"/>
      <sheetName val="CT  PL"/>
      <sheetName val="concrete"/>
      <sheetName val="beam-reinft-IIInd floor"/>
      <sheetName val="beam-reinft-machine rm"/>
      <sheetName val="girder"/>
      <sheetName val="Rocker"/>
      <sheetName val="98Price"/>
      <sheetName val="Bill 1"/>
      <sheetName val="Bill 2"/>
      <sheetName val="Bill 3"/>
      <sheetName val="Bill 4"/>
      <sheetName val="Bill 5"/>
      <sheetName val="Bill 6"/>
      <sheetName val="Bill 7"/>
      <sheetName val="B"/>
      <sheetName val="Customize Your Invoice"/>
      <sheetName val="PriceSummary"/>
      <sheetName val="POWER ASSUMPTIONS"/>
      <sheetName val="intr stool brkup"/>
      <sheetName val="ConferenceCentre_x0000_옰ʒ䄂ʒ鵠ʐ䄂ʒ閐̐䄂ʒ蕈̐"/>
      <sheetName val="Top sheet"/>
      <sheetName val="HVAC BoQ"/>
      <sheetName val="GFA_HQ_Building1"/>
      <sheetName val="GFA_Conference1"/>
      <sheetName val="BQ_External1"/>
      <sheetName val="Penthouse_Apartment"/>
      <sheetName val="StattCo_yCharges"/>
      <sheetName val="Raw_Data"/>
      <sheetName val="@risk_rents_and_incentives"/>
      <sheetName val="Car_park_lease"/>
      <sheetName val="Net_rent_analysis"/>
      <sheetName val="Poz-1_"/>
      <sheetName val="Chiet_tinh_dz22"/>
      <sheetName val="Chiet_tinh_dz35"/>
      <sheetName val="Lab_Cum_Hist"/>
      <sheetName val="Graph_Data_(DO_NOT_PRINT)"/>
      <sheetName val="Projet,_methodes_&amp;_couts"/>
      <sheetName val="Risques_majeurs_&amp;_Frais_Ind_"/>
      <sheetName val="CT_Thang_Mo"/>
      <sheetName val="Bill_No__2"/>
      <sheetName val="SPT_vs_PHI"/>
      <sheetName val="budget_summary_(2)"/>
      <sheetName val="Budget_Analysis_Summary"/>
      <sheetName val="CT__PL"/>
      <sheetName val="LEVEL_SHEET"/>
      <sheetName val="FOL_-_Bar"/>
      <sheetName val="Data"/>
      <sheetName val="Tender Summary"/>
      <sheetName val="Insurance Ext"/>
      <sheetName val="Prelims"/>
      <sheetName val="Body Sheet"/>
      <sheetName val="1.0 Executive Summary"/>
      <sheetName val="Geneí¬_x0008_i_x0000__x0000__x0014__x0000_0."/>
      <sheetName val="70_x0000_,/0_x0000_s«_x0008_i_x0000_Æø_x0003_í¬_x0008_i_x0000_"/>
      <sheetName val="HQ-TO"/>
      <sheetName val="LABOUR_HISTOGRAM1"/>
      <sheetName val="COC"/>
      <sheetName val="List"/>
      <sheetName val="Currencies"/>
      <sheetName val="Ap A"/>
      <sheetName val="SAP"/>
      <sheetName val="DATAS"/>
      <sheetName val="POWER"/>
      <sheetName val="MTP"/>
      <sheetName val="Inputs"/>
      <sheetName val="기계내역서"/>
      <sheetName val="SHOPLIST.xls"/>
      <sheetName val="Rate_Analysis"/>
      <sheetName val="ACT_SPS"/>
      <sheetName val="SPSF"/>
      <sheetName val="Invoice Summary"/>
      <sheetName val="Sheet3"/>
      <sheetName val="2 Div 14 "/>
      <sheetName val="PROJECT BRIEF"/>
      <sheetName val="Civil Boq"/>
      <sheetName val="Tender_Summary"/>
      <sheetName val="Insurance_Ext"/>
      <sheetName val="C (3)"/>
      <sheetName val="공종별_집계금액"/>
      <sheetName val="Customize_Your_Invoice"/>
      <sheetName val="HVAC_BoQ"/>
      <sheetName val="Dubai golf"/>
      <sheetName val="GFA_HQ_Building2"/>
      <sheetName val="GFA_Conference2"/>
      <sheetName val="BQ_External2"/>
      <sheetName val="Penthouse_Apartment1"/>
      <sheetName val="StattCo_yCharges1"/>
      <sheetName val="Raw_Data1"/>
      <sheetName val="Bill_No__21"/>
      <sheetName val="Graph_Data_(DO_NOT_PRINT)1"/>
      <sheetName val="Chiet_tinh_dz221"/>
      <sheetName val="Chiet_tinh_dz351"/>
      <sheetName val="CT_Thang_Mo1"/>
      <sheetName val="@risk_rents_and_incentives1"/>
      <sheetName val="Car_park_lease1"/>
      <sheetName val="Net_rent_analysis1"/>
      <sheetName val="Poz-1_1"/>
      <sheetName val="Lab_Cum_Hist1"/>
      <sheetName val="FOL_-_Bar1"/>
      <sheetName val="LEVEL_SHEET1"/>
      <sheetName val="SPT_vs_PHI1"/>
      <sheetName val="budget_summary_(2)1"/>
      <sheetName val="Budget_Analysis_Summary1"/>
      <sheetName val="Projet,_methodes_&amp;_couts1"/>
      <sheetName val="Risques_majeurs_&amp;_Frais_Ind_1"/>
      <sheetName val="CT__PL1"/>
      <sheetName val="intr_stool_brkup"/>
      <sheetName val="Top_sheet"/>
      <sheetName val="Body_Sheet"/>
      <sheetName val="1_0_Executive_Summary"/>
      <sheetName val="GFA_HQ_Building3"/>
      <sheetName val="GFA_Conference3"/>
      <sheetName val="StattCo_yCharges2"/>
      <sheetName val="BQ_External3"/>
      <sheetName val="Penthouse_Apartment2"/>
      <sheetName val="LABOUR_HISTOGRAM3"/>
      <sheetName val="Chiet_tinh_dz222"/>
      <sheetName val="Chiet_tinh_dz352"/>
      <sheetName val="CT_Thang_Mo2"/>
      <sheetName val="Raw_Data2"/>
      <sheetName val="@risk_rents_and_incentives2"/>
      <sheetName val="Car_park_lease2"/>
      <sheetName val="Net_rent_analysis2"/>
      <sheetName val="Poz-1_2"/>
      <sheetName val="Lab_Cum_Hist2"/>
      <sheetName val="Graph_Data_(DO_NOT_PRINT)2"/>
      <sheetName val="LEVEL_SHEET2"/>
      <sheetName val="Bill_No__22"/>
      <sheetName val="Tender_Summary2"/>
      <sheetName val="Insurance_Ext2"/>
      <sheetName val="FOL_-_Bar2"/>
      <sheetName val="SPT_vs_PHI2"/>
      <sheetName val="Customize_Your_Invoice2"/>
      <sheetName val="HVAC_BoQ2"/>
      <sheetName val="Body_Sheet1"/>
      <sheetName val="1_0_Executive_Summary1"/>
      <sheetName val="Top_sheet1"/>
      <sheetName val="intr_stool_brkup1"/>
      <sheetName val="Rate_analysis1"/>
      <sheetName val="LABOUR_HISTOGRAM2"/>
      <sheetName val="Tender_Summary1"/>
      <sheetName val="Insurance_Ext1"/>
      <sheetName val="Customize_Your_Invoice1"/>
      <sheetName val="HVAC_BoQ1"/>
      <sheetName val="GFA_HQ_Building4"/>
      <sheetName val="GFA_Conference4"/>
      <sheetName val="StattCo_yCharges3"/>
      <sheetName val="BQ_External4"/>
      <sheetName val="Penthouse_Apartment3"/>
      <sheetName val="LABOUR_HISTOGRAM4"/>
      <sheetName val="Chiet_tinh_dz223"/>
      <sheetName val="Chiet_tinh_dz353"/>
      <sheetName val="CT_Thang_Mo3"/>
      <sheetName val="Raw_Data3"/>
      <sheetName val="@risk_rents_and_incentives3"/>
      <sheetName val="Car_park_lease3"/>
      <sheetName val="Net_rent_analysis3"/>
      <sheetName val="Poz-1_3"/>
      <sheetName val="Lab_Cum_Hist3"/>
      <sheetName val="Graph_Data_(DO_NOT_PRINT)3"/>
      <sheetName val="LEVEL_SHEET3"/>
      <sheetName val="Bill_No__23"/>
      <sheetName val="Tender_Summary3"/>
      <sheetName val="Insurance_Ext3"/>
      <sheetName val="FOL_-_Bar3"/>
      <sheetName val="SPT_vs_PHI3"/>
      <sheetName val="Customize_Your_Invoice3"/>
      <sheetName val="HVAC_BoQ3"/>
      <sheetName val="budget_summary_(2)2"/>
      <sheetName val="Budget_Analysis_Summary2"/>
      <sheetName val="Body_Sheet2"/>
      <sheetName val="1_0_Executive_Summary2"/>
      <sheetName val="Projet,_methodes_&amp;_couts2"/>
      <sheetName val="Risques_majeurs_&amp;_Frais_Ind_2"/>
      <sheetName val="CT__PL2"/>
      <sheetName val="Top_sheet2"/>
      <sheetName val="intr_stool_brkup2"/>
      <sheetName val="Rate_analysis2"/>
      <sheetName val="GFA_HQ_Building5"/>
      <sheetName val="GFA_Conference5"/>
      <sheetName val="StattCo_yCharges4"/>
      <sheetName val="BQ_External5"/>
      <sheetName val="Penthouse_Apartment4"/>
      <sheetName val="LABOUR_HISTOGRAM5"/>
      <sheetName val="Chiet_tinh_dz224"/>
      <sheetName val="Chiet_tinh_dz354"/>
      <sheetName val="CT_Thang_Mo4"/>
      <sheetName val="Raw_Data4"/>
      <sheetName val="@risk_rents_and_incentives4"/>
      <sheetName val="Car_park_lease4"/>
      <sheetName val="Net_rent_analysis4"/>
      <sheetName val="Poz-1_4"/>
      <sheetName val="Lab_Cum_Hist4"/>
      <sheetName val="Graph_Data_(DO_NOT_PRINT)4"/>
      <sheetName val="LEVEL_SHEET4"/>
      <sheetName val="Bill_No__24"/>
      <sheetName val="Tender_Summary4"/>
      <sheetName val="Insurance_Ext4"/>
      <sheetName val="FOL_-_Bar4"/>
      <sheetName val="SPT_vs_PHI4"/>
      <sheetName val="Customize_Your_Invoice4"/>
      <sheetName val="HVAC_BoQ4"/>
      <sheetName val="budget_summary_(2)3"/>
      <sheetName val="Budget_Analysis_Summary3"/>
      <sheetName val="Body_Sheet3"/>
      <sheetName val="1_0_Executive_Summary3"/>
      <sheetName val="Projet,_methodes_&amp;_couts3"/>
      <sheetName val="Risques_majeurs_&amp;_Frais_Ind_3"/>
      <sheetName val="CT__PL3"/>
      <sheetName val="Top_sheet3"/>
      <sheetName val="intr_stool_brkup3"/>
      <sheetName val="Rate_analysis3"/>
      <sheetName val="sal"/>
      <sheetName val="WITHOUT C&amp;I PROFIT (3)"/>
      <sheetName val="Geneí¬_x0008_i"/>
      <sheetName val="70"/>
      <sheetName val="CODE"/>
      <sheetName val="HIRED LABOUR CODE"/>
      <sheetName val="PA- Consutant "/>
      <sheetName val="Design"/>
      <sheetName val="upa"/>
      <sheetName val="foot-slab reinft"/>
      <sheetName val="Materials Cost(PCC)"/>
      <sheetName val="India F&amp;S Template"/>
      <sheetName val="Annex"/>
      <sheetName val="factors"/>
      <sheetName val="P4-B"/>
      <sheetName val="Break_Up"/>
      <sheetName val="RESULT"/>
      <sheetName val="IO LIST"/>
      <sheetName val="Formulas"/>
      <sheetName val="Material "/>
      <sheetName val="Quote Sheet"/>
      <sheetName val="Bill_21"/>
      <sheetName val="2_Div_14_"/>
      <sheetName val="Wall"/>
      <sheetName val="CERTIFICATE"/>
      <sheetName val="마산월령동골조물량변경"/>
      <sheetName val="Elemental Buildup"/>
      <sheetName val="TOSHIBA-Structure"/>
      <sheetName val="Data Validation"/>
      <sheetName val="NKC6"/>
      <sheetName val="Activity List"/>
      <sheetName val="GFA_HQ_Building6"/>
      <sheetName val="MOS"/>
      <sheetName val="Softscape Buildup"/>
      <sheetName val="Mat'l Rate"/>
      <sheetName val="BILL COV"/>
      <sheetName val="Ap_A"/>
      <sheetName val="SHOPLIST_xls"/>
      <sheetName val="Geneí¬i0_"/>
      <sheetName val="70,/0s«iÆøí¬i"/>
      <sheetName val="Invoice_Summary"/>
      <sheetName val="PROJECT_BRIEF"/>
      <sheetName val="Ra  stair"/>
      <sheetName val="250mm"/>
      <sheetName val="200mm"/>
      <sheetName val="160mm"/>
      <sheetName val="FITTINGS"/>
      <sheetName val="VALVE CHAMBERS"/>
      <sheetName val="Fire Hydrants"/>
      <sheetName val="B.GATE VALVE"/>
      <sheetName val="Sub G1 Fire"/>
      <sheetName val="Sub G12 Fire"/>
      <sheetName val="ABSTRACT"/>
      <sheetName val="DETAILED  BOQ"/>
      <sheetName val="M-Book for Conc"/>
      <sheetName val="M-Book for FW"/>
      <sheetName val="Vehicles"/>
      <sheetName val="Toolbox"/>
      <sheetName val="Day work"/>
      <sheetName val="Div. 02"/>
      <sheetName val="Div. 03"/>
      <sheetName val="Div. 04"/>
      <sheetName val="Div. 05"/>
      <sheetName val="Div. 06"/>
      <sheetName val="Div. 07"/>
      <sheetName val="Div. 08"/>
      <sheetName val="Div. 09"/>
      <sheetName val="Div. 10"/>
      <sheetName val="Div. 11"/>
      <sheetName val="Div. 12"/>
      <sheetName val="Div.13"/>
      <sheetName val="EXTERNAL WORKS"/>
      <sheetName val="PARAMETER"/>
      <sheetName val="PRODUCTIVITY RATE"/>
      <sheetName val="U.R.A - MASONRY"/>
      <sheetName val="U.R.A - PLASTERING"/>
      <sheetName val="U.R.A - TILING"/>
      <sheetName val="U.R.A - GRANITE"/>
      <sheetName val="V.C 2 - EARTHWORK"/>
      <sheetName val="V.C 9 - CERAMIC"/>
      <sheetName val="V.C 9 - FINISHES"/>
      <sheetName val="PROJECT_BRIEF1"/>
      <sheetName val="Bill_22"/>
      <sheetName val="C_(3)1"/>
      <sheetName val="Ap_A1"/>
      <sheetName val="2_Div_14_1"/>
      <sheetName val="Bill_11"/>
      <sheetName val="Bill_31"/>
      <sheetName val="Bill_41"/>
      <sheetName val="Bill_51"/>
      <sheetName val="Bill_61"/>
      <sheetName val="Bill_71"/>
      <sheetName val="Dubai_golf"/>
      <sheetName val="beam-reinft-IIInd_floor"/>
      <sheetName val="POWER_ASSUMPTIONS"/>
      <sheetName val="beam-reinft-machine_rm"/>
      <sheetName val="C_(3)"/>
      <sheetName val="GFA_Conference6"/>
      <sheetName val="BQ_External6"/>
      <sheetName val="Raw_Data5"/>
      <sheetName val="Penthouse_Apartment5"/>
      <sheetName val="StattCo_yCharges5"/>
      <sheetName val="@risk_rents_and_incentives5"/>
      <sheetName val="Car_park_lease5"/>
      <sheetName val="Net_rent_analysis5"/>
      <sheetName val="Poz-1_5"/>
      <sheetName val="Chiet_tinh_dz225"/>
      <sheetName val="Chiet_tinh_dz355"/>
      <sheetName val="LEVEL_SHEET5"/>
      <sheetName val="LABOUR_HISTOGRAM6"/>
      <sheetName val="Lab_Cum_Hist5"/>
      <sheetName val="Graph_Data_(DO_NOT_PRINT)5"/>
      <sheetName val="Body_Sheet4"/>
      <sheetName val="1_0_Executive_Summary4"/>
      <sheetName val="CT_Thang_Mo5"/>
      <sheetName val="Customize_Your_Invoice5"/>
      <sheetName val="HVAC_BoQ5"/>
      <sheetName val="Bill_No__25"/>
      <sheetName val="budget_summary_(2)4"/>
      <sheetName val="Budget_Analysis_Summary4"/>
      <sheetName val="Projet,_methodes_&amp;_couts4"/>
      <sheetName val="Risques_majeurs_&amp;_Frais_Ind_4"/>
      <sheetName val="SPT_vs_PHI5"/>
      <sheetName val="CT__PL4"/>
      <sheetName val="FOL_-_Bar5"/>
      <sheetName val="Tender_Summary5"/>
      <sheetName val="Insurance_Ext5"/>
      <sheetName val="Top_sheet4"/>
      <sheetName val="intr_stool_brkup4"/>
      <sheetName val="2_Div_14_2"/>
      <sheetName val="SHOPLIST_xls1"/>
      <sheetName val="Bill_23"/>
      <sheetName val="Ap_A2"/>
      <sheetName val="Bill_12"/>
      <sheetName val="Bill_32"/>
      <sheetName val="Bill_42"/>
      <sheetName val="Bill_52"/>
      <sheetName val="Bill_62"/>
      <sheetName val="Bill_72"/>
      <sheetName val="Invoice_Summary1"/>
      <sheetName val="beam-reinft-IIInd_floor1"/>
      <sheetName val="beam-reinft-machine_rm1"/>
      <sheetName val="PROJECT_BRIEF2"/>
      <sheetName val="C_(3)2"/>
      <sheetName val="POWER_ASSUMPTIONS1"/>
      <sheetName val="Dubai_golf1"/>
      <sheetName val="WITHOUT_C&amp;I_PROFIT_(3)"/>
      <sheetName val="Geneí¬i"/>
      <sheetName val="Civil_Boq"/>
      <sheetName val="DETAILED__BOQ"/>
      <sheetName val="M-Book_for_Conc"/>
      <sheetName val="M-Book_for_FW"/>
      <sheetName val="Activity_List"/>
      <sheetName val="HIRED_LABOUR_CODE"/>
      <sheetName val="PA-_Consutant_"/>
      <sheetName val="foot-slab_reinft"/>
      <sheetName val="GFA_HQ_Building7"/>
      <sheetName val="GFA_Conference7"/>
      <sheetName val="BQ_External7"/>
      <sheetName val="StattCo_yCharges6"/>
      <sheetName val="Graph_Data_(DO_NOT_PRINT)6"/>
      <sheetName val="Penthouse_Apartment6"/>
      <sheetName val="Chiet_tinh_dz226"/>
      <sheetName val="Chiet_tinh_dz356"/>
      <sheetName val="Raw_Data6"/>
      <sheetName val="LABOUR_HISTOGRAM7"/>
      <sheetName val="@risk_rents_and_incentives6"/>
      <sheetName val="Car_park_lease6"/>
      <sheetName val="Net_rent_analysis6"/>
      <sheetName val="Poz-1_6"/>
      <sheetName val="Lab_Cum_Hist6"/>
      <sheetName val="CT_Thang_Mo6"/>
      <sheetName val="budget_summary_(2)5"/>
      <sheetName val="Budget_Analysis_Summary5"/>
      <sheetName val="Tender_Summary6"/>
      <sheetName val="Insurance_Ext6"/>
      <sheetName val="Customize_Your_Invoice6"/>
      <sheetName val="HVAC_BoQ6"/>
      <sheetName val="Bill_No__26"/>
      <sheetName val="Projet,_methodes_&amp;_couts5"/>
      <sheetName val="Risques_majeurs_&amp;_Frais_Ind_5"/>
      <sheetName val="LEVEL_SHEET6"/>
      <sheetName val="SPT_vs_PHI6"/>
      <sheetName val="CT__PL5"/>
      <sheetName val="FOL_-_Bar6"/>
      <sheetName val="intr_stool_brkup5"/>
      <sheetName val="Top_sheet5"/>
      <sheetName val="Rate_analysis4"/>
      <sheetName val="Body_Sheet5"/>
      <sheetName val="1_0_Executive_Summary5"/>
      <sheetName val="Bill_13"/>
      <sheetName val="Bill_24"/>
      <sheetName val="Bill_33"/>
      <sheetName val="Bill_43"/>
      <sheetName val="Bill_53"/>
      <sheetName val="Bill_63"/>
      <sheetName val="Bill_73"/>
      <sheetName val="2_Div_14_3"/>
      <sheetName val="Ap_A3"/>
      <sheetName val="SHOPLIST_xls2"/>
      <sheetName val="Dubai_golf2"/>
      <sheetName val="beam-reinft-IIInd_floor2"/>
      <sheetName val="beam-reinft-machine_rm2"/>
      <sheetName val="POWER_ASSUMPTIONS2"/>
      <sheetName val="Invoice_Summary2"/>
      <sheetName val="PROJECT_BRIEF3"/>
      <sheetName val="C_(3)3"/>
      <sheetName val="Civil_Boq1"/>
      <sheetName val="Activity_List1"/>
      <sheetName val="WITHOUT_C&amp;I_PROFIT_(3)1"/>
      <sheetName val="VALVE_CHAMBERS"/>
      <sheetName val="Fire_Hydrants"/>
      <sheetName val="B_GATE_VALVE"/>
      <sheetName val="Sub_G1_Fire"/>
      <sheetName val="Sub_G12_Fire"/>
      <sheetName val="DETAILED__BOQ1"/>
      <sheetName val="M-Book_for_Conc1"/>
      <sheetName val="M-Book_for_FW1"/>
      <sheetName val="Ra__stair"/>
      <sheetName val="HIRED_LABOUR_CODE1"/>
      <sheetName val="PA-_Consutant_1"/>
      <sheetName val="foot-slab_reinft1"/>
      <sheetName val="BILL_COV"/>
      <sheetName val="Softscape_Buildup"/>
      <sheetName val="Mat'l_Rate"/>
      <sheetName val="GFA_HQ_Building8"/>
      <sheetName val="GFA_Conference8"/>
      <sheetName val="BQ_External8"/>
      <sheetName val="StattCo_yCharges7"/>
      <sheetName val="Graph_Data_(DO_NOT_PRINT)7"/>
      <sheetName val="Penthouse_Apartment7"/>
      <sheetName val="Chiet_tinh_dz227"/>
      <sheetName val="Chiet_tinh_dz357"/>
      <sheetName val="Raw_Data7"/>
      <sheetName val="LABOUR_HISTOGRAM8"/>
      <sheetName val="@risk_rents_and_incentives7"/>
      <sheetName val="Car_park_lease7"/>
      <sheetName val="Net_rent_analysis7"/>
      <sheetName val="Poz-1_7"/>
      <sheetName val="Lab_Cum_Hist7"/>
      <sheetName val="CT_Thang_Mo7"/>
      <sheetName val="budget_summary_(2)6"/>
      <sheetName val="Budget_Analysis_Summary6"/>
      <sheetName val="Tender_Summary7"/>
      <sheetName val="Insurance_Ext7"/>
      <sheetName val="Customize_Your_Invoice7"/>
      <sheetName val="HVAC_BoQ7"/>
      <sheetName val="Bill_No__27"/>
      <sheetName val="Projet,_methodes_&amp;_couts6"/>
      <sheetName val="Risques_majeurs_&amp;_Frais_Ind_6"/>
      <sheetName val="LEVEL_SHEET7"/>
      <sheetName val="SPT_vs_PHI7"/>
      <sheetName val="CT__PL6"/>
      <sheetName val="FOL_-_Bar7"/>
      <sheetName val="intr_stool_brkup6"/>
      <sheetName val="Top_sheet6"/>
      <sheetName val="Rate_analysis5"/>
      <sheetName val="Body_Sheet6"/>
      <sheetName val="1_0_Executive_Summary6"/>
      <sheetName val="Bill_14"/>
      <sheetName val="Bill_25"/>
      <sheetName val="Bill_34"/>
      <sheetName val="Bill_44"/>
      <sheetName val="Bill_54"/>
      <sheetName val="Bill_64"/>
      <sheetName val="Bill_74"/>
      <sheetName val="2_Div_14_4"/>
      <sheetName val="Ap_A4"/>
      <sheetName val="SHOPLIST_xls3"/>
      <sheetName val="Dubai_golf3"/>
      <sheetName val="beam-reinft-IIInd_floor3"/>
      <sheetName val="beam-reinft-machine_rm3"/>
      <sheetName val="POWER_ASSUMPTIONS3"/>
      <sheetName val="Invoice_Summary3"/>
      <sheetName val="PROJECT_BRIEF4"/>
      <sheetName val="C_(3)4"/>
      <sheetName val="Civil_Boq2"/>
      <sheetName val="Activity_List2"/>
      <sheetName val="WITHOUT_C&amp;I_PROFIT_(3)2"/>
      <sheetName val="VALVE_CHAMBERS1"/>
      <sheetName val="Fire_Hydrants1"/>
      <sheetName val="B_GATE_VALVE1"/>
      <sheetName val="Sub_G1_Fire1"/>
      <sheetName val="Sub_G12_Fire1"/>
      <sheetName val="DETAILED__BOQ2"/>
      <sheetName val="M-Book_for_Conc2"/>
      <sheetName val="M-Book_for_FW2"/>
      <sheetName val="Ra__stair1"/>
      <sheetName val="HIRED_LABOUR_CODE2"/>
      <sheetName val="PA-_Consutant_2"/>
      <sheetName val="foot-slab_reinft2"/>
      <sheetName val="BILL_COV1"/>
      <sheetName val="Softscape_Buildup1"/>
      <sheetName val="Mat'l_Rate1"/>
      <sheetName val="GFA_HQ_Building9"/>
      <sheetName val="Rate_analysis6"/>
      <sheetName val="Day_work"/>
      <sheetName val="Dropdown"/>
      <sheetName val="ConferenceCentre?옰ʒ䄂ʒ鵠ʐ䄂ʒ閐̐䄂ʒ蕈̐"/>
      <sheetName val="INSTR"/>
      <sheetName val="갑지"/>
      <sheetName val="Data_Summary"/>
      <sheetName val="15-MECH"/>
      <sheetName val="Eq. Mobilization"/>
      <sheetName val="w't table"/>
      <sheetName val="cp-e1"/>
      <sheetName val="Softscape_Buildup2"/>
      <sheetName val="Mat'l_Rate2"/>
      <sheetName val="Working for RCC"/>
      <sheetName val="GFA_HQ_Building10"/>
      <sheetName val="GFA_Conference9"/>
      <sheetName val="StattCo_yCharges8"/>
      <sheetName val="BQ_External9"/>
      <sheetName val="Penthouse_Apartment8"/>
      <sheetName val="LABOUR_HISTOGRAM9"/>
      <sheetName val="Chiet_tinh_dz228"/>
      <sheetName val="Chiet_tinh_dz358"/>
      <sheetName val="CT_Thang_Mo8"/>
      <sheetName val="Raw_Data8"/>
      <sheetName val="@risk_rents_and_incentives8"/>
      <sheetName val="Car_park_lease8"/>
      <sheetName val="Net_rent_analysis8"/>
      <sheetName val="Poz-1_8"/>
      <sheetName val="Lab_Cum_Hist8"/>
      <sheetName val="Graph_Data_(DO_NOT_PRINT)8"/>
      <sheetName val="LEVEL_SHEET8"/>
      <sheetName val="SPT_vs_PHI8"/>
      <sheetName val="Bill_No__28"/>
      <sheetName val="Tender_Summary8"/>
      <sheetName val="Insurance_Ext8"/>
      <sheetName val="FOL_-_Bar8"/>
      <sheetName val="Customize_Your_Invoice8"/>
      <sheetName val="HVAC_BoQ8"/>
      <sheetName val="budget_summary_(2)7"/>
      <sheetName val="Budget_Analysis_Summary7"/>
      <sheetName val="Projet,_methodes_&amp;_couts7"/>
      <sheetName val="Risques_majeurs_&amp;_Frais_Ind_7"/>
      <sheetName val="Body_Sheet7"/>
      <sheetName val="1_0_Executive_Summary7"/>
      <sheetName val="Top_sheet7"/>
      <sheetName val="Rate_analysis7"/>
      <sheetName val="intr_stool_brkup7"/>
      <sheetName val="CT__PL7"/>
      <sheetName val="Ap_A5"/>
      <sheetName val="2_Div_14_5"/>
      <sheetName val="SHOPLIST_xls4"/>
      <sheetName val="PROJECT_BRIEF5"/>
      <sheetName val="Bill_26"/>
      <sheetName val="C_(3)5"/>
      <sheetName val="Bill_15"/>
      <sheetName val="Bill_35"/>
      <sheetName val="Bill_45"/>
      <sheetName val="Bill_55"/>
      <sheetName val="Bill_65"/>
      <sheetName val="Bill_75"/>
      <sheetName val="Dubai_golf4"/>
      <sheetName val="beam-reinft-IIInd_floor4"/>
      <sheetName val="Invoice_Summary4"/>
      <sheetName val="POWER_ASSUMPTIONS4"/>
      <sheetName val="beam-reinft-machine_rm4"/>
      <sheetName val="Civil_Boq3"/>
      <sheetName val="WITHOUT_C&amp;I_PROFIT_(3)3"/>
      <sheetName val="Activity_List3"/>
      <sheetName val="Softscape_Buildup3"/>
      <sheetName val="Mat'l_Rate3"/>
      <sheetName val="B185-B-2"/>
      <sheetName val="B185-B-3"/>
      <sheetName val="B185-B-4"/>
      <sheetName val="B185-B-5"/>
      <sheetName val="B185-B-6"/>
      <sheetName val="B185-B-7"/>
      <sheetName val="B185-B-8"/>
      <sheetName val="B185-B-9.1"/>
      <sheetName val="B185-B-9.2"/>
      <sheetName val="COLUMN"/>
      <sheetName val="집계표(OPTION)"/>
      <sheetName val="Materials_Cost(PCC)"/>
      <sheetName val="India_F&amp;S_Template"/>
      <sheetName val="IO_LIST"/>
      <sheetName val="Material_"/>
      <sheetName val="Quote_Sheet"/>
      <sheetName val="Div__02"/>
      <sheetName val="Div__03"/>
      <sheetName val="Div__04"/>
      <sheetName val="Div__05"/>
      <sheetName val="Div__06"/>
      <sheetName val="Div__07"/>
      <sheetName val="Div__08"/>
      <sheetName val="Div__09"/>
      <sheetName val="Div__10"/>
      <sheetName val="Div__11"/>
      <sheetName val="Div__12"/>
      <sheetName val="Div_13"/>
      <sheetName val="EXTERNAL_WORKS"/>
      <sheetName val="PRODUCTIVITY_RATE"/>
      <sheetName val="U_R_A_-_MASONRY"/>
      <sheetName val="U_R_A_-_PLASTERING"/>
      <sheetName val="U_R_A_-_TILING"/>
      <sheetName val="U_R_A_-_GRANITE"/>
      <sheetName val="V_C_2_-_EARTHWORK"/>
      <sheetName val="V_C_9_-_CERAMIC"/>
      <sheetName val="V_C_9_-_FINISHES"/>
      <sheetName val="RA-markate"/>
      <sheetName val="BOQ_Direct_selling cost"/>
      <sheetName val="77S(O)"/>
      <sheetName val="PointNo.5"/>
      <sheetName val="11-hsd"/>
      <sheetName val="13-septic"/>
      <sheetName val="7-ug"/>
      <sheetName val="2-utility"/>
      <sheetName val="18-misc"/>
      <sheetName val="5-pipe"/>
      <sheetName val="PMWeb data"/>
      <sheetName val="ConferenceCentre_x005f_x0000_옰ʒ䄂ʒ鵠ʐ䄂ʒ"/>
      <sheetName val="Geneí¬_x005f_x0008_i_x005f_x0000__x005f_x0000__x0"/>
      <sheetName val="70_x005f_x0000_,_0_x005f_x0000_s«_x005f_x0008_i_x"/>
      <sheetName val="_x005f_x0000__x005f_x0000__x005f_x0000__x005f_x0000__x0"/>
      <sheetName val="PRECAST lightconc-II"/>
      <sheetName val="col-reinft1"/>
      <sheetName val="P&amp;L-BDMC"/>
      <sheetName val="final abstract"/>
      <sheetName val="Staff Acco."/>
      <sheetName val="TBAL9697 -group wise  sdpl"/>
      <sheetName val="CHART OF ACCOUNTS"/>
      <sheetName val="E-Bill No.6 A-O"/>
      <sheetName val="房屋及建筑物"/>
      <sheetName val="XL4Poppy"/>
      <sheetName val="bill nb2-Plumbing &amp; Drainag"/>
      <sheetName val="Pl &amp; Dr B"/>
      <sheetName val="Pl &amp; Dr G"/>
      <sheetName val="Pl &amp; Dr M"/>
      <sheetName val="Pl &amp; Dr 1"/>
      <sheetName val="Pl &amp; Dr 2"/>
      <sheetName val="Pl &amp; Dr 3"/>
      <sheetName val="Pl &amp; Dr 4"/>
      <sheetName val="Pl &amp; Dr 5"/>
      <sheetName val="Pl &amp; Dr 6"/>
      <sheetName val="Pl &amp; Dr 7"/>
      <sheetName val="Pl &amp; Dr 8"/>
      <sheetName val="Pl &amp; Dr R"/>
      <sheetName val="FF B"/>
      <sheetName val="FF G"/>
      <sheetName val="FF M"/>
      <sheetName val="FF 1"/>
      <sheetName val="FF 2 "/>
      <sheetName val="FF 3"/>
      <sheetName val="FF 4"/>
      <sheetName val="FF 5"/>
      <sheetName val="FF 6 "/>
      <sheetName val="FF 7"/>
      <sheetName val="FF 8"/>
      <sheetName val="FF R"/>
      <sheetName val="bill nb3-FF"/>
      <sheetName val="HVAC B"/>
      <sheetName val="HVAC G"/>
      <sheetName val="HVAC M"/>
      <sheetName val="HVAC 1"/>
      <sheetName val="HVAC 2"/>
      <sheetName val="HVAC 3"/>
      <sheetName val="HVAC 4"/>
      <sheetName val="HVAC 5"/>
      <sheetName val="HVAC 6"/>
      <sheetName val="HVAC 7"/>
      <sheetName val="HVAC 8"/>
      <sheetName val="HVAC R"/>
      <sheetName val="bill nb4-HVAC"/>
      <sheetName val="Pre"/>
      <sheetName val="SC B"/>
      <sheetName val="SC G"/>
      <sheetName val="SC M"/>
      <sheetName val="SC 1"/>
      <sheetName val="SC 2"/>
      <sheetName val="SC 3"/>
      <sheetName val="SC 4"/>
      <sheetName val="SC 5"/>
      <sheetName val="SC 6"/>
      <sheetName val="SC 7"/>
      <sheetName val="SC 8"/>
      <sheetName val="SC R"/>
      <sheetName val="6-SC"/>
      <sheetName val="AV B"/>
      <sheetName val="AV G"/>
      <sheetName val="AV M"/>
      <sheetName val="AV 1"/>
      <sheetName val="AV 2"/>
      <sheetName val="AV 3"/>
      <sheetName val="AV 4"/>
      <sheetName val="AV 5"/>
      <sheetName val="AV 6"/>
      <sheetName val="AV 7"/>
      <sheetName val="AV 8"/>
      <sheetName val="7-AV"/>
      <sheetName val="EL B"/>
      <sheetName val="ELG"/>
      <sheetName val="EL M"/>
      <sheetName val="EL 1"/>
      <sheetName val="EL 2"/>
      <sheetName val="EL 3"/>
      <sheetName val="EL 4"/>
      <sheetName val="EL 5"/>
      <sheetName val="EL 6"/>
      <sheetName val="EL 7"/>
      <sheetName val="EL 8"/>
      <sheetName val="EL R"/>
      <sheetName val="EL TR"/>
      <sheetName val="8- EL"/>
      <sheetName val="FA B"/>
      <sheetName val="FA G"/>
      <sheetName val="FA M"/>
      <sheetName val="FA 1"/>
      <sheetName val="FA 2"/>
      <sheetName val="FA 3"/>
      <sheetName val="FA 4"/>
      <sheetName val="FA 5"/>
      <sheetName val="FA 6"/>
      <sheetName val="FA 7"/>
      <sheetName val="FA 8"/>
      <sheetName val="FA R"/>
      <sheetName val="9- FA"/>
      <sheetName val="B03"/>
      <sheetName val="B09.1"/>
      <sheetName val="Day_work1"/>
      <sheetName val="Gra¦_x0004_)_x0000__x0000__x0000_VW_x0000__x0000__x0000__x0000__x0000__x0000__x0000__x0000__x0000_ U"/>
      <sheetName val="/VW_x0000_VU_x0000_)_x0000__x0000__x0000_)_x0000__x0000__x0000__x0001__x0000__x0000__x0000_tÏØ0_x0009__x0008__x0000__x0000__x0009__x0008_"/>
      <sheetName val="Gra¦_x0004_)"/>
      <sheetName val="/VW"/>
      <sheetName val="2.2)Revised Cash Flow"/>
      <sheetName val="/VW_x0000_VU_x0000_)_x0000__x0000__x0000_)_x0000__x0000__x0000__x0001__x0000__x0000__x0000_tÏØ0 _x0008__x0000__x0000_ _x0008_"/>
      <sheetName val="Employee List"/>
      <sheetName val="Division 2"/>
      <sheetName val="Division3"/>
      <sheetName val="Division 4"/>
      <sheetName val="Division 5"/>
      <sheetName val="Division 6"/>
      <sheetName val="Division 7"/>
      <sheetName val="Division 8"/>
      <sheetName val="Division 9"/>
      <sheetName val="Division 10"/>
      <sheetName val="Division11"/>
      <sheetName val="Division 12"/>
      <sheetName val="Division 14"/>
      <sheetName val="Division 21"/>
      <sheetName val="Division 22"/>
      <sheetName val="Division 23"/>
      <sheetName val="Division 26"/>
      <sheetName val="Division 27"/>
      <sheetName val="Division 28"/>
      <sheetName val="Division 31"/>
      <sheetName val="Division 32"/>
      <sheetName val="Division 33"/>
      <sheetName val="SUM"/>
      <sheetName val="GFA_HQ_Building11"/>
      <sheetName val="GFA_Conference10"/>
      <sheetName val="StattCo_yCharges9"/>
      <sheetName val="BQ_External10"/>
      <sheetName val="Penthouse_Apartment9"/>
      <sheetName val="LABOUR_HISTOGRAM10"/>
      <sheetName val="Chiet_tinh_dz229"/>
      <sheetName val="Chiet_tinh_dz359"/>
      <sheetName val="CT_Thang_Mo9"/>
      <sheetName val="Raw_Data9"/>
      <sheetName val="@risk_rents_and_incentives9"/>
      <sheetName val="Car_park_lease9"/>
      <sheetName val="Net_rent_analysis9"/>
      <sheetName val="Poz-1_9"/>
      <sheetName val="Lab_Cum_Hist9"/>
      <sheetName val="Graph_Data_(DO_NOT_PRINT)9"/>
      <sheetName val="LEVEL_SHEET9"/>
      <sheetName val="SPT_vs_PHI9"/>
      <sheetName val="Bill_No__29"/>
      <sheetName val="Tender_Summary9"/>
      <sheetName val="Insurance_Ext9"/>
      <sheetName val="FOL_-_Bar9"/>
      <sheetName val="Customize_Your_Invoice9"/>
      <sheetName val="HVAC_BoQ9"/>
      <sheetName val="budget_summary_(2)8"/>
      <sheetName val="Budget_Analysis_Summary8"/>
      <sheetName val="Projet,_methodes_&amp;_couts8"/>
      <sheetName val="Risques_majeurs_&amp;_Frais_Ind_8"/>
      <sheetName val="Body_Sheet8"/>
      <sheetName val="1_0_Executive_Summary8"/>
      <sheetName val="Top_sheet8"/>
      <sheetName val="Rate_analysis8"/>
      <sheetName val="intr_stool_brkup8"/>
      <sheetName val="CT__PL8"/>
      <sheetName val="Ap_A6"/>
      <sheetName val="2_Div_14_6"/>
      <sheetName val="SHOPLIST_xls5"/>
      <sheetName val="PROJECT_BRIEF6"/>
      <sheetName val="Bill_27"/>
      <sheetName val="C_(3)6"/>
      <sheetName val="Bill_16"/>
      <sheetName val="Bill_36"/>
      <sheetName val="Bill_46"/>
      <sheetName val="Bill_56"/>
      <sheetName val="Bill_66"/>
      <sheetName val="Bill_76"/>
      <sheetName val="Dubai_golf5"/>
      <sheetName val="beam-reinft-IIInd_floor5"/>
      <sheetName val="Invoice_Summary5"/>
      <sheetName val="POWER_ASSUMPTIONS5"/>
      <sheetName val="beam-reinft-machine_rm5"/>
      <sheetName val="Civil_Boq4"/>
      <sheetName val="WITHOUT_C&amp;I_PROFIT_(3)4"/>
      <sheetName val="Activity_List4"/>
      <sheetName val="Softscape_Buildup4"/>
      <sheetName val="Mat'l_Rate4"/>
      <sheetName val="BILL_COV2"/>
      <sheetName val="Ra__stair2"/>
      <sheetName val="Eq__Mobilization"/>
      <sheetName val="Working_for_RCC"/>
      <sheetName val="B185-B-9_1"/>
      <sheetName val="B185-B-9_2"/>
      <sheetName val="BOQ_Direct_selling_cost"/>
      <sheetName val="CHART_OF_ACCOUNTS"/>
      <sheetName val="E-Bill_No_6_A-O"/>
      <sheetName val="B09_1"/>
      <sheetName val="PMWeb_data"/>
      <sheetName val="SS_MH"/>
      <sheetName val="SS MH"/>
      <sheetName val="Geneí¬_x005f_x0008_i"/>
      <sheetName val="Material List "/>
      <sheetName val="Detail"/>
      <sheetName val="p&amp;m"/>
      <sheetName val="Voucher"/>
      <sheetName val="SStaff-Sept2013"/>
      <sheetName val="Index List"/>
      <sheetName val="Type List"/>
      <sheetName val="File Types"/>
      <sheetName val="입찰내역 발주처 양식"/>
      <sheetName val="LIST DO NOT REMOVE"/>
      <sheetName val="2_2)Revised_Cash_Flow"/>
      <sheetName val="Summary of Work"/>
      <sheetName val="Lists"/>
      <sheetName val="Div26 - Elect"/>
      <sheetName val="CHUNG CU CARRILON"/>
      <sheetName val="침하계"/>
      <sheetName val="70_x005f_x0000_,/0_x005f_x0000_s«_x005f_x0008_i_x"/>
      <sheetName val="[SHOPLIST.xls][SHOPLIST.xls]70_x0000_"/>
      <sheetName val="[SHOPLIST.xls][SHOPLIST.xls]70,"/>
      <sheetName val="Update list"/>
      <sheetName val="Sinh Nam systems"/>
      <sheetName val="DIE profile"/>
      <sheetName val="Gaskets"/>
      <sheetName val="Fixing"/>
      <sheetName val="Metals"/>
      <sheetName val="Insulation"/>
      <sheetName val="Accesories"/>
      <sheetName val="Frameless"/>
      <sheetName val="Miscellaneous"/>
      <sheetName val="Glass"/>
      <sheetName val="Import tax"/>
      <sheetName val="[SHOPLIST.xls]70_x0000_,/0_x0000_s«_x0008_i_x0000_Æø_x0003_í¬"/>
      <sheetName val="[SHOPLIST.xls]70,/0s«iÆøí¬i"/>
      <sheetName val="LKVL-CK-HT-GD1"/>
      <sheetName val="TONG HOP VL-NC"/>
      <sheetName val="chitiet"/>
      <sheetName val="TONGKE3p "/>
      <sheetName val="TH VL, NC, DDHT Thanhphuoc"/>
      <sheetName val="DONGIA"/>
      <sheetName val="DON GIA"/>
      <sheetName val="DG"/>
      <sheetName val="TNHCHINH"/>
      <sheetName val="CHITIET VL-NC"/>
      <sheetName val="Tiepdia"/>
      <sheetName val="TDTKP"/>
      <sheetName val="VCV-BE-TONG"/>
      <sheetName val="TH kinh phi"/>
      <sheetName val="KLDT DIEN"/>
      <sheetName val="Dinh muc CP KTCB khac"/>
      <sheetName val="tifico"/>
      <sheetName val="ConferenceCentre_x005f_x005f_x005f_x0000_옰ʒ"/>
      <sheetName val="Geneí¬_x005f_x005f_x005f_x0008_i_x005f_x005f_x000"/>
      <sheetName val="70_x005f_x005f_x005f_x0000_,_0_x005f_x005f_x005f_x0000_"/>
      <sheetName val="ConferenceCentre_x0000_옰ʒ䄂ʒ鵠ʐ䄂ʒ"/>
      <sheetName val="Geneí¬_x0008_i_x0000__x0000__x0"/>
      <sheetName val="70_x0000_,_0_x0000_s«_x0008_i_x"/>
      <sheetName val="70,_0s«iÆøí¬i"/>
      <sheetName val="ConferenceCentre_옰ʒ䄂ʒ鵠ʐ䄂ʒ閐̐䄂ʒ蕈̐"/>
      <sheetName val="ConferenceCentre_x005f_x0000_옰ʒ"/>
      <sheetName val="70_x005f_x0000_,_0_x005f_x0000_"/>
      <sheetName val="_x005f_x0000__x005f_x0000__x005"/>
      <sheetName val="Gra¦_x0004_)_x0000__x0000__x0"/>
      <sheetName val="_VW_x0000_VU_x0000_)_x0000__x"/>
      <sheetName val="_VW"/>
      <sheetName val="_SHOPLIST.xls_70_x0000_,_0_x000"/>
      <sheetName val="_SHOPLIST.xls_70,_0s«iÆøí¬i"/>
      <sheetName val="_SHOPLIST.xls__SHOPLIST.xls_70_"/>
      <sheetName val="_SHOPLIST.xls__SHOPLIST.xls_70,"/>
      <sheetName val="_x0000__x0000__x0000__x0000__x0"/>
      <sheetName val="ConferenceCentre_x005f_x005f_x0"/>
      <sheetName val="Geneí¬_x005f_x005f_x005f_x0008_"/>
      <sheetName val="70_x005f_x005f_x005f_x0000_,_0_"/>
      <sheetName val="Geneí¬_x005f_x0008_i_x000"/>
      <sheetName val="_SHOPLIST.xls_70"/>
      <sheetName val="anti-termite"/>
      <sheetName val="单价"/>
      <sheetName val="材料价格（藏）"/>
      <sheetName val="#REF!"/>
      <sheetName val="汇总表(藏)"/>
      <sheetName val="工程量（新）"/>
      <sheetName val="quotation "/>
      <sheetName val="XLR_NoRangeSheet"/>
      <sheetName val="cost-RC"/>
      <sheetName val="GS"/>
      <sheetName val="代号(藏)(线密度)"/>
      <sheetName val="Bill 5 - Carpark"/>
      <sheetName val="汇总"/>
      <sheetName val="代号(线密度)藏"/>
      <sheetName val="preliminary"/>
      <sheetName val="BOQ - summary  3"/>
      <sheetName val="NKSC thue"/>
      <sheetName val="실행"/>
      <sheetName val="05. Data_Cash Flow"/>
      <sheetName val="70,"/>
      <sheetName val="Chiet t"/>
      <sheetName val="Staffing and Rates IA"/>
      <sheetName val="SITE-E"/>
      <sheetName val="escon"/>
      <sheetName val="MTO REV.2(ARMOR)"/>
      <sheetName val="References"/>
      <sheetName val="escalation"/>
      <sheetName val="ANAL"/>
      <sheetName val="BS"/>
      <sheetName val="Materials_Cost(PCC)1"/>
      <sheetName val="India_F&amp;S_Template1"/>
      <sheetName val="IO_LIST1"/>
      <sheetName val="Material_1"/>
      <sheetName val="Quote_Sheet1"/>
      <sheetName val="Div__021"/>
      <sheetName val="Div__031"/>
      <sheetName val="Div__041"/>
      <sheetName val="Div__051"/>
      <sheetName val="Div__061"/>
      <sheetName val="Div__071"/>
      <sheetName val="Div__081"/>
      <sheetName val="Div__091"/>
      <sheetName val="Div__101"/>
      <sheetName val="Div__111"/>
      <sheetName val="Div__121"/>
      <sheetName val="Div_131"/>
      <sheetName val="EXTERNAL_WORKS1"/>
      <sheetName val="PRODUCTIVITY_RATE1"/>
      <sheetName val="U_R_A_-_MASONRY1"/>
      <sheetName val="U_R_A_-_PLASTERING1"/>
      <sheetName val="U_R_A_-_TILING1"/>
      <sheetName val="U_R_A_-_GRANITE1"/>
      <sheetName val="V_C_2_-_EARTHWORK1"/>
      <sheetName val="V_C_9_-_CERAMIC1"/>
      <sheetName val="V_C_9_-_FINISHES1"/>
      <sheetName val="HIRED_LABOUR_CODE3"/>
      <sheetName val="PA-_Consutant_3"/>
      <sheetName val="foot-slab_reinft3"/>
      <sheetName val="DETAILED__BOQ3"/>
      <sheetName val="M-Book_for_Conc3"/>
      <sheetName val="M-Book_for_FW3"/>
      <sheetName val="VALVE_CHAMBERS2"/>
      <sheetName val="Fire_Hydrants2"/>
      <sheetName val="B_GATE_VALVE2"/>
      <sheetName val="Sub_G1_Fire2"/>
      <sheetName val="Sub_G12_Fire2"/>
      <sheetName val="w't_table"/>
      <sheetName val="bill_nb2-Plumbing_&amp;_Drainag"/>
      <sheetName val="Pl_&amp;_Dr_B"/>
      <sheetName val="Pl_&amp;_Dr_G"/>
      <sheetName val="Pl_&amp;_Dr_M"/>
      <sheetName val="Pl_&amp;_Dr_1"/>
      <sheetName val="Pl_&amp;_Dr_2"/>
      <sheetName val="Pl_&amp;_Dr_3"/>
      <sheetName val="Pl_&amp;_Dr_4"/>
      <sheetName val="Pl_&amp;_Dr_5"/>
      <sheetName val="Pl_&amp;_Dr_6"/>
      <sheetName val="Pl_&amp;_Dr_7"/>
      <sheetName val="Pl_&amp;_Dr_8"/>
      <sheetName val="Pl_&amp;_Dr_R"/>
      <sheetName val="FF_B"/>
      <sheetName val="FF_G"/>
      <sheetName val="FF_M"/>
      <sheetName val="FF_1"/>
      <sheetName val="FF_2_"/>
      <sheetName val="FF_3"/>
      <sheetName val="FF_4"/>
      <sheetName val="FF_5"/>
      <sheetName val="FF_6_"/>
      <sheetName val="FF_7"/>
      <sheetName val="FF_8"/>
      <sheetName val="FF_R"/>
      <sheetName val="bill_nb3-FF"/>
      <sheetName val="HVAC_B"/>
      <sheetName val="HVAC_G"/>
      <sheetName val="HVAC_M"/>
      <sheetName val="HVAC_1"/>
      <sheetName val="HVAC_2"/>
      <sheetName val="HVAC_3"/>
      <sheetName val="HVAC_4"/>
      <sheetName val="HVAC_5"/>
      <sheetName val="HVAC_6"/>
      <sheetName val="HVAC_7"/>
      <sheetName val="HVAC_8"/>
      <sheetName val="HVAC_R"/>
      <sheetName val="bill_nb4-HVAC"/>
      <sheetName val="SC_B"/>
      <sheetName val="SC_G"/>
      <sheetName val="SC_M"/>
      <sheetName val="SC_1"/>
      <sheetName val="SC_2"/>
      <sheetName val="SC_3"/>
      <sheetName val="SC_4"/>
      <sheetName val="SC_5"/>
      <sheetName val="SC_6"/>
      <sheetName val="SC_7"/>
      <sheetName val="SC_8"/>
      <sheetName val="SC_R"/>
      <sheetName val="AV_B"/>
      <sheetName val="AV_G"/>
      <sheetName val="AV_M"/>
      <sheetName val="AV_1"/>
      <sheetName val="AV_2"/>
      <sheetName val="AV_3"/>
      <sheetName val="AV_4"/>
      <sheetName val="AV_5"/>
      <sheetName val="AV_6"/>
      <sheetName val="AV_7"/>
      <sheetName val="AV_8"/>
      <sheetName val="EL_B"/>
      <sheetName val="EL_M"/>
      <sheetName val="EL_1"/>
      <sheetName val="EL_2"/>
      <sheetName val="EL_3"/>
      <sheetName val="EL_4"/>
      <sheetName val="EL_5"/>
      <sheetName val="EL_6"/>
      <sheetName val="EL_7"/>
      <sheetName val="EL_8"/>
      <sheetName val="EL_R"/>
      <sheetName val="EL_TR"/>
      <sheetName val="8-_EL"/>
      <sheetName val="FA_B"/>
      <sheetName val="FA_G"/>
      <sheetName val="FA_M"/>
      <sheetName val="FA_1"/>
      <sheetName val="FA_2"/>
      <sheetName val="FA_3"/>
      <sheetName val="FA_4"/>
      <sheetName val="FA_5"/>
      <sheetName val="FA_6"/>
      <sheetName val="FA_7"/>
      <sheetName val="FA_8"/>
      <sheetName val="FA_R"/>
      <sheetName val="9-_FA"/>
      <sheetName val="Day_work2"/>
      <sheetName val="Gra¦)VW_U"/>
      <sheetName val="/VWVU))tÏØ0  "/>
      <sheetName val="/VWVU))tÏØ0__"/>
      <sheetName val="SIEMENS"/>
      <sheetName val="B6.2 "/>
      <sheetName val="PointNo_5"/>
      <sheetName val="Elemental_Buildup"/>
      <sheetName val="Demand"/>
      <sheetName val="Occ"/>
      <sheetName val="VCH-SLC"/>
      <sheetName val="Item- Compact"/>
      <sheetName val="Supplier"/>
      <sheetName val="BLK2"/>
      <sheetName val="BLK3"/>
      <sheetName val="E &amp; R"/>
      <sheetName val="radar"/>
      <sheetName val="UG"/>
      <sheetName val="Sub_G1_Five"/>
      <sheetName val="Prices"/>
      <sheetName val="Rate summary"/>
      <sheetName val="SW-TEO"/>
      <sheetName val="科目余额表正式"/>
      <sheetName val="Project Cost Breakdown"/>
      <sheetName val="Materials_Cost(PCC)2"/>
      <sheetName val="India_F&amp;S_Template2"/>
      <sheetName val="IO_LIST2"/>
      <sheetName val="Material_2"/>
      <sheetName val="Quote_Sheet2"/>
      <sheetName val="Div__022"/>
      <sheetName val="Div__032"/>
      <sheetName val="Div__042"/>
      <sheetName val="Div__052"/>
      <sheetName val="Div__062"/>
      <sheetName val="Div__072"/>
      <sheetName val="Div__082"/>
      <sheetName val="Div__092"/>
      <sheetName val="Div__102"/>
      <sheetName val="Div__112"/>
      <sheetName val="Div__122"/>
      <sheetName val="Div_132"/>
      <sheetName val="EXTERNAL_WORKS2"/>
      <sheetName val="PRODUCTIVITY_RATE2"/>
      <sheetName val="U_R_A_-_MASONRY2"/>
      <sheetName val="U_R_A_-_PLASTERING2"/>
      <sheetName val="U_R_A_-_TILING2"/>
      <sheetName val="U_R_A_-_GRANITE2"/>
      <sheetName val="V_C_2_-_EARTHWORK2"/>
      <sheetName val="V_C_9_-_CERAMIC2"/>
      <sheetName val="V_C_9_-_FINISHES2"/>
      <sheetName val="GRSummary"/>
      <sheetName val="Old"/>
      <sheetName val="GFA_HQ_Building12"/>
      <sheetName val="GFA_Conference11"/>
      <sheetName val="BQ_External11"/>
      <sheetName val="Projet,_methodes_&amp;_couts9"/>
      <sheetName val="Risques_majeurs_&amp;_Frais_Ind_9"/>
      <sheetName val="Penthouse_Apartment10"/>
      <sheetName val="LABOUR_HISTOGRAM11"/>
      <sheetName val="StattCo_yCharges10"/>
      <sheetName val="Chiet_tinh_dz2210"/>
      <sheetName val="Chiet_tinh_dz3510"/>
      <sheetName val="Raw_Data10"/>
      <sheetName val="CT_Thang_Mo10"/>
      <sheetName val="LEVEL_SHEET10"/>
      <sheetName val="SPT_vs_PHI10"/>
      <sheetName val="@risk_rents_and_incentives10"/>
      <sheetName val="Car_park_lease10"/>
      <sheetName val="Net_rent_analysis10"/>
      <sheetName val="Poz-1_10"/>
      <sheetName val="Lab_Cum_Hist10"/>
      <sheetName val="Graph_Data_(DO_NOT_PRINT)10"/>
      <sheetName val="Bill_No__210"/>
      <sheetName val="budget_summary_(2)9"/>
      <sheetName val="Budget_Analysis_Summary9"/>
      <sheetName val="Customize_Your_Invoice10"/>
      <sheetName val="HVAC_BoQ10"/>
      <sheetName val="FOL_-_Bar10"/>
      <sheetName val="Tender_Summary10"/>
      <sheetName val="Insurance_Ext10"/>
      <sheetName val="CT__PL9"/>
      <sheetName val="intr_stool_brkup9"/>
      <sheetName val="Top_sheet9"/>
      <sheetName val="Rate_analysis9"/>
      <sheetName val="PROJECT_BRIEF7"/>
      <sheetName val="Body_Sheet9"/>
      <sheetName val="1_0_Executive_Summary9"/>
      <sheetName val="C_(3)7"/>
      <sheetName val="Bill_28"/>
      <sheetName val="Ap_A7"/>
      <sheetName val="2_Div_14_7"/>
      <sheetName val="Bill_17"/>
      <sheetName val="Bill_37"/>
      <sheetName val="Bill_47"/>
      <sheetName val="Bill_57"/>
      <sheetName val="Bill_67"/>
      <sheetName val="Bill_77"/>
      <sheetName val="SHOPLIST_xls6"/>
      <sheetName val="Dubai_golf6"/>
      <sheetName val="beam-reinft-IIInd_floor6"/>
      <sheetName val="Invoice_Summary6"/>
      <sheetName val="POWER_ASSUMPTIONS6"/>
      <sheetName val="beam-reinft-machine_rm6"/>
      <sheetName val="WITHOUT_C&amp;I_PROFIT_(3)5"/>
      <sheetName val="Civil_Boq5"/>
      <sheetName val="Activity_List5"/>
      <sheetName val="Softscape_Buildup5"/>
      <sheetName val="Mat'l_Rate5"/>
      <sheetName val="HIRED_LABOUR_CODE4"/>
      <sheetName val="PA-_Consutant_4"/>
      <sheetName val="foot-slab_reinft4"/>
      <sheetName val="DETAILED__BOQ4"/>
      <sheetName val="M-Book_for_Conc4"/>
      <sheetName val="M-Book_for_FW4"/>
      <sheetName val="BILL_COV3"/>
      <sheetName val="Ra__stair3"/>
      <sheetName val="VALVE_CHAMBERS3"/>
      <sheetName val="Fire_Hydrants3"/>
      <sheetName val="B_GATE_VALVE3"/>
      <sheetName val="Sub_G1_Fire3"/>
      <sheetName val="Sub_G12_Fire3"/>
      <sheetName val="Eq__Mobilization1"/>
      <sheetName val="Working_for_RCC1"/>
      <sheetName val="B185-B-9_11"/>
      <sheetName val="B185-B-9_21"/>
      <sheetName val="BOQ_Direct_selling_cost1"/>
      <sheetName val="CHART_OF_ACCOUNTS1"/>
      <sheetName val="E-Bill_No_6_A-O1"/>
      <sheetName val="B09_11"/>
      <sheetName val="bill_nb2-Plumbing_&amp;_Drainag1"/>
      <sheetName val="Pl_&amp;_Dr_B1"/>
      <sheetName val="Pl_&amp;_Dr_G1"/>
      <sheetName val="Pl_&amp;_Dr_M1"/>
      <sheetName val="Pl_&amp;_Dr_11"/>
      <sheetName val="Pl_&amp;_Dr_21"/>
      <sheetName val="Pl_&amp;_Dr_31"/>
      <sheetName val="Pl_&amp;_Dr_41"/>
      <sheetName val="Pl_&amp;_Dr_51"/>
      <sheetName val="Pl_&amp;_Dr_61"/>
      <sheetName val="Pl_&amp;_Dr_71"/>
      <sheetName val="Pl_&amp;_Dr_81"/>
      <sheetName val="Pl_&amp;_Dr_R1"/>
      <sheetName val="FF_B1"/>
      <sheetName val="FF_G1"/>
      <sheetName val="FF_M1"/>
      <sheetName val="FF_11"/>
      <sheetName val="FF_2_1"/>
      <sheetName val="FF_31"/>
      <sheetName val="FF_41"/>
      <sheetName val="FF_51"/>
      <sheetName val="FF_6_1"/>
      <sheetName val="FF_71"/>
      <sheetName val="FF_81"/>
      <sheetName val="FF_R1"/>
      <sheetName val="bill_nb3-FF1"/>
      <sheetName val="HVAC_B1"/>
      <sheetName val="HVAC_G1"/>
      <sheetName val="HVAC_M1"/>
      <sheetName val="HVAC_11"/>
      <sheetName val="HVAC_21"/>
      <sheetName val="HVAC_31"/>
      <sheetName val="HVAC_41"/>
      <sheetName val="HVAC_51"/>
      <sheetName val="HVAC_61"/>
      <sheetName val="HVAC_71"/>
      <sheetName val="HVAC_81"/>
      <sheetName val="HVAC_R1"/>
      <sheetName val="bill_nb4-HVAC1"/>
      <sheetName val="SC_B1"/>
      <sheetName val="SC_G1"/>
      <sheetName val="SC_M1"/>
      <sheetName val="SC_11"/>
      <sheetName val="SC_21"/>
      <sheetName val="SC_31"/>
      <sheetName val="SC_41"/>
      <sheetName val="SC_51"/>
      <sheetName val="SC_61"/>
      <sheetName val="SC_71"/>
      <sheetName val="SC_81"/>
      <sheetName val="SC_R1"/>
      <sheetName val="AV_B1"/>
      <sheetName val="AV_G1"/>
      <sheetName val="AV_M1"/>
      <sheetName val="AV_11"/>
      <sheetName val="AV_21"/>
      <sheetName val="AV_31"/>
      <sheetName val="AV_41"/>
      <sheetName val="AV_51"/>
      <sheetName val="AV_61"/>
      <sheetName val="AV_71"/>
      <sheetName val="AV_81"/>
      <sheetName val="EL_B1"/>
      <sheetName val="EL_M1"/>
      <sheetName val="EL_11"/>
      <sheetName val="EL_21"/>
      <sheetName val="EL_31"/>
      <sheetName val="EL_41"/>
      <sheetName val="EL_51"/>
      <sheetName val="EL_61"/>
      <sheetName val="EL_71"/>
      <sheetName val="EL_81"/>
      <sheetName val="EL_R1"/>
      <sheetName val="EL_TR1"/>
      <sheetName val="8-_EL1"/>
      <sheetName val="FA_B1"/>
      <sheetName val="FA_G1"/>
      <sheetName val="FA_M1"/>
      <sheetName val="FA_11"/>
      <sheetName val="FA_21"/>
      <sheetName val="FA_31"/>
      <sheetName val="FA_41"/>
      <sheetName val="FA_51"/>
      <sheetName val="FA_61"/>
      <sheetName val="FA_71"/>
      <sheetName val="FA_81"/>
      <sheetName val="FA_R1"/>
      <sheetName val="9-_FA1"/>
      <sheetName val="PMWeb_data1"/>
      <sheetName val="w't_table1"/>
      <sheetName val="SS_MH1"/>
      <sheetName val="Chiet_t"/>
      <sheetName val="Staffing_and_Rates_IA"/>
      <sheetName val="Index_List"/>
      <sheetName val="Type_List"/>
      <sheetName val="File_Types"/>
      <sheetName val="Gra¦)"/>
      <sheetName val="입찰내역_발주처_양식"/>
      <sheetName val="Material_List_"/>
      <sheetName val="Elemental_Buildup1"/>
      <sheetName val="PointNo_51"/>
      <sheetName val="B6_2_"/>
      <sheetName val="LIST_DO_NOT_REMOVE"/>
      <sheetName val="Рабочий лист"/>
      <sheetName val="ФМ"/>
      <sheetName val="Сравнение"/>
      <sheetName val="Table"/>
      <sheetName val="70_x005f_x005f_x005f_x0000_,/0_x005f_x005f_x005f_x0000_"/>
      <sheetName val="F4-F7"/>
      <sheetName val="Doi so"/>
      <sheetName val="토공"/>
      <sheetName val="CỘT + VÁCH B2-B4"/>
      <sheetName val="Geneí¬_x0008_i??_x0014_?0."/>
      <sheetName val="70?,/0?s«_x0008_i?Æø_x0003_í¬_x0008_i?"/>
      <sheetName val="[SHOPLIST.xls]/VW"/>
      <sheetName val="RAB_AR&amp;STR"/>
      <sheetName val="Data_Validation"/>
      <sheetName val="PRECAST_lightconc-II"/>
      <sheetName val="final_abstract"/>
      <sheetName val="Staff_Acco_"/>
      <sheetName val="TBAL9697_-group_wise__sdpl"/>
      <sheetName val="2_2)Revised_Cash_Flow1"/>
      <sheetName val="Employee_List"/>
      <sheetName val="Division_2"/>
      <sheetName val="Division_4"/>
      <sheetName val="Division_5"/>
      <sheetName val="Division_6"/>
      <sheetName val="Division_7"/>
      <sheetName val="Division_8"/>
      <sheetName val="Division_9"/>
      <sheetName val="Division_10"/>
      <sheetName val="Division_12"/>
      <sheetName val="Division_14"/>
      <sheetName val="Division_21"/>
      <sheetName val="Division_22"/>
      <sheetName val="Division_23"/>
      <sheetName val="Division_26"/>
      <sheetName val="Division_27"/>
      <sheetName val="Division_28"/>
      <sheetName val="Division_31"/>
      <sheetName val="Division_32"/>
      <sheetName val="Division_33"/>
      <sheetName val="Summary_of_Work"/>
      <sheetName val="Div26_-_Elect"/>
      <sheetName val="CHUNG_CU_CARRILON"/>
      <sheetName val="TONG_HOP_VL-NC"/>
      <sheetName val="TONGKE3p_"/>
      <sheetName val="TH_VL,_NC,_DDHT_Thanhphuoc"/>
      <sheetName val="DON_GIA"/>
      <sheetName val="CHITIET_VL-NC"/>
      <sheetName val="TH_kinh_phi"/>
      <sheetName val="KLDT_DIEN"/>
      <sheetName val="Dinh_muc_CP_KTCB_khac"/>
      <sheetName val="Update_list"/>
      <sheetName val="Sinh_Nam_systems"/>
      <sheetName val="DIE_profile"/>
      <sheetName val="Import_tax"/>
      <sheetName val="[SHOPLIST_xls]70,/0s«iÆøí¬"/>
      <sheetName val="[SHOPLIST_xls]70,/0s«iÆøí¬i"/>
      <sheetName val="[SHOPLIST_xls][SHOPLIST_xls]70"/>
      <sheetName val="[SHOPLIST_xls][SHOPLIST_xls]70,"/>
      <sheetName val="NKSC_thue"/>
      <sheetName val="Geneí¬i_x0"/>
      <sheetName val="70,_0s«i_x"/>
      <sheetName val="Gra¦)_x0"/>
      <sheetName val="_SHOPLIST_xls_70,_0_x000"/>
      <sheetName val="_SHOPLIST_xls_70,_0s«iÆøí¬i"/>
      <sheetName val="_SHOPLIST_xls__SHOPLIST_xls_70_"/>
      <sheetName val="_SHOPLIST_xls__SHOPLIST_xls_70,"/>
      <sheetName val="_SHOPLIST.xls__SHOPLIST.xls_70"/>
      <sheetName val="SEX"/>
      <sheetName val="조명시설"/>
      <sheetName val="Du thau"/>
      <sheetName val="Door &amp; Window- Schedule"/>
      <sheetName val="[SHOPLIST.xls]70"/>
      <sheetName val="Buy vs. Lease Car"/>
      <sheetName val="[SHOPLIST.xls]/VWVU))tÏØ0  "/>
      <sheetName val="[SHOPLIST.xls]/VWVU))tÏØ0__"/>
      <sheetName val="_SHOPLIST_xls_70"/>
      <sheetName val="quotation_"/>
      <sheetName val="Bill_5_-_Carpark"/>
      <sheetName val="BOQ_-_summary__3"/>
      <sheetName val="05__Data_Cash_Flow"/>
      <sheetName val="_VWVU))tÏØ0  "/>
      <sheetName val="_VWVU))tÏØ0__"/>
      <sheetName val="Geneí¬_x0008_i___x0014__0."/>
      <sheetName val="70_,_0_s«_x0008_i_Æø_x0003_í¬_x"/>
      <sheetName val="_SHOPLIST.xls__VW"/>
      <sheetName val="_SHOPLIST_xls_70,_0s«iÆøí¬"/>
      <sheetName val="_SHOPLIST_xls__SHOPLIST_xls_70"/>
      <sheetName val="GIÁ TRỊ GĐ2"/>
      <sheetName val="GIẤY ĐỀ NGHỊ THANH TOÁN GĐ1"/>
      <sheetName val="GIẤY ĐỀ NGHỊ THANH TOÁN GĐ2"/>
      <sheetName val="bìa trước"/>
      <sheetName val="bìa sau"/>
      <sheetName val="DANH MỤC"/>
      <sheetName val="DNTT"/>
      <sheetName val="THGT"/>
      <sheetName val="THKL"/>
      <sheetName val="BBNT"/>
      <sheetName val="BẢNG THDG"/>
      <sheetName val="BẢNG DG"/>
      <sheetName val="BẢNG THỐNG KÊ"/>
      <sheetName val="HVAC-full"/>
      <sheetName val="HUTKHOI 2"/>
      <sheetName val="WC 2"/>
      <sheetName val="GIO TUOI 2"/>
      <sheetName val="GIO THẢI 2"/>
      <sheetName val="TAO AP"/>
      <sheetName val="入力作成表"/>
      <sheetName val="gvl"/>
      <sheetName val="GFA_HQ_Building13"/>
      <sheetName val="GFA_Conference12"/>
      <sheetName val="RAB_AR&amp;STR1"/>
      <sheetName val="TH_kinh_phi1"/>
      <sheetName val="KLDT_DIEN1"/>
      <sheetName val="Dinh_muc_CP_KTCB_khac1"/>
      <sheetName val="BQ_External12"/>
      <sheetName val="Penthouse_Apartment11"/>
      <sheetName val="StattCo_yCharges11"/>
      <sheetName val="Raw_Data11"/>
      <sheetName val="Bill_No__211"/>
      <sheetName val="Graph_Data_(DO_NOT_PRINT)11"/>
      <sheetName val="@risk_rents_and_incentives11"/>
      <sheetName val="Car_park_lease11"/>
      <sheetName val="Net_rent_analysis11"/>
      <sheetName val="Poz-1_11"/>
      <sheetName val="Chiet_tinh_dz2211"/>
      <sheetName val="Chiet_tinh_dz3511"/>
      <sheetName val="Lab_Cum_Hist11"/>
      <sheetName val="LABOUR_HISTOGRAM12"/>
      <sheetName val="FOL_-_Bar11"/>
      <sheetName val="CT_Thang_Mo11"/>
      <sheetName val="LEVEL_SHEET11"/>
      <sheetName val="SPT_vs_PHI11"/>
      <sheetName val="budget_summary_(2)10"/>
      <sheetName val="Budget_Analysis_Summary10"/>
      <sheetName val="CT__PL10"/>
      <sheetName val="Projet,_methodes_&amp;_couts10"/>
      <sheetName val="Risques_majeurs_&amp;_Frais_Ind_10"/>
      <sheetName val="beam-reinft-IIInd_floor7"/>
      <sheetName val="beam-reinft-machine_rm7"/>
      <sheetName val="Bill_18"/>
      <sheetName val="Bill_29"/>
      <sheetName val="Bill_38"/>
      <sheetName val="Bill_48"/>
      <sheetName val="Bill_58"/>
      <sheetName val="Bill_68"/>
      <sheetName val="Bill_78"/>
      <sheetName val="Customize_Your_Invoice11"/>
      <sheetName val="POWER_ASSUMPTIONS7"/>
      <sheetName val="intr_stool_brkup10"/>
      <sheetName val="Top_sheet10"/>
      <sheetName val="HVAC_BoQ11"/>
      <sheetName val="Tender_Summary11"/>
      <sheetName val="Insurance_Ext11"/>
      <sheetName val="Body_Sheet10"/>
      <sheetName val="1_0_Executive_Summary10"/>
      <sheetName val="Ap_A8"/>
      <sheetName val="SHOPLIST_xls7"/>
      <sheetName val="Invoice_Summary7"/>
      <sheetName val="2_Div_14_8"/>
      <sheetName val="PROJECT_BRIEF8"/>
      <sheetName val="Civil_Boq6"/>
      <sheetName val="C_(3)8"/>
      <sheetName val="Dubai_golf7"/>
      <sheetName val="WITHOUT_C&amp;I_PROFIT_(3)6"/>
      <sheetName val="Data_Validation1"/>
      <sheetName val="Activity_List6"/>
      <sheetName val="Softscape_Buildup6"/>
      <sheetName val="Mat'l_Rate6"/>
      <sheetName val="BILL_COV4"/>
      <sheetName val="Ra__stair4"/>
      <sheetName val="Day_work3"/>
      <sheetName val="Eq__Mobilization2"/>
      <sheetName val="Working_for_RCC2"/>
      <sheetName val="B185-B-9_12"/>
      <sheetName val="B185-B-9_22"/>
      <sheetName val="BOQ_Direct_selling_cost2"/>
      <sheetName val="PMWeb_data2"/>
      <sheetName val="PRECAST_lightconc-II1"/>
      <sheetName val="final_abstract1"/>
      <sheetName val="Staff_Acco_1"/>
      <sheetName val="TBAL9697_-group_wise__sdpl1"/>
      <sheetName val="CHART_OF_ACCOUNTS2"/>
      <sheetName val="E-Bill_No_6_A-O2"/>
      <sheetName val="B09_12"/>
      <sheetName val="2_2)Revised_Cash_Flow2"/>
      <sheetName val="Employee_List1"/>
      <sheetName val="Division_24"/>
      <sheetName val="Division_41"/>
      <sheetName val="Division_51"/>
      <sheetName val="Division_61"/>
      <sheetName val="Division_71"/>
      <sheetName val="Division_81"/>
      <sheetName val="Division_91"/>
      <sheetName val="Division_101"/>
      <sheetName val="Division_121"/>
      <sheetName val="Division_141"/>
      <sheetName val="Division_211"/>
      <sheetName val="Division_221"/>
      <sheetName val="Division_231"/>
      <sheetName val="Division_261"/>
      <sheetName val="Division_271"/>
      <sheetName val="Division_281"/>
      <sheetName val="Division_311"/>
      <sheetName val="Division_321"/>
      <sheetName val="Division_331"/>
      <sheetName val="SS_MH2"/>
      <sheetName val="Material_List_1"/>
      <sheetName val="Index_List1"/>
      <sheetName val="Type_List1"/>
      <sheetName val="File_Types1"/>
      <sheetName val="입찰내역_발주처_양식1"/>
      <sheetName val="LIST_DO_NOT_REMOVE1"/>
      <sheetName val="Summary_of_Work1"/>
      <sheetName val="CHUNG_CU_CARRILON1"/>
      <sheetName val="Div26_-_Elect1"/>
      <sheetName val="Update_list1"/>
      <sheetName val="Sinh_Nam_systems1"/>
      <sheetName val="DIE_profile1"/>
      <sheetName val="Import_tax1"/>
      <sheetName val="TONG_HOP_VL-NC1"/>
      <sheetName val="TONGKE3p_1"/>
      <sheetName val="TH_VL,_NC,_DDHT_Thanhphuoc1"/>
      <sheetName val="DON_GIA1"/>
      <sheetName val="CHITIET_VL-NC1"/>
      <sheetName val="[SHOPLIST_xls]70,/0s«iÆøí¬i1"/>
      <sheetName val="[SHOPLIST_xls][SHOPLIST_xls]701"/>
      <sheetName val="/VWVU))tÏØ0__1"/>
      <sheetName val="BOQ(MECH)"/>
      <sheetName val="BOQ(ELEC) "/>
      <sheetName val="CH-01"/>
      <sheetName val="CH-02-03"/>
      <sheetName val="CH-06-07"/>
      <sheetName val="CH-08"/>
      <sheetName val="CH-14"/>
      <sheetName val="CH-15"/>
      <sheetName val="CH-16"/>
      <sheetName val="CH-19-20"/>
      <sheetName val="Điện căn hộ04"/>
      <sheetName val="Điện căn hộ05"/>
      <sheetName val="Điện căn hộ09"/>
      <sheetName val="Điện căn hộ10"/>
      <sheetName val="Điện căn hộ11"/>
      <sheetName val="Điện căn hộ12"/>
      <sheetName val="Điện căn hộ13"/>
      <sheetName val="Điện căn hộ17"/>
      <sheetName val="Điện căn hộ 18"/>
      <sheetName val="Điện căn hộ 21"/>
      <sheetName val="MC"/>
      <sheetName val="CS+OC+CSSC HL"/>
      <sheetName val="CN CH"/>
      <sheetName val="Tong hop"/>
      <sheetName val="입찰안"/>
      <sheetName val="MTO REV_2_ARMOR_"/>
      <sheetName val="負荷集計（断熱不燃）"/>
      <sheetName val="BM"/>
      <sheetName val="70_x0000_,/0_x0000_s«_x0008_i_x"/>
      <sheetName val="ConferenceCentre_x0000_옰ʒ"/>
      <sheetName val="70_x0000_,_0_x0000_"/>
      <sheetName val="_x0000__x0000__x005"/>
      <sheetName val="Geneí¬_x005f_x0008_"/>
      <sheetName val="70_x005f_x0000_,_0_"/>
      <sheetName val="Geneí¬_x0008_i_x000"/>
      <sheetName val="ConferenceCentre_x0"/>
      <sheetName val="[SHOPLIST.xls]70,"/>
      <sheetName val="70,/0s«iÆøí¬"/>
      <sheetName val="[SHOPLIST_xls]70"/>
      <sheetName val="[SHOPLIST_xls]70,"/>
      <sheetName val="XV10017"/>
      <sheetName val="Liệt kê"/>
      <sheetName val="d-safe DELUXE"/>
      <sheetName val="????????"/>
      <sheetName val="%"/>
      <sheetName val="Back up"/>
      <sheetName val="[SHOPLIST.xls]/VWVU))tÏØ0__1"/>
      <sheetName val="Vat tu XD"/>
      <sheetName val="Nhan cong"/>
      <sheetName val="CPBTXM-THUONG"/>
      <sheetName val="BXLDL"/>
      <sheetName val="402"/>
      <sheetName val="BMS"/>
      <sheetName val="sort2"/>
      <sheetName val="個案9411"/>
      <sheetName val="Ｎｏ.13"/>
      <sheetName val="Budget Code"/>
      <sheetName val="INPUT"/>
      <sheetName val="설계내역서"/>
      <sheetName val="PS-Labour_M"/>
      <sheetName val="Goi thau"/>
      <sheetName val="Bill 1.CPC"/>
      <sheetName val="Bill 2.BoQ  (2)"/>
      <sheetName val="Bảng TH cửa CC"/>
      <sheetName val="Bảng TH PK"/>
      <sheetName val="Chi tiết"/>
      <sheetName val="Bill 3.PL"/>
      <sheetName val="Bill 4.Do boc KL"/>
      <sheetName val="Bill5. VT CDT cap"/>
      <sheetName val="I.1"/>
      <sheetName val="I.2"/>
      <sheetName val="I.3"/>
      <sheetName val="I.4"/>
      <sheetName val="I.5"/>
      <sheetName val="Bc"/>
      <sheetName val="70_x005f_x0000_,/0_x005f_x0000_"/>
      <sheetName val="eqpmad2"/>
      <sheetName val="결과조달"/>
      <sheetName val="SG"/>
      <sheetName val="[SHOPLIST.xls]70,/0s«iÆøí¬"/>
      <sheetName val="[SHOPLIST.xls]70_x0000_,/0_x0000_s«_x0008_i_x"/>
      <sheetName val="Geneí¬_x0008_"/>
      <sheetName val="70_x0000_,_0_"/>
      <sheetName val="70_x0000_,/0_x0000_"/>
      <sheetName val="/VWVU))tÏØ0__2"/>
      <sheetName val="GFA_HQ_Building14"/>
      <sheetName val="GFA_Conference13"/>
      <sheetName val="RAB_AR&amp;STR2"/>
      <sheetName val="BQ_External13"/>
      <sheetName val="Penthouse_Apartment12"/>
      <sheetName val="StattCo_yCharges12"/>
      <sheetName val="Raw_Data12"/>
      <sheetName val="Bill_No__212"/>
      <sheetName val="Graph_Data_(DO_NOT_PRINT)12"/>
      <sheetName val="@risk_rents_and_incentives12"/>
      <sheetName val="Car_park_lease12"/>
      <sheetName val="Net_rent_analysis12"/>
      <sheetName val="Poz-1_12"/>
      <sheetName val="Chiet_tinh_dz2212"/>
      <sheetName val="Chiet_tinh_dz3512"/>
      <sheetName val="Lab_Cum_Hist12"/>
      <sheetName val="LABOUR_HISTOGRAM13"/>
      <sheetName val="FOL_-_Bar12"/>
      <sheetName val="CT_Thang_Mo12"/>
      <sheetName val="LEVEL_SHEET12"/>
      <sheetName val="SPT_vs_PHI12"/>
      <sheetName val="budget_summary_(2)11"/>
      <sheetName val="Budget_Analysis_Summary11"/>
      <sheetName val="Rate_analysis10"/>
      <sheetName val="CT__PL11"/>
      <sheetName val="Projet,_methodes_&amp;_couts11"/>
      <sheetName val="Risques_majeurs_&amp;_Frais_Ind_11"/>
      <sheetName val="beam-reinft-IIInd_floor8"/>
      <sheetName val="beam-reinft-machine_rm8"/>
      <sheetName val="Bill_19"/>
      <sheetName val="Bill_210"/>
      <sheetName val="Bill_39"/>
      <sheetName val="Bill_49"/>
      <sheetName val="Bill_59"/>
      <sheetName val="Bill_69"/>
      <sheetName val="Bill_79"/>
      <sheetName val="Customize_Your_Invoice12"/>
      <sheetName val="POWER_ASSUMPTIONS8"/>
      <sheetName val="intr_stool_brkup11"/>
      <sheetName val="Top_sheet11"/>
      <sheetName val="HVAC_BoQ12"/>
      <sheetName val="Tender_Summary12"/>
      <sheetName val="Insurance_Ext12"/>
      <sheetName val="Body_Sheet11"/>
      <sheetName val="1_0_Executive_Summary11"/>
      <sheetName val="Ap_A9"/>
      <sheetName val="SHOPLIST_xls8"/>
      <sheetName val="Invoice_Summary8"/>
      <sheetName val="2_Div_14_9"/>
      <sheetName val="PROJECT_BRIEF9"/>
      <sheetName val="Civil_Boq7"/>
      <sheetName val="C_(3)9"/>
      <sheetName val="Dubai_golf8"/>
      <sheetName val="WITHOUT_C&amp;I_PROFIT_(3)7"/>
      <sheetName val="HIRED_LABOUR_CODE5"/>
      <sheetName val="PA-_Consutant_5"/>
      <sheetName val="foot-slab_reinft5"/>
      <sheetName val="Materials_Cost(PCC)3"/>
      <sheetName val="India_F&amp;S_Template3"/>
      <sheetName val="IO_LIST3"/>
      <sheetName val="Material_3"/>
      <sheetName val="Quote_Sheet3"/>
      <sheetName val="Elemental_Buildup2"/>
      <sheetName val="Data_Validation2"/>
      <sheetName val="Activity_List7"/>
      <sheetName val="Softscape_Buildup7"/>
      <sheetName val="Mat'l_Rate7"/>
      <sheetName val="BILL_COV5"/>
      <sheetName val="Ra__stair5"/>
      <sheetName val="VALVE_CHAMBERS4"/>
      <sheetName val="Fire_Hydrants4"/>
      <sheetName val="B_GATE_VALVE4"/>
      <sheetName val="Sub_G1_Fire4"/>
      <sheetName val="Sub_G12_Fire4"/>
      <sheetName val="DETAILED__BOQ5"/>
      <sheetName val="M-Book_for_Conc5"/>
      <sheetName val="M-Book_for_FW5"/>
      <sheetName val="Day_work4"/>
      <sheetName val="Div__023"/>
      <sheetName val="Div__033"/>
      <sheetName val="Div__043"/>
      <sheetName val="Div__053"/>
      <sheetName val="Div__063"/>
      <sheetName val="Div__073"/>
      <sheetName val="Div__083"/>
      <sheetName val="Div__093"/>
      <sheetName val="Div__103"/>
      <sheetName val="Div__113"/>
      <sheetName val="Div__123"/>
      <sheetName val="Div_133"/>
      <sheetName val="EXTERNAL_WORKS3"/>
      <sheetName val="PRODUCTIVITY_RATE3"/>
      <sheetName val="U_R_A_-_MASONRY3"/>
      <sheetName val="U_R_A_-_PLASTERING3"/>
      <sheetName val="U_R_A_-_TILING3"/>
      <sheetName val="U_R_A_-_GRANITE3"/>
      <sheetName val="V_C_2_-_EARTHWORK3"/>
      <sheetName val="V_C_9_-_CERAMIC3"/>
      <sheetName val="V_C_9_-_FINISHES3"/>
      <sheetName val="Eq__Mobilization3"/>
      <sheetName val="w't_table2"/>
      <sheetName val="Working_for_RCC3"/>
      <sheetName val="B185-B-9_13"/>
      <sheetName val="B185-B-9_23"/>
      <sheetName val="BOQ_Direct_selling_cost3"/>
      <sheetName val="PointNo_52"/>
      <sheetName val="PMWeb_data3"/>
      <sheetName val="PRECAST_lightconc-II2"/>
      <sheetName val="final_abstract2"/>
      <sheetName val="Staff_Acco_2"/>
      <sheetName val="TBAL9697_-group_wise__sdpl2"/>
      <sheetName val="CHART_OF_ACCOUNTS3"/>
      <sheetName val="E-Bill_No_6_A-O3"/>
      <sheetName val="bill_nb2-Plumbing_&amp;_Drainag2"/>
      <sheetName val="Pl_&amp;_Dr_B2"/>
      <sheetName val="Pl_&amp;_Dr_G2"/>
      <sheetName val="Pl_&amp;_Dr_M2"/>
      <sheetName val="Pl_&amp;_Dr_12"/>
      <sheetName val="Pl_&amp;_Dr_22"/>
      <sheetName val="Pl_&amp;_Dr_32"/>
      <sheetName val="Pl_&amp;_Dr_42"/>
      <sheetName val="Pl_&amp;_Dr_52"/>
      <sheetName val="Pl_&amp;_Dr_62"/>
      <sheetName val="Pl_&amp;_Dr_72"/>
      <sheetName val="Pl_&amp;_Dr_82"/>
      <sheetName val="Pl_&amp;_Dr_R2"/>
      <sheetName val="FF_B2"/>
      <sheetName val="FF_G2"/>
      <sheetName val="FF_M2"/>
      <sheetName val="FF_12"/>
      <sheetName val="FF_2_2"/>
      <sheetName val="FF_32"/>
      <sheetName val="FF_42"/>
      <sheetName val="FF_52"/>
      <sheetName val="FF_6_2"/>
      <sheetName val="FF_72"/>
      <sheetName val="FF_82"/>
      <sheetName val="FF_R2"/>
      <sheetName val="bill_nb3-FF2"/>
      <sheetName val="HVAC_B2"/>
      <sheetName val="HVAC_G2"/>
      <sheetName val="HVAC_M2"/>
      <sheetName val="HVAC_12"/>
      <sheetName val="HVAC_22"/>
      <sheetName val="HVAC_32"/>
      <sheetName val="HVAC_42"/>
      <sheetName val="HVAC_52"/>
      <sheetName val="HVAC_62"/>
      <sheetName val="HVAC_72"/>
      <sheetName val="HVAC_82"/>
      <sheetName val="HVAC_R2"/>
      <sheetName val="bill_nb4-HVAC2"/>
      <sheetName val="SC_B2"/>
      <sheetName val="SC_G2"/>
      <sheetName val="SC_M2"/>
      <sheetName val="SC_12"/>
      <sheetName val="SC_22"/>
      <sheetName val="SC_32"/>
      <sheetName val="SC_42"/>
      <sheetName val="SC_52"/>
      <sheetName val="SC_62"/>
      <sheetName val="SC_72"/>
      <sheetName val="SC_82"/>
      <sheetName val="SC_R2"/>
      <sheetName val="AV_B2"/>
      <sheetName val="AV_G2"/>
      <sheetName val="AV_M2"/>
      <sheetName val="AV_12"/>
      <sheetName val="AV_22"/>
      <sheetName val="AV_32"/>
      <sheetName val="AV_42"/>
      <sheetName val="AV_52"/>
      <sheetName val="AV_62"/>
      <sheetName val="AV_72"/>
      <sheetName val="AV_82"/>
      <sheetName val="EL_B2"/>
      <sheetName val="EL_M2"/>
      <sheetName val="EL_12"/>
      <sheetName val="EL_22"/>
      <sheetName val="EL_32"/>
      <sheetName val="EL_42"/>
      <sheetName val="EL_52"/>
      <sheetName val="EL_62"/>
      <sheetName val="EL_72"/>
      <sheetName val="EL_82"/>
      <sheetName val="EL_R2"/>
      <sheetName val="EL_TR2"/>
      <sheetName val="8-_EL2"/>
      <sheetName val="FA_B2"/>
      <sheetName val="FA_G2"/>
      <sheetName val="FA_M2"/>
      <sheetName val="FA_12"/>
      <sheetName val="FA_22"/>
      <sheetName val="FA_32"/>
      <sheetName val="FA_42"/>
      <sheetName val="FA_52"/>
      <sheetName val="FA_62"/>
      <sheetName val="FA_72"/>
      <sheetName val="FA_82"/>
      <sheetName val="FA_R2"/>
      <sheetName val="9-_FA2"/>
      <sheetName val="B09_13"/>
      <sheetName val="2_2)Revised_Cash_Flow3"/>
      <sheetName val="Employee_List2"/>
      <sheetName val="Division_25"/>
      <sheetName val="Division_42"/>
      <sheetName val="Division_52"/>
      <sheetName val="Division_62"/>
      <sheetName val="Division_72"/>
      <sheetName val="Division_82"/>
      <sheetName val="Division_92"/>
      <sheetName val="Division_102"/>
      <sheetName val="Division_122"/>
      <sheetName val="Division_142"/>
      <sheetName val="Division_212"/>
      <sheetName val="Division_222"/>
      <sheetName val="Division_232"/>
      <sheetName val="Division_262"/>
      <sheetName val="Division_272"/>
      <sheetName val="Division_282"/>
      <sheetName val="Division_312"/>
      <sheetName val="Division_322"/>
      <sheetName val="Division_332"/>
      <sheetName val="SS_MH3"/>
      <sheetName val="Material_List_2"/>
      <sheetName val="Index_List2"/>
      <sheetName val="Type_List2"/>
      <sheetName val="File_Types2"/>
      <sheetName val="입찰내역_발주처_양식2"/>
      <sheetName val="LIST_DO_NOT_REMOVE2"/>
      <sheetName val="Summary_of_Work2"/>
      <sheetName val="Div26_-_Elect2"/>
      <sheetName val="CHUNG_CU_CARRILON2"/>
      <sheetName val="TONG_HOP_VL-NC2"/>
      <sheetName val="TONGKE3p_2"/>
      <sheetName val="TH_VL,_NC,_DDHT_Thanhphuoc2"/>
      <sheetName val="DON_GIA2"/>
      <sheetName val="CHITIET_VL-NC2"/>
      <sheetName val="TH_kinh_phi2"/>
      <sheetName val="KLDT_DIEN2"/>
      <sheetName val="Dinh_muc_CP_KTCB_khac2"/>
      <sheetName val="[SHOPLIST_xls]70,/0s«iÆøí¬i2"/>
      <sheetName val="Update_list2"/>
      <sheetName val="Sinh_Nam_systems2"/>
      <sheetName val="DIE_profile2"/>
      <sheetName val="Import_tax2"/>
      <sheetName val="[SHOPLIST_xls][SHOPLIST_xls]702"/>
      <sheetName val="NKSC_thue1"/>
      <sheetName val="_SHOPLIST_xls_70,_0s«iÆøí¬i1"/>
      <sheetName val="_SHOPLIST_xls__SHOPLIST_xls_701"/>
      <sheetName val="_SHOPLIST_xls__SHOPLIST_xls_702"/>
      <sheetName val="_SHOPLIST_xls_701"/>
      <sheetName val="quotation_1"/>
      <sheetName val="Bill_5_-_Carpark1"/>
      <sheetName val="BOQ_-_summary__31"/>
      <sheetName val="MTO_REV_2(ARMOR)"/>
      <sheetName val="05__Data_Cash_Flow1"/>
      <sheetName val="Chiet_t1"/>
      <sheetName val="Staffing_and_Rates_IA1"/>
      <sheetName val="B6_2_1"/>
      <sheetName val="Item-_Compact"/>
      <sheetName val="E_&amp;_R"/>
      <sheetName val="Rate_summary"/>
      <sheetName val="Project_Cost_Breakdown"/>
      <sheetName val="Рабочий_лист"/>
      <sheetName val="Doi_so"/>
      <sheetName val="CỘT_+_VÁCH_B2-B4"/>
      <sheetName val="Geneí¬i???0_"/>
      <sheetName val="70?,/0?s«i?Æøí¬i?"/>
      <sheetName val="[SHOPLIST_xls]/VW"/>
      <sheetName val="[SHOPLIST_xls][SHOPLIST_xls]703"/>
      <sheetName val="_SHOPLIST_xls__SHOPLIST_xls_703"/>
      <sheetName val="Du_thau"/>
      <sheetName val="Door_&amp;_Window-_Schedule"/>
      <sheetName val="Buy_vs__Lease_Car"/>
      <sheetName val="[SHOPLIST_xls]/VWVU))tÏØ0__"/>
      <sheetName val="[SHOPLIST_xls]/VWVU))tÏØ0__1"/>
      <sheetName val="70,/0s«i_x"/>
      <sheetName val="Geneí¬i_x000"/>
      <sheetName val="_VWVU))tÏØ0__1"/>
      <sheetName val="Geneí¬i___0_"/>
      <sheetName val="70_,_0_s«i_Æøí¬_x"/>
      <sheetName val="_SHOPLIST_xls__VW"/>
      <sheetName val="GIÁ_TRỊ_GĐ2"/>
      <sheetName val="GIẤY_ĐỀ_NGHỊ_THANH_TOÁN_GĐ1"/>
      <sheetName val="GIẤY_ĐỀ_NGHỊ_THANH_TOÁN_GĐ2"/>
      <sheetName val="bìa_trước"/>
      <sheetName val="bìa_sau"/>
      <sheetName val="DANH_MỤC"/>
      <sheetName val="BẢNG_THDG"/>
      <sheetName val="BẢNG_DG"/>
      <sheetName val="BẢNG_THỐNG_KÊ"/>
      <sheetName val="HUTKHOI_2"/>
      <sheetName val="WC_2"/>
      <sheetName val="GIO_TUOI_2"/>
      <sheetName val="GIO_THẢI_2"/>
      <sheetName val="TAO_AP"/>
      <sheetName val="Vat_tu_XD"/>
      <sheetName val="BOQ(ELEC)_"/>
      <sheetName val="Điện_căn_hộ04"/>
      <sheetName val="Điện_căn_hộ05"/>
      <sheetName val="Điện_căn_hộ09"/>
      <sheetName val="Điện_căn_hộ10"/>
      <sheetName val="Điện_căn_hộ11"/>
      <sheetName val="Điện_căn_hộ12"/>
      <sheetName val="Điện_căn_hộ13"/>
      <sheetName val="Điện_căn_hộ17"/>
      <sheetName val="Điện_căn_hộ_18"/>
      <sheetName val="Điện_căn_hộ_21"/>
      <sheetName val="CS+OC+CSSC_HL"/>
      <sheetName val="CN_CH"/>
      <sheetName val="Tong_hop"/>
      <sheetName val="MTO_REV_2_ARMOR_"/>
      <sheetName val="A. Electrical"/>
      <sheetName val="264"/>
      <sheetName val="LEGEND"/>
      <sheetName val="70_,_0_s«_x0008_i_Æø_x0003_í¬_x0008_i_"/>
      <sheetName val="_SHOPLIST.xls__VWVU))tÏØ0  "/>
      <sheetName val="_SHOPLIST.xls__VWVU))tÏØ0__"/>
      <sheetName val="_SHOPLIST.xls_70,"/>
      <sheetName val="70,_0s«iÆøí¬"/>
      <sheetName val="_SHOPLIST_xls_70,"/>
      <sheetName val="________"/>
      <sheetName val="Priced BOQ"/>
      <sheetName val="index"/>
      <sheetName val="ESTI_"/>
      <sheetName val="DI_ESTI"/>
      <sheetName val="TH thiet bi"/>
      <sheetName val="TH vat tu"/>
      <sheetName val="TH may TC"/>
      <sheetName val="Bang phan tich"/>
      <sheetName val="DM Chi phi"/>
      <sheetName val="NOTE"/>
      <sheetName val="SP10"/>
      <sheetName val="Mall waterproofing"/>
      <sheetName val="MSCP waterproofing"/>
      <sheetName val="-----------------"/>
      <sheetName val="Annex 1 Sect 3a"/>
      <sheetName val="Annex 1 Sect 3a.1"/>
      <sheetName val="Annex 1 Sect 3b"/>
      <sheetName val="Annex 1 Sect 3c"/>
      <sheetName val="HOURLY RATES"/>
      <sheetName val="SITE WORK"/>
      <sheetName val="PT 141- Site A Landscape"/>
      <sheetName val="Geneí¬ i_x0000__x0000_ _x0000_0."/>
      <sheetName val="70_x0000_,/0_x0000_s« i_x0000_Æø í¬ i_x0000_"/>
      <sheetName val="Chiet_t2"/>
      <sheetName val="Staffing_and_Rates_IA2"/>
      <sheetName val="[SHOPLIST.xls]70_x0000_,/0_x0000_s« i_x0000_Æø í¬"/>
      <sheetName val="Selections"/>
      <sheetName val="Duct Accesories"/>
      <sheetName val="INDIGINEOUS ITEMS "/>
      <sheetName val="office"/>
      <sheetName val="Lab"/>
      <sheetName val="PRJDATA"/>
      <sheetName val="Master"/>
      <sheetName val="合成単価作成表-BLDG"/>
      <sheetName val="BASE_APR17_HISTOGRAMS"/>
      <sheetName val="???? ??? ??"/>
      <sheetName val="200205C"/>
      <sheetName val="Headings"/>
      <sheetName val="MA"/>
      <sheetName val="Rebars"/>
      <sheetName val="Labour &amp; Plant"/>
      <sheetName val="Common Variables"/>
      <sheetName val="GPL Revenu Update"/>
      <sheetName val="DO NOT TOUCH"/>
      <sheetName val="Work Type"/>
      <sheetName val="train cash"/>
      <sheetName val="accom cash"/>
      <sheetName val="UOM"/>
      <sheetName val="Definitions"/>
      <sheetName val="Ave.wtd.rates"/>
      <sheetName val="Debits as on 12.04.08"/>
      <sheetName val="PRECAST_lightconc-II3"/>
      <sheetName val="final_abstract3"/>
      <sheetName val="Materials_Cost(PCC)4"/>
      <sheetName val="India_F&amp;S_Template4"/>
      <sheetName val="IO_LIST4"/>
      <sheetName val="Material_4"/>
      <sheetName val="Quote_Sheet4"/>
      <sheetName val="PRECAST_lightconc-II4"/>
      <sheetName val="BOQ_Direct_selling_cost4"/>
      <sheetName val="final_abstract4"/>
      <sheetName val="ABS"/>
      <sheetName val="STAFFSCHED "/>
      <sheetName val="Progress"/>
      <sheetName val="R20_R30_work"/>
      <sheetName val="FORM7"/>
      <sheetName val="TRIAL BALANCE"/>
      <sheetName val="Intro"/>
      <sheetName val="Resumo Empreitadas"/>
      <sheetName val="COSTING"/>
      <sheetName val="PTS-1"/>
      <sheetName val="Sheet7"/>
      <sheetName val="ConferenceCentre?옰ʒ䄂ʒ鵠ʐ䄂ʒ閐̐脭め_x0005__x0000_"/>
      <sheetName val="GFA_HQ_Building15"/>
      <sheetName val="GFA_Conference14"/>
      <sheetName val="BQ_External14"/>
      <sheetName val="Raw_Data13"/>
      <sheetName val="Penthouse_Apartment13"/>
      <sheetName val="StattCo_yCharges13"/>
      <sheetName val="LABOUR_HISTOGRAM14"/>
      <sheetName val="Graph_Data_(DO_NOT_PRINT)13"/>
      <sheetName val="Chiet_tinh_dz2213"/>
      <sheetName val="Chiet_tinh_dz3513"/>
      <sheetName val="@risk_rents_and_incentives13"/>
      <sheetName val="Car_park_lease13"/>
      <sheetName val="Net_rent_analysis13"/>
      <sheetName val="Poz-1_13"/>
      <sheetName val="Lab_Cum_Hist13"/>
      <sheetName val="FOL_-_Bar13"/>
      <sheetName val="budget_summary_(2)12"/>
      <sheetName val="Budget_Analysis_Summary12"/>
      <sheetName val="CT_Thang_Mo13"/>
      <sheetName val="CT__PL12"/>
      <sheetName val="LEVEL_SHEET13"/>
      <sheetName val="SPT_vs_PHI13"/>
      <sheetName val="Bill_No__213"/>
      <sheetName val="Tender_Summary13"/>
      <sheetName val="Insurance_Ext13"/>
      <sheetName val="Customize_Your_Invoice13"/>
      <sheetName val="HVAC_BoQ13"/>
      <sheetName val="Projet,_methodes_&amp;_couts12"/>
      <sheetName val="Risques_majeurs_&amp;_Frais_Ind_12"/>
      <sheetName val="Top_sheet12"/>
      <sheetName val="intr_stool_brkup12"/>
      <sheetName val="Body_Sheet12"/>
      <sheetName val="1_0_Executive_Summary12"/>
      <sheetName val="Ap_A10"/>
      <sheetName val="Bill_110"/>
      <sheetName val="Bill_211"/>
      <sheetName val="Bill_310"/>
      <sheetName val="Bill_410"/>
      <sheetName val="Bill_510"/>
      <sheetName val="Bill_610"/>
      <sheetName val="Bill_710"/>
      <sheetName val="SHOPLIST_xls9"/>
      <sheetName val="Invoice_Summary9"/>
      <sheetName val="2_Div_14_10"/>
      <sheetName val="PROJECT_BRIEF10"/>
      <sheetName val="beam-reinft-IIInd_floor9"/>
      <sheetName val="POWER_ASSUMPTIONS9"/>
      <sheetName val="Softscape_Buildup8"/>
      <sheetName val="Mat'l_Rate8"/>
      <sheetName val="Dubai_golf9"/>
      <sheetName val="beam-reinft-machine_rm9"/>
      <sheetName val="C_(3)10"/>
      <sheetName val="PA-_Consutant_6"/>
      <sheetName val="BILL_COV6"/>
      <sheetName val="Ra__stair6"/>
      <sheetName val="WITHOUT_C&amp;I_PROFIT_(3)8"/>
      <sheetName val="Civil_Boq8"/>
      <sheetName val="Activity_List8"/>
      <sheetName val="HIRED_LABOUR_CODE6"/>
      <sheetName val="foot-slab_reinft6"/>
      <sheetName val="DETAILED__BOQ6"/>
      <sheetName val="M-Book_for_Conc6"/>
      <sheetName val="M-Book_for_FW6"/>
      <sheetName val="VALVE_CHAMBERS5"/>
      <sheetName val="Fire_Hydrants5"/>
      <sheetName val="B_GATE_VALVE5"/>
      <sheetName val="Sub_G1_Fire5"/>
      <sheetName val="Sub_G12_Fire5"/>
      <sheetName val="B185-B-9_14"/>
      <sheetName val="B185-B-9_24"/>
      <sheetName val="Day_work5"/>
      <sheetName val="Div__024"/>
      <sheetName val="Div__034"/>
      <sheetName val="Div__044"/>
      <sheetName val="Div__054"/>
      <sheetName val="Div__064"/>
      <sheetName val="Div__074"/>
      <sheetName val="Div__084"/>
      <sheetName val="Div__094"/>
      <sheetName val="Div__104"/>
      <sheetName val="Div__114"/>
      <sheetName val="Div__124"/>
      <sheetName val="Div_134"/>
      <sheetName val="EXTERNAL_WORKS4"/>
      <sheetName val="PRODUCTIVITY_RATE4"/>
      <sheetName val="U_R_A_-_MASONRY4"/>
      <sheetName val="U_R_A_-_PLASTERING4"/>
      <sheetName val="U_R_A_-_TILING4"/>
      <sheetName val="U_R_A_-_GRANITE4"/>
      <sheetName val="V_C_2_-_EARTHWORK4"/>
      <sheetName val="V_C_9_-_CERAMIC4"/>
      <sheetName val="V_C_9_-_FINISHES4"/>
      <sheetName val="Working_for_RCC4"/>
      <sheetName val="Elemental_Buildup3"/>
      <sheetName val="CHART_OF_ACCOUNTS4"/>
      <sheetName val="E-Bill_No_6_A-O4"/>
      <sheetName val="PMWeb_data4"/>
      <sheetName val="SS_MH4"/>
      <sheetName val="Eq__Mobilization4"/>
      <sheetName val="w't_table3"/>
      <sheetName val="B09_14"/>
      <sheetName val="bill_nb2-Plumbing_&amp;_Drainag3"/>
      <sheetName val="Pl_&amp;_Dr_B3"/>
      <sheetName val="Pl_&amp;_Dr_G3"/>
      <sheetName val="Pl_&amp;_Dr_M3"/>
      <sheetName val="Pl_&amp;_Dr_13"/>
      <sheetName val="Pl_&amp;_Dr_23"/>
      <sheetName val="Pl_&amp;_Dr_33"/>
      <sheetName val="Pl_&amp;_Dr_43"/>
      <sheetName val="Pl_&amp;_Dr_53"/>
      <sheetName val="Pl_&amp;_Dr_63"/>
      <sheetName val="Pl_&amp;_Dr_73"/>
      <sheetName val="Pl_&amp;_Dr_83"/>
      <sheetName val="Pl_&amp;_Dr_R3"/>
      <sheetName val="FF_B3"/>
      <sheetName val="FF_G3"/>
      <sheetName val="FF_M3"/>
      <sheetName val="FF_13"/>
      <sheetName val="FF_2_3"/>
      <sheetName val="FF_33"/>
      <sheetName val="FF_43"/>
      <sheetName val="FF_53"/>
      <sheetName val="FF_6_3"/>
      <sheetName val="FF_73"/>
      <sheetName val="FF_83"/>
      <sheetName val="FF_R3"/>
      <sheetName val="bill_nb3-FF3"/>
      <sheetName val="HVAC_B3"/>
      <sheetName val="HVAC_G3"/>
      <sheetName val="HVAC_M3"/>
      <sheetName val="HVAC_13"/>
      <sheetName val="HVAC_23"/>
      <sheetName val="HVAC_33"/>
      <sheetName val="HVAC_43"/>
      <sheetName val="HVAC_53"/>
      <sheetName val="HVAC_63"/>
      <sheetName val="HVAC_73"/>
      <sheetName val="HVAC_83"/>
      <sheetName val="HVAC_R3"/>
      <sheetName val="bill_nb4-HVAC3"/>
      <sheetName val="SC_B3"/>
      <sheetName val="SC_G3"/>
      <sheetName val="SC_M3"/>
      <sheetName val="SC_13"/>
      <sheetName val="SC_23"/>
      <sheetName val="SC_33"/>
      <sheetName val="SC_43"/>
      <sheetName val="SC_53"/>
      <sheetName val="SC_63"/>
      <sheetName val="SC_73"/>
      <sheetName val="SC_83"/>
      <sheetName val="SC_R3"/>
      <sheetName val="AV_B3"/>
      <sheetName val="AV_G3"/>
      <sheetName val="AV_M3"/>
      <sheetName val="AV_13"/>
      <sheetName val="AV_23"/>
      <sheetName val="AV_33"/>
      <sheetName val="AV_43"/>
      <sheetName val="AV_53"/>
      <sheetName val="AV_63"/>
      <sheetName val="AV_73"/>
      <sheetName val="AV_83"/>
      <sheetName val="EL_B3"/>
      <sheetName val="EL_M3"/>
      <sheetName val="EL_13"/>
      <sheetName val="EL_23"/>
      <sheetName val="EL_33"/>
      <sheetName val="EL_43"/>
      <sheetName val="EL_53"/>
      <sheetName val="EL_63"/>
      <sheetName val="EL_73"/>
      <sheetName val="EL_83"/>
      <sheetName val="EL_R3"/>
      <sheetName val="EL_TR3"/>
      <sheetName val="8-_EL3"/>
      <sheetName val="FA_B3"/>
      <sheetName val="FA_G3"/>
      <sheetName val="FA_M3"/>
      <sheetName val="FA_13"/>
      <sheetName val="FA_23"/>
      <sheetName val="FA_33"/>
      <sheetName val="FA_43"/>
      <sheetName val="FA_53"/>
      <sheetName val="FA_63"/>
      <sheetName val="FA_73"/>
      <sheetName val="FA_83"/>
      <sheetName val="FA_R3"/>
      <sheetName val="9-_FA3"/>
      <sheetName val="PointNo_53"/>
      <sheetName val="Index_List3"/>
      <sheetName val="Type_List3"/>
      <sheetName val="File_Types3"/>
      <sheetName val="Division_29"/>
      <sheetName val="Division_43"/>
      <sheetName val="Division_53"/>
      <sheetName val="Division_63"/>
      <sheetName val="Division_73"/>
      <sheetName val="Division_83"/>
      <sheetName val="Division_93"/>
      <sheetName val="Division_103"/>
      <sheetName val="Division_123"/>
      <sheetName val="Division_143"/>
      <sheetName val="Division_213"/>
      <sheetName val="Division_223"/>
      <sheetName val="Division_233"/>
      <sheetName val="Division_263"/>
      <sheetName val="Division_273"/>
      <sheetName val="Division_283"/>
      <sheetName val="Division_313"/>
      <sheetName val="Division_323"/>
      <sheetName val="Division_333"/>
      <sheetName val="Material_List_3"/>
      <sheetName val="입찰내역_발주처_양식3"/>
      <sheetName val="Chiet_t3"/>
      <sheetName val="Staffing_and_Rates_IA3"/>
      <sheetName val="/VWVU))tÏØ0__3"/>
      <sheetName val="PT_141-_Site_A_Landscape"/>
      <sheetName val="Geneí¬_i_0_"/>
      <sheetName val="70,/0s«_iÆø_í¬_i"/>
      <sheetName val="d-safe_DELUXE"/>
      <sheetName val="Annex_1_Sect_3a"/>
      <sheetName val="Annex_1_Sect_3a_1"/>
      <sheetName val="Annex_1_Sect_3b"/>
      <sheetName val="Annex_1_Sect_3c"/>
      <sheetName val="HOURLY_RATES"/>
      <sheetName val="SITE_WORK"/>
      <sheetName val="Back_up"/>
      <sheetName val="INDIGINEOUS_ITEMS_"/>
      <sheetName val="Mall_waterproofing"/>
      <sheetName val="MSCP_waterproofing"/>
      <sheetName val="Duct_Accesories"/>
      <sheetName val="????_???_??"/>
      <sheetName val="train_cash"/>
      <sheetName val="accom_cash"/>
      <sheetName val="Map"/>
      <sheetName val="Geneí¬ i"/>
      <sheetName val="MEP"/>
      <sheetName val="IRR"/>
      <sheetName val="Coding"/>
      <sheetName val="1-G1"/>
      <sheetName val="Materials_Cost(PCC)5"/>
      <sheetName val="India_F&amp;S_Template5"/>
      <sheetName val="IO_LIST5"/>
      <sheetName val="Material_5"/>
      <sheetName val="Quote_Sheet5"/>
      <sheetName val="BOQ_Direct_selling_cost5"/>
      <sheetName val="PRECAST_lightconc-II5"/>
      <sheetName val="final_abstract5"/>
      <sheetName val="E_&amp;_R1"/>
      <sheetName val="Labour_&amp;_Plant"/>
      <sheetName val="TRIAL_BALANCE"/>
      <sheetName val="Ave_wtd_rates"/>
      <sheetName val="Debits_as_on_12_04_08"/>
      <sheetName val="STAFFSCHED_"/>
      <sheetName val="TESİSAT"/>
      <sheetName val="steel total"/>
      <sheetName val="ELE BOQ"/>
      <sheetName val="Source"/>
      <sheetName val="Lookup"/>
      <sheetName val="PE"/>
      <sheetName val="B6_2_2"/>
      <sheetName val="Item-_Compact1"/>
      <sheetName val="Project_Cost_Breakdown1"/>
      <sheetName val="Annex_1_Sect_3a1"/>
      <sheetName val="Annex_1_Sect_3a_11"/>
      <sheetName val="Annex_1_Sect_3b1"/>
      <sheetName val="Annex_1_Sect_3c1"/>
      <sheetName val="HOURLY_RATES1"/>
      <sheetName val="analysis"/>
      <sheetName val="calculation_LC"/>
      <sheetName val="Internet"/>
      <sheetName val="Geneí¬_x005f_x005f_x005f_x0008_i"/>
      <sheetName val="ConferenceCentre_x005f_x005f_x005f_x005f_x0"/>
      <sheetName val="Geneí¬_x005f_x005f_x005f_x005f_x005f_x005f_x005f_x0008_"/>
      <sheetName val="70_x005f_x005f_x005f_x005f_x005f_x005f_x005f_x0000_,_0_"/>
      <sheetName val="PROJECT BRIEF(EX.NEW)"/>
      <sheetName val="PPA Summary"/>
      <sheetName val="Interior"/>
      <sheetName val="Risk Breakdown Structure"/>
      <sheetName val="Header"/>
      <sheetName val="instructions"/>
      <sheetName val="Home"/>
      <sheetName val="Steel"/>
      <sheetName val="FORM5"/>
      <sheetName val="Z- GENERAL PRICE SUMMARY"/>
      <sheetName val="Z-_GENERAL_PRICE_SUMMARY"/>
      <sheetName val="Cashflow projection"/>
      <sheetName val="superseded"/>
      <sheetName val="Confidential"/>
      <sheetName val="Risk_Breakdown_Structure"/>
      <sheetName val="Equipment Rates"/>
      <sheetName val="Final"/>
      <sheetName val="Materials "/>
      <sheetName val="Labour"/>
      <sheetName val="MAchinery(R1)"/>
      <sheetName val="[SHOPLIST.xls]/VW_x0000_VU_x0000_)_x0000__x0000__x0000_)_x0000__x0000__x0000_"/>
      <sheetName val="[SHOPLIST.xls][SHOPLIST.xls][SH"/>
      <sheetName val="CSC"/>
      <sheetName val="금융비용"/>
      <sheetName val="CostPlan"/>
      <sheetName val="Database"/>
      <sheetName val="dv_info"/>
      <sheetName val="Floor Box "/>
      <sheetName val="opstat"/>
      <sheetName val="costs"/>
      <sheetName val="[SHOPLIST.xls][SHOPLIST.xls]70_"/>
      <sheetName val="AREA OF APPLICATION"/>
      <sheetName val="E H - H. W.P."/>
      <sheetName val="E. H. Treatment for pile cap"/>
      <sheetName val="Vendors"/>
      <sheetName val="Food"/>
      <sheetName val="GFA_HQ_Building16"/>
      <sheetName val="GFA_Conference15"/>
      <sheetName val="BQ_External15"/>
      <sheetName val="Raw_Data14"/>
      <sheetName val="Penthouse_Apartment14"/>
      <sheetName val="StattCo_yCharges14"/>
      <sheetName val="LABOUR_HISTOGRAM15"/>
      <sheetName val="Graph_Data_(DO_NOT_PRINT)14"/>
      <sheetName val="Chiet_tinh_dz2214"/>
      <sheetName val="Chiet_tinh_dz3514"/>
      <sheetName val="@risk_rents_and_incentives14"/>
      <sheetName val="Car_park_lease14"/>
      <sheetName val="Net_rent_analysis14"/>
      <sheetName val="Poz-1_14"/>
      <sheetName val="Lab_Cum_Hist14"/>
      <sheetName val="FOL_-_Bar14"/>
      <sheetName val="budget_summary_(2)13"/>
      <sheetName val="Budget_Analysis_Summary13"/>
      <sheetName val="CT_Thang_Mo14"/>
      <sheetName val="CT__PL13"/>
      <sheetName val="LEVEL_SHEET14"/>
      <sheetName val="SPT_vs_PHI14"/>
      <sheetName val="Bill_No__214"/>
      <sheetName val="Tender_Summary14"/>
      <sheetName val="Insurance_Ext14"/>
      <sheetName val="Customize_Your_Invoice14"/>
      <sheetName val="HVAC_BoQ14"/>
      <sheetName val="Projet,_methodes_&amp;_couts13"/>
      <sheetName val="Risques_majeurs_&amp;_Frais_Ind_13"/>
      <sheetName val="Top_sheet13"/>
      <sheetName val="intr_stool_brkup13"/>
      <sheetName val="Body_Sheet13"/>
      <sheetName val="1_0_Executive_Summary13"/>
      <sheetName val="Ap_A11"/>
      <sheetName val="Bill_111"/>
      <sheetName val="Bill_212"/>
      <sheetName val="Bill_311"/>
      <sheetName val="Bill_411"/>
      <sheetName val="Bill_511"/>
      <sheetName val="Bill_611"/>
      <sheetName val="Bill_711"/>
      <sheetName val="SHOPLIST_xls10"/>
      <sheetName val="Invoice_Summary10"/>
      <sheetName val="2_Div_14_11"/>
      <sheetName val="PROJECT_BRIEF11"/>
      <sheetName val="beam-reinft-IIInd_floor10"/>
      <sheetName val="POWER_ASSUMPTIONS10"/>
      <sheetName val="Softscape_Buildup9"/>
      <sheetName val="Mat'l_Rate9"/>
      <sheetName val="Dubai_golf10"/>
      <sheetName val="beam-reinft-machine_rm10"/>
      <sheetName val="C_(3)11"/>
      <sheetName val="PA-_Consutant_7"/>
      <sheetName val="BILL_COV7"/>
      <sheetName val="Ra__stair7"/>
      <sheetName val="WITHOUT_C&amp;I_PROFIT_(3)9"/>
      <sheetName val="Civil_Boq9"/>
      <sheetName val="Activity_List9"/>
      <sheetName val="HIRED_LABOUR_CODE7"/>
      <sheetName val="foot-slab_reinft7"/>
      <sheetName val="DETAILED__BOQ7"/>
      <sheetName val="M-Book_for_Conc7"/>
      <sheetName val="M-Book_for_FW7"/>
      <sheetName val="VALVE_CHAMBERS6"/>
      <sheetName val="Fire_Hydrants6"/>
      <sheetName val="B_GATE_VALVE6"/>
      <sheetName val="Sub_G1_Fire6"/>
      <sheetName val="Sub_G12_Fire6"/>
      <sheetName val="B185-B-9_15"/>
      <sheetName val="B185-B-9_25"/>
      <sheetName val="Day_work6"/>
      <sheetName val="Div__025"/>
      <sheetName val="Div__035"/>
      <sheetName val="Div__045"/>
      <sheetName val="Div__055"/>
      <sheetName val="Div__065"/>
      <sheetName val="Div__075"/>
      <sheetName val="Div__085"/>
      <sheetName val="Div__095"/>
      <sheetName val="Div__105"/>
      <sheetName val="Div__115"/>
      <sheetName val="Div__125"/>
      <sheetName val="Div_135"/>
      <sheetName val="EXTERNAL_WORKS5"/>
      <sheetName val="PRODUCTIVITY_RATE5"/>
      <sheetName val="U_R_A_-_MASONRY5"/>
      <sheetName val="U_R_A_-_PLASTERING5"/>
      <sheetName val="U_R_A_-_TILING5"/>
      <sheetName val="U_R_A_-_GRANITE5"/>
      <sheetName val="V_C_2_-_EARTHWORK5"/>
      <sheetName val="V_C_9_-_CERAMIC5"/>
      <sheetName val="V_C_9_-_FINISHES5"/>
      <sheetName val="Working_for_RCC5"/>
      <sheetName val="Elemental_Buildup4"/>
      <sheetName val="CHART_OF_ACCOUNTS5"/>
      <sheetName val="E-Bill_No_6_A-O5"/>
      <sheetName val="PMWeb_data5"/>
      <sheetName val="SS_MH5"/>
      <sheetName val="Eq__Mobilization5"/>
      <sheetName val="w't_table4"/>
      <sheetName val="B09_15"/>
      <sheetName val="bill_nb2-Plumbing_&amp;_Drainag4"/>
      <sheetName val="Pl_&amp;_Dr_B4"/>
      <sheetName val="Pl_&amp;_Dr_G4"/>
      <sheetName val="Pl_&amp;_Dr_M4"/>
      <sheetName val="Pl_&amp;_Dr_14"/>
      <sheetName val="Pl_&amp;_Dr_24"/>
      <sheetName val="Pl_&amp;_Dr_34"/>
      <sheetName val="Pl_&amp;_Dr_44"/>
      <sheetName val="Pl_&amp;_Dr_54"/>
      <sheetName val="Pl_&amp;_Dr_64"/>
      <sheetName val="Pl_&amp;_Dr_74"/>
      <sheetName val="Pl_&amp;_Dr_84"/>
      <sheetName val="Pl_&amp;_Dr_R4"/>
      <sheetName val="FF_B4"/>
      <sheetName val="FF_G4"/>
      <sheetName val="FF_M4"/>
      <sheetName val="FF_14"/>
      <sheetName val="FF_2_4"/>
      <sheetName val="FF_34"/>
      <sheetName val="FF_44"/>
      <sheetName val="FF_54"/>
      <sheetName val="FF_6_4"/>
      <sheetName val="FF_74"/>
      <sheetName val="FF_84"/>
      <sheetName val="FF_R4"/>
      <sheetName val="bill_nb3-FF4"/>
      <sheetName val="HVAC_B4"/>
      <sheetName val="HVAC_G4"/>
      <sheetName val="HVAC_M4"/>
      <sheetName val="HVAC_14"/>
      <sheetName val="HVAC_24"/>
      <sheetName val="HVAC_34"/>
      <sheetName val="HVAC_44"/>
      <sheetName val="HVAC_54"/>
      <sheetName val="HVAC_64"/>
      <sheetName val="HVAC_74"/>
      <sheetName val="HVAC_84"/>
      <sheetName val="HVAC_R4"/>
      <sheetName val="bill_nb4-HVAC4"/>
      <sheetName val="SC_B4"/>
      <sheetName val="SC_G4"/>
      <sheetName val="SC_M4"/>
      <sheetName val="SC_14"/>
      <sheetName val="SC_24"/>
      <sheetName val="SC_34"/>
      <sheetName val="SC_44"/>
      <sheetName val="SC_54"/>
      <sheetName val="SC_64"/>
      <sheetName val="SC_74"/>
      <sheetName val="SC_84"/>
      <sheetName val="SC_R4"/>
      <sheetName val="AV_B4"/>
      <sheetName val="AV_G4"/>
      <sheetName val="AV_M4"/>
      <sheetName val="AV_14"/>
      <sheetName val="AV_24"/>
      <sheetName val="AV_34"/>
      <sheetName val="AV_44"/>
      <sheetName val="AV_54"/>
      <sheetName val="AV_64"/>
      <sheetName val="AV_74"/>
      <sheetName val="AV_84"/>
      <sheetName val="EL_B4"/>
      <sheetName val="EL_M4"/>
      <sheetName val="EL_14"/>
      <sheetName val="EL_24"/>
      <sheetName val="EL_34"/>
      <sheetName val="EL_44"/>
      <sheetName val="EL_54"/>
      <sheetName val="EL_64"/>
      <sheetName val="EL_74"/>
      <sheetName val="EL_84"/>
      <sheetName val="EL_R4"/>
      <sheetName val="EL_TR4"/>
      <sheetName val="8-_EL4"/>
      <sheetName val="FA_B4"/>
      <sheetName val="FA_G4"/>
      <sheetName val="FA_M4"/>
      <sheetName val="FA_14"/>
      <sheetName val="FA_24"/>
      <sheetName val="FA_34"/>
      <sheetName val="FA_44"/>
      <sheetName val="FA_54"/>
      <sheetName val="FA_64"/>
      <sheetName val="FA_74"/>
      <sheetName val="FA_84"/>
      <sheetName val="FA_R4"/>
      <sheetName val="9-_FA4"/>
      <sheetName val="PointNo_54"/>
      <sheetName val="Index_List4"/>
      <sheetName val="Type_List4"/>
      <sheetName val="File_Types4"/>
      <sheetName val="Division_210"/>
      <sheetName val="Division_44"/>
      <sheetName val="Division_54"/>
      <sheetName val="Division_64"/>
      <sheetName val="Division_74"/>
      <sheetName val="Division_84"/>
      <sheetName val="Division_94"/>
      <sheetName val="Division_104"/>
      <sheetName val="Division_124"/>
      <sheetName val="Division_144"/>
      <sheetName val="Division_214"/>
      <sheetName val="Division_224"/>
      <sheetName val="Division_234"/>
      <sheetName val="Division_264"/>
      <sheetName val="Division_274"/>
      <sheetName val="Division_284"/>
      <sheetName val="Division_314"/>
      <sheetName val="Division_324"/>
      <sheetName val="Division_334"/>
      <sheetName val="2_2)Revised_Cash_Flow4"/>
      <sheetName val="Material_List_4"/>
      <sheetName val="입찰내역_발주처_양식4"/>
      <sheetName val="Chiet_t4"/>
      <sheetName val="Staffing_and_Rates_IA4"/>
      <sheetName val="/VWVU))tÏØ0__4"/>
      <sheetName val="Рабочий_лист1"/>
      <sheetName val="PT_141-_Site_A_Landscape1"/>
      <sheetName val="d-safe_DELUXE1"/>
      <sheetName val="Rate_summary1"/>
      <sheetName val="SITE_WORK1"/>
      <sheetName val="Back_up1"/>
      <sheetName val="INDIGINEOUS_ITEMS_1"/>
      <sheetName val="Mall_waterproofing1"/>
      <sheetName val="MSCP_waterproofing1"/>
      <sheetName val="Duct_Accesories1"/>
      <sheetName val="????_???_??1"/>
      <sheetName val="train_cash1"/>
      <sheetName val="accom_cash1"/>
      <sheetName val="Common_Variables"/>
      <sheetName val="ConferenceCentre?옰ʒ䄂ʒ鵠ʐ䄂ʒ閐̐脭め"/>
      <sheetName val="70_,_0_s«i_Æøí¬i_"/>
      <sheetName val="C1ㅇ"/>
      <sheetName val="AC"/>
      <sheetName val="Equip"/>
      <sheetName val="Payment"/>
      <sheetName val="Dropdowns"/>
      <sheetName val="HD-XUAT"/>
      <sheetName val="Base BM-rebar"/>
      <sheetName val="% prog figs -u5 and total"/>
      <sheetName val="rc01"/>
      <sheetName val="Form 6"/>
      <sheetName val="gen"/>
      <sheetName val="Agenda"/>
      <sheetName val="Risks&amp;issues"/>
      <sheetName val="IMS_RiskAssess"/>
      <sheetName val="Risk Register"/>
      <sheetName val="ROAE"/>
      <sheetName val="Revised Front Page"/>
      <sheetName val="Diff Run01&amp;Run02"/>
      <sheetName val="ProvSums"/>
      <sheetName val="CCS Summary"/>
      <sheetName val="1 Carillion Staff"/>
      <sheetName val=" 2 Staff &amp; Gen labour"/>
      <sheetName val="3 Offices"/>
      <sheetName val="4 TempServ"/>
      <sheetName val="  5 Temp Wks"/>
      <sheetName val=" 6 Addn Plant"/>
      <sheetName val=" 7  Transport"/>
      <sheetName val=" 8 Testing"/>
      <sheetName val="9  Miscellaneous"/>
      <sheetName val="10  Design"/>
      <sheetName val=" 11 Insurances"/>
      <sheetName val=" 12 Client Req."/>
      <sheetName val="Risk List"/>
      <sheetName val="Track of Changes"/>
      <sheetName val="Bill 8 Doors &amp; Windows"/>
      <sheetName val="Bill 9 Finishes "/>
      <sheetName val="Bill 10 Specialities"/>
      <sheetName val="SubS2"/>
      <sheetName val="LMP"/>
      <sheetName val="PC"/>
      <sheetName val="B6_2_3"/>
      <sheetName val="LIST_DO_NOT_REMOVE3"/>
      <sheetName val="Project_Cost_Breakdown2"/>
      <sheetName val="Item-_Compact2"/>
      <sheetName val="E_&amp;_R2"/>
      <sheetName val="Annex_1_Sect_3a2"/>
      <sheetName val="Annex_1_Sect_3a_12"/>
      <sheetName val="Annex_1_Sect_3b2"/>
      <sheetName val="Annex_1_Sect_3c2"/>
      <sheetName val="HOURLY_RATES2"/>
      <sheetName val="GPL_Revenu_Update"/>
      <sheetName val="DO_NOT_TOUCH"/>
      <sheetName val="Work_Type"/>
      <sheetName val="[SHOPLIST_xls]70,/0s«_iÆø_í¬"/>
      <sheetName val="Floor_Box_"/>
      <sheetName val="Geneí¬_i"/>
      <sheetName val="[SHOPLIST_xls][SHOPLIST_xls]70_"/>
      <sheetName val="E_H_-_H__W_P_"/>
      <sheetName val="E__H__Treatment_for_pile_cap"/>
      <sheetName val="Form_6"/>
      <sheetName val="Risk_Register"/>
      <sheetName val="Revised_Front_Page"/>
      <sheetName val="Diff_Run01&amp;Run02"/>
      <sheetName val="CCS_Summary"/>
      <sheetName val="1_Carillion_Staff"/>
      <sheetName val="_2_Staff_&amp;_Gen_labour"/>
      <sheetName val="3_Offices"/>
      <sheetName val="4_TempServ"/>
      <sheetName val="__5_Temp_Wks"/>
      <sheetName val="_6_Addn_Plant"/>
      <sheetName val="_7__Transport"/>
      <sheetName val="_8_Testing"/>
      <sheetName val="9__Miscellaneous"/>
      <sheetName val="10__Design"/>
      <sheetName val="_11_Insurances"/>
      <sheetName val="_12_Client_Req_"/>
      <sheetName val="Risk_List"/>
      <sheetName val="Track_of_Changes"/>
      <sheetName val="Bill_8_Doors_&amp;_Windows"/>
      <sheetName val="Bill_9_Finishes_"/>
      <sheetName val="Bill_10_Specialities"/>
      <sheetName val="Cashflow_projection"/>
      <sheetName val="Data I (2)"/>
      <sheetName val="rEFERENCES "/>
      <sheetName val="DIV2"/>
      <sheetName val="DIV3"/>
      <sheetName val="DIV4"/>
      <sheetName val="DIV7"/>
      <sheetName val="DIV9"/>
      <sheetName val="KAP-2_C1_ALBAHA_GRID_POINT_NGL"/>
      <sheetName val="做法表"/>
      <sheetName val="Service Type"/>
      <sheetName val="Contract Division"/>
      <sheetName val="SubContract Type"/>
      <sheetName val="工程量"/>
      <sheetName val="Projects"/>
      <sheetName val="Summ"/>
      <sheetName val="A1-Continuous"/>
      <sheetName val="Mix Design"/>
      <sheetName val="std-rates"/>
      <sheetName val="_SHOPLIST.xls__VWVU))tÏØ0__1"/>
      <sheetName val="_SHOPLIST.xls_70,_0s«iÆøí¬"/>
      <sheetName val="SORT"/>
      <sheetName val="Nhan_cong"/>
      <sheetName val="[SHOPLIST_xls]701"/>
      <sheetName val="[SHOPLIST_xls]70,1"/>
      <sheetName val="Liệt_kê"/>
      <sheetName val="[SHOPLIST_xls]/VWVU))tÏØ0__11"/>
      <sheetName val="Ｎｏ_13"/>
      <sheetName val="Budget_Code"/>
      <sheetName val="IBASE"/>
      <sheetName val="D &amp; W sizes"/>
      <sheetName val="FAB별"/>
      <sheetName val="BAOGIATHANG"/>
      <sheetName val="DAODAT"/>
      <sheetName val="vanchuyen TC"/>
      <sheetName val="VO-MC"/>
      <sheetName val="VO-Curtain Wall"/>
      <sheetName val="VO-M&amp;E"/>
      <sheetName val="Bar.Sched"/>
      <sheetName val="公寓材料表"/>
      <sheetName val="ANL"/>
      <sheetName val="GiaVL"/>
      <sheetName val="Gra¦_x0004_)???VW????????? U"/>
      <sheetName val="/VW?VU?)???)???_x0001_???tÏØ0_x0009__x0008_??_x0009__x0008_"/>
      <sheetName val="/VW?VU?)???)???_x0001_???tÏØ0 _x0008_?? _x0008_"/>
      <sheetName val="[SHOPLIST.xls]70?,/0?s«_x0008_i?Æø_x0003_í¬"/>
      <sheetName val="[SHOPLIST.xls][SHOPLIST.xls]70?"/>
      <sheetName val="Geneí¬_x005f_x0008_i_x005f_x005f_x000"/>
      <sheetName val="ConferenceCentre?옰ʒ䄂ʒ鵠ʐ䄂ʒ"/>
      <sheetName val="Geneí¬_x0008_i??_x0"/>
      <sheetName val="70?,_0?s«_x0008_i_x"/>
      <sheetName val="Gra¦_x0004_)??_x0"/>
      <sheetName val="_VW?VU?)?_x"/>
      <sheetName val="_SHOPLIST.xls_70?,_0_x000"/>
      <sheetName val="????_x0"/>
      <sheetName val="70?,/0?s«_x0008_i_x"/>
      <sheetName val="ConferenceCentre?옰ʒ"/>
      <sheetName val="70?,_0?"/>
      <sheetName val="??_x005"/>
      <sheetName val="[SHOPLIST.xls]70?,/0?s«_x0008_i_x"/>
      <sheetName val="70?,_0_"/>
      <sheetName val="70?,/0?"/>
      <sheetName val="Geneí¬ i?? ?0."/>
      <sheetName val="70?,/0?s« i?Æø í¬ i?"/>
      <sheetName val="[SHOPLIST.xls]70?,/0?s« i?Æø í¬"/>
      <sheetName val="ConferenceCentre?옰ʒ䄂ʒ鵠ʐ䄂ʒ閐̐脭め_x0005_?"/>
      <sheetName val="[SHOPLIST.xls]/VW?VU?)???)???"/>
      <sheetName val="[SHOPLIST.xls]70___0_s__i_____2"/>
      <sheetName val="[SHOPLIST.xls]_VW__VU_________2"/>
      <sheetName val="[SHOPLIST.xls]_VW__VU_________3"/>
      <sheetName val="[SHOPLIST.xls]70_x005f_x0000___0_x0_2"/>
      <sheetName val="電気設備表"/>
      <sheetName val="BQ_SUM"/>
      <sheetName val="BQ_T"/>
      <sheetName val="Bill 1_Prelim"/>
      <sheetName val="Bill 2_Bored Pile"/>
      <sheetName val="CTG"/>
      <sheetName val="TK T2"/>
      <sheetName val="TĐ-L2"/>
      <sheetName val="T2.CAMERA"/>
      <sheetName val="T2.LOA"/>
      <sheetName val="T2.TRUNKING"/>
      <sheetName val="T2.MANG"/>
      <sheetName val="70,/0s«iÆøí¬i1"/>
      <sheetName val="PL-F&amp;B"/>
      <sheetName val="Btra"/>
      <sheetName val="GAEYO"/>
      <sheetName val="갑지1"/>
      <sheetName val="概総括1"/>
      <sheetName val="[SHOPLIST.xls][SHOPLIST.xls]7_2"/>
      <sheetName val="[SHOPLIST.xls][SHOPLIST.xls]7_3"/>
      <sheetName val="[SHOPLIST.xls]70_x005f_x005f_x005f_x0000__2"/>
      <sheetName val="[SHOPLIST.xls]70___0_s__i_____3"/>
      <sheetName val="[SHOPLIST.xls][SHOPLIST.xls]__2"/>
      <sheetName val="[SHOPLIST.xls][SHOPLIST_xls]7_2"/>
      <sheetName val="[SHOPLIST.xls][SHOPLIST_xls]7_3"/>
      <sheetName val="[SHOPLIST.xls][SHOPLIST.xls]__3"/>
      <sheetName val="[SHOPLIST.xls][SHOPLIST.xls]__4"/>
      <sheetName val="[SHOPLIST.xls][SHOPLIST_xls]7_4"/>
      <sheetName val="70,/0s«iÆøí¬i2"/>
      <sheetName val="[SHOPLIST_xls]702"/>
      <sheetName val="[SHOPLIST_xls]703"/>
      <sheetName val="1.2 Staff Schedule"/>
      <sheetName val="PNTEXT"/>
      <sheetName val="PROJECT_BRIEF(EX_NEW)"/>
      <sheetName val="BaseWeight"/>
      <sheetName val="ￒlￒmￒnￒaￒSￒmￒaￒy"/>
      <sheetName val="Materials_Cost(PCC)6"/>
      <sheetName val="India_F&amp;S_Template6"/>
      <sheetName val="IO_LIST6"/>
      <sheetName val="Material_6"/>
      <sheetName val="Quote_Sheet6"/>
      <sheetName val="BOQ_Direct_selling_cost6"/>
      <sheetName val="PRECAST_lightconc-II6"/>
      <sheetName val="final_abstract6"/>
      <sheetName val="Common_Variables1"/>
      <sheetName val="GPL_Revenu_Update1"/>
      <sheetName val="DO_NOT_TOUCH1"/>
      <sheetName val="Work_Type1"/>
      <sheetName val="Labour_&amp;_Plant1"/>
      <sheetName val="Ave_wtd_rates1"/>
      <sheetName val="Debits_as_on_12_04_081"/>
      <sheetName val="STAFFSCHED_1"/>
      <sheetName val="TRIAL_BALANCE1"/>
      <sheetName val="PROJECT_BRIEF(EX_NEW)1"/>
      <sheetName val="AREA_OF_APPLICATION"/>
      <sheetName val="Div.07 Thermal &amp; Moisture"/>
      <sheetName val="PRJ_DATA"/>
      <sheetName val="VIABILITY"/>
      <sheetName val="mw"/>
      <sheetName val="GFA_HQ_Building17"/>
      <sheetName val="GFA_Conference16"/>
      <sheetName val="BQ_External16"/>
      <sheetName val="Graph_Data_(DO_NOT_PRINT)15"/>
      <sheetName val="StattCo_yCharges15"/>
      <sheetName val="Penthouse_Apartment15"/>
      <sheetName val="LABOUR_HISTOGRAM16"/>
      <sheetName val="Chiet_tinh_dz2215"/>
      <sheetName val="Chiet_tinh_dz3515"/>
      <sheetName val="@risk_rents_and_incentives15"/>
      <sheetName val="Car_park_lease15"/>
      <sheetName val="Net_rent_analysis15"/>
      <sheetName val="Poz-1_15"/>
      <sheetName val="Lab_Cum_Hist15"/>
      <sheetName val="Raw_Data15"/>
      <sheetName val="Bill_No__215"/>
      <sheetName val="CT_Thang_Mo15"/>
      <sheetName val="budget_summary_(2)14"/>
      <sheetName val="Budget_Analysis_Summary14"/>
      <sheetName val="LEVEL_SHEET15"/>
      <sheetName val="SPT_vs_PHI15"/>
      <sheetName val="CT__PL14"/>
      <sheetName val="Projet,_methodes_&amp;_couts14"/>
      <sheetName val="Risques_majeurs_&amp;_Frais_Ind_14"/>
      <sheetName val="FOL_-_Bar15"/>
      <sheetName val="intr_stool_brkup14"/>
      <sheetName val="Tender_Summary15"/>
      <sheetName val="Insurance_Ext15"/>
      <sheetName val="Customize_Your_Invoice15"/>
      <sheetName val="HVAC_BoQ15"/>
      <sheetName val="Body_Sheet14"/>
      <sheetName val="1_0_Executive_Summary14"/>
      <sheetName val="Top_sheet14"/>
      <sheetName val="Ap_A12"/>
      <sheetName val="SHOPLIST_xls11"/>
      <sheetName val="Bill_213"/>
      <sheetName val="2_Div_14_12"/>
      <sheetName val="beam-reinft-IIInd_floor11"/>
      <sheetName val="beam-reinft-machine_rm11"/>
      <sheetName val="Bill_112"/>
      <sheetName val="Bill_312"/>
      <sheetName val="Bill_412"/>
      <sheetName val="Bill_512"/>
      <sheetName val="Bill_612"/>
      <sheetName val="Bill_712"/>
      <sheetName val="POWER_ASSUMPTIONS11"/>
      <sheetName val="Invoice_Summary11"/>
      <sheetName val="PROJECT_BRIEF12"/>
      <sheetName val="Civil_Boq10"/>
      <sheetName val="C_(3)12"/>
      <sheetName val="Dubai_golf11"/>
      <sheetName val="WITHOUT_C&amp;I_PROFIT_(3)10"/>
      <sheetName val="HIRED_LABOUR_CODE8"/>
      <sheetName val="PA-_Consutant_8"/>
      <sheetName val="foot-slab_reinft8"/>
      <sheetName val="Softscape_Buildup10"/>
      <sheetName val="Mat'l_Rate10"/>
      <sheetName val="VALVE_CHAMBERS7"/>
      <sheetName val="Fire_Hydrants7"/>
      <sheetName val="B_GATE_VALVE7"/>
      <sheetName val="Sub_G1_Fire7"/>
      <sheetName val="Sub_G12_Fire7"/>
      <sheetName val="Activity_List10"/>
      <sheetName val="BILL_COV8"/>
      <sheetName val="Ra__stair8"/>
      <sheetName val="DETAILED__BOQ8"/>
      <sheetName val="M-Book_for_Conc8"/>
      <sheetName val="M-Book_for_FW8"/>
      <sheetName val="Materials_Cost(PCC)7"/>
      <sheetName val="India_F&amp;S_Template7"/>
      <sheetName val="IO_LIST7"/>
      <sheetName val="Material_7"/>
      <sheetName val="Quote_Sheet7"/>
      <sheetName val="Day_work7"/>
      <sheetName val="Working_for_RCC6"/>
      <sheetName val="Div__026"/>
      <sheetName val="Div__036"/>
      <sheetName val="Div__046"/>
      <sheetName val="Div__056"/>
      <sheetName val="Div__066"/>
      <sheetName val="Div__076"/>
      <sheetName val="Div__086"/>
      <sheetName val="Div__096"/>
      <sheetName val="Div__106"/>
      <sheetName val="Div__116"/>
      <sheetName val="Div__126"/>
      <sheetName val="Div_136"/>
      <sheetName val="EXTERNAL_WORKS6"/>
      <sheetName val="PRODUCTIVITY_RATE6"/>
      <sheetName val="U_R_A_-_MASONRY6"/>
      <sheetName val="U_R_A_-_PLASTERING6"/>
      <sheetName val="U_R_A_-_TILING6"/>
      <sheetName val="U_R_A_-_GRANITE6"/>
      <sheetName val="V_C_2_-_EARTHWORK6"/>
      <sheetName val="V_C_9_-_CERAMIC6"/>
      <sheetName val="V_C_9_-_FINISHES6"/>
      <sheetName val="Eq__Mobilization6"/>
      <sheetName val="w't_table5"/>
      <sheetName val="B185-B-9_16"/>
      <sheetName val="B185-B-9_26"/>
      <sheetName val="CHART_OF_ACCOUNTS6"/>
      <sheetName val="BOQ_Direct_selling_cost7"/>
      <sheetName val="Elemental_Buildup5"/>
      <sheetName val="PointNo_55"/>
      <sheetName val="Index_List5"/>
      <sheetName val="Type_List5"/>
      <sheetName val="File_Types5"/>
      <sheetName val="E-Bill_No_6_A-O6"/>
      <sheetName val="PMWeb_data6"/>
      <sheetName val="SS_MH6"/>
      <sheetName val="Material_List_5"/>
      <sheetName val="2_2)Revised_Cash_Flow5"/>
      <sheetName val="bill_nb2-Plumbing_&amp;_Drainag5"/>
      <sheetName val="Pl_&amp;_Dr_B5"/>
      <sheetName val="Pl_&amp;_Dr_G5"/>
      <sheetName val="Pl_&amp;_Dr_M5"/>
      <sheetName val="Pl_&amp;_Dr_15"/>
      <sheetName val="Pl_&amp;_Dr_25"/>
      <sheetName val="Pl_&amp;_Dr_35"/>
      <sheetName val="Pl_&amp;_Dr_45"/>
      <sheetName val="Pl_&amp;_Dr_55"/>
      <sheetName val="Pl_&amp;_Dr_65"/>
      <sheetName val="Pl_&amp;_Dr_75"/>
      <sheetName val="Pl_&amp;_Dr_85"/>
      <sheetName val="Pl_&amp;_Dr_R5"/>
      <sheetName val="FF_B5"/>
      <sheetName val="FF_G5"/>
      <sheetName val="FF_M5"/>
      <sheetName val="FF_15"/>
      <sheetName val="FF_2_5"/>
      <sheetName val="FF_35"/>
      <sheetName val="FF_45"/>
      <sheetName val="FF_55"/>
      <sheetName val="FF_6_5"/>
      <sheetName val="FF_75"/>
      <sheetName val="FF_85"/>
      <sheetName val="FF_R5"/>
      <sheetName val="bill_nb3-FF5"/>
      <sheetName val="HVAC_B5"/>
      <sheetName val="HVAC_G5"/>
      <sheetName val="HVAC_M5"/>
      <sheetName val="HVAC_15"/>
      <sheetName val="HVAC_25"/>
      <sheetName val="HVAC_35"/>
      <sheetName val="HVAC_45"/>
      <sheetName val="HVAC_55"/>
      <sheetName val="HVAC_65"/>
      <sheetName val="HVAC_75"/>
      <sheetName val="HVAC_85"/>
      <sheetName val="HVAC_R5"/>
      <sheetName val="bill_nb4-HVAC5"/>
      <sheetName val="SC_B5"/>
      <sheetName val="SC_G5"/>
      <sheetName val="SC_M5"/>
      <sheetName val="SC_15"/>
      <sheetName val="SC_25"/>
      <sheetName val="SC_35"/>
      <sheetName val="SC_45"/>
      <sheetName val="SC_55"/>
      <sheetName val="SC_65"/>
      <sheetName val="SC_75"/>
      <sheetName val="SC_85"/>
      <sheetName val="SC_R5"/>
      <sheetName val="AV_B5"/>
      <sheetName val="AV_G5"/>
      <sheetName val="AV_M5"/>
      <sheetName val="AV_15"/>
      <sheetName val="AV_25"/>
      <sheetName val="AV_35"/>
      <sheetName val="AV_45"/>
      <sheetName val="AV_55"/>
      <sheetName val="AV_65"/>
      <sheetName val="AV_75"/>
      <sheetName val="AV_85"/>
      <sheetName val="EL_B5"/>
      <sheetName val="EL_M5"/>
      <sheetName val="EL_15"/>
      <sheetName val="EL_25"/>
      <sheetName val="EL_35"/>
      <sheetName val="EL_45"/>
      <sheetName val="EL_55"/>
      <sheetName val="EL_65"/>
      <sheetName val="EL_75"/>
      <sheetName val="EL_85"/>
      <sheetName val="EL_R5"/>
      <sheetName val="EL_TR5"/>
      <sheetName val="8-_EL5"/>
      <sheetName val="FA_B5"/>
      <sheetName val="FA_G5"/>
      <sheetName val="FA_M5"/>
      <sheetName val="FA_15"/>
      <sheetName val="FA_25"/>
      <sheetName val="FA_35"/>
      <sheetName val="FA_45"/>
      <sheetName val="FA_55"/>
      <sheetName val="FA_65"/>
      <sheetName val="FA_75"/>
      <sheetName val="FA_85"/>
      <sheetName val="FA_R5"/>
      <sheetName val="9-_FA5"/>
      <sheetName val="B09_16"/>
      <sheetName val="Project_Cost_Breakdown3"/>
      <sheetName val="입찰내역_발주처_양식5"/>
      <sheetName val="Division_215"/>
      <sheetName val="Division_45"/>
      <sheetName val="Division_55"/>
      <sheetName val="Division_65"/>
      <sheetName val="Division_75"/>
      <sheetName val="Division_85"/>
      <sheetName val="Division_95"/>
      <sheetName val="Division_105"/>
      <sheetName val="Division_125"/>
      <sheetName val="Division_145"/>
      <sheetName val="Division_216"/>
      <sheetName val="Division_225"/>
      <sheetName val="Division_235"/>
      <sheetName val="Division_265"/>
      <sheetName val="Division_275"/>
      <sheetName val="Division_285"/>
      <sheetName val="Division_315"/>
      <sheetName val="Division_325"/>
      <sheetName val="Division_335"/>
      <sheetName val="LIST_DO_NOT_REMOVE4"/>
      <sheetName val="PRECAST_lightconc-II7"/>
      <sheetName val="final_abstract7"/>
      <sheetName val="Staff_Acco_3"/>
      <sheetName val="TBAL9697_-group_wise__sdpl3"/>
      <sheetName val="/VWVU))tÏØ0__5"/>
      <sheetName val="Chiet_t5"/>
      <sheetName val="Staffing_and_Rates_IA5"/>
      <sheetName val="Summary_of_Work3"/>
      <sheetName val="Employee_List3"/>
      <sheetName val="Рабочий_лист2"/>
      <sheetName val="B6_2_4"/>
      <sheetName val="Item-_Compact3"/>
      <sheetName val="E_&amp;_R3"/>
      <sheetName val="Annex_1_Sect_3a3"/>
      <sheetName val="Annex_1_Sect_3a_13"/>
      <sheetName val="Annex_1_Sect_3b3"/>
      <sheetName val="Annex_1_Sect_3c3"/>
      <sheetName val="HOURLY_RATES3"/>
      <sheetName val="SITE_WORK2"/>
      <sheetName val="d-safe_DELUXE2"/>
      <sheetName val="PT_141-_Site_A_Landscape2"/>
      <sheetName val="Rate_summary2"/>
      <sheetName val="Back_up2"/>
      <sheetName val="train_cash2"/>
      <sheetName val="accom_cash2"/>
      <sheetName val="INDIGINEOUS_ITEMS_2"/>
      <sheetName val="Duct_Accesories2"/>
      <sheetName val="Mall_waterproofing2"/>
      <sheetName val="MSCP_waterproofing2"/>
      <sheetName val="Common_Variables2"/>
      <sheetName val="????_???_??2"/>
      <sheetName val="GPL_Revenu_Update2"/>
      <sheetName val="DO_NOT_TOUCH2"/>
      <sheetName val="Work_Type2"/>
      <sheetName val="Labour_&amp;_Plant2"/>
      <sheetName val="Ave_wtd_rates2"/>
      <sheetName val="Debits_as_on_12_04_082"/>
      <sheetName val="STAFFSCHED_2"/>
      <sheetName val="TRIAL_BALANCE2"/>
      <sheetName val="PROJECT_BRIEF(EX_NEW)2"/>
      <sheetName val="AREA_OF_APPLICATION1"/>
      <sheetName val="Risk_Breakdown_Structure1"/>
      <sheetName val="Geneí¬_i1"/>
      <sheetName val="steel_total1"/>
      <sheetName val="ELE_BOQ1"/>
      <sheetName val="steel_total"/>
      <sheetName val="ELE_BOQ"/>
      <sheetName val="Architect"/>
      <sheetName val="GFA_HQ_Building18"/>
      <sheetName val="GFA_Conference17"/>
      <sheetName val="BQ_External17"/>
      <sheetName val="Graph_Data_(DO_NOT_PRINT)16"/>
      <sheetName val="StattCo_yCharges16"/>
      <sheetName val="Penthouse_Apartment16"/>
      <sheetName val="LABOUR_HISTOGRAM17"/>
      <sheetName val="Chiet_tinh_dz2216"/>
      <sheetName val="Chiet_tinh_dz3516"/>
      <sheetName val="@risk_rents_and_incentives16"/>
      <sheetName val="Car_park_lease16"/>
      <sheetName val="Net_rent_analysis16"/>
      <sheetName val="Poz-1_16"/>
      <sheetName val="Lab_Cum_Hist16"/>
      <sheetName val="Raw_Data16"/>
      <sheetName val="Bill_No__216"/>
      <sheetName val="CT_Thang_Mo16"/>
      <sheetName val="budget_summary_(2)15"/>
      <sheetName val="Budget_Analysis_Summary15"/>
      <sheetName val="LEVEL_SHEET16"/>
      <sheetName val="SPT_vs_PHI16"/>
      <sheetName val="CT__PL15"/>
      <sheetName val="Projet,_methodes_&amp;_couts15"/>
      <sheetName val="Risques_majeurs_&amp;_Frais_Ind_15"/>
      <sheetName val="FOL_-_Bar16"/>
      <sheetName val="intr_stool_brkup15"/>
      <sheetName val="Tender_Summary16"/>
      <sheetName val="Insurance_Ext16"/>
      <sheetName val="Customize_Your_Invoice16"/>
      <sheetName val="HVAC_BoQ16"/>
      <sheetName val="Body_Sheet15"/>
      <sheetName val="1_0_Executive_Summary15"/>
      <sheetName val="Top_sheet15"/>
      <sheetName val="Ap_A13"/>
      <sheetName val="SHOPLIST_xls12"/>
      <sheetName val="Bill_214"/>
      <sheetName val="2_Div_14_13"/>
      <sheetName val="beam-reinft-IIInd_floor12"/>
      <sheetName val="beam-reinft-machine_rm12"/>
      <sheetName val="Bill_113"/>
      <sheetName val="Bill_313"/>
      <sheetName val="Bill_413"/>
      <sheetName val="Bill_513"/>
      <sheetName val="Bill_613"/>
      <sheetName val="Bill_713"/>
      <sheetName val="POWER_ASSUMPTIONS12"/>
      <sheetName val="Invoice_Summary12"/>
      <sheetName val="PROJECT_BRIEF13"/>
      <sheetName val="Civil_Boq11"/>
      <sheetName val="C_(3)13"/>
      <sheetName val="Dubai_golf12"/>
      <sheetName val="WITHOUT_C&amp;I_PROFIT_(3)11"/>
      <sheetName val="HIRED_LABOUR_CODE9"/>
      <sheetName val="PA-_Consutant_9"/>
      <sheetName val="foot-slab_reinft9"/>
      <sheetName val="Softscape_Buildup11"/>
      <sheetName val="Mat'l_Rate11"/>
      <sheetName val="VALVE_CHAMBERS8"/>
      <sheetName val="Fire_Hydrants8"/>
      <sheetName val="B_GATE_VALVE8"/>
      <sheetName val="Sub_G1_Fire8"/>
      <sheetName val="Sub_G12_Fire8"/>
      <sheetName val="Activity_List11"/>
      <sheetName val="BILL_COV9"/>
      <sheetName val="Ra__stair9"/>
      <sheetName val="DETAILED__BOQ9"/>
      <sheetName val="M-Book_for_Conc9"/>
      <sheetName val="M-Book_for_FW9"/>
      <sheetName val="Materials_Cost(PCC)8"/>
      <sheetName val="India_F&amp;S_Template8"/>
      <sheetName val="IO_LIST8"/>
      <sheetName val="Material_8"/>
      <sheetName val="Quote_Sheet8"/>
      <sheetName val="Day_work8"/>
      <sheetName val="Working_for_RCC7"/>
      <sheetName val="Div__027"/>
      <sheetName val="Div__037"/>
      <sheetName val="Div__047"/>
      <sheetName val="Div__057"/>
      <sheetName val="Div__067"/>
      <sheetName val="Div__077"/>
      <sheetName val="Div__087"/>
      <sheetName val="Div__097"/>
      <sheetName val="Div__107"/>
      <sheetName val="Div__117"/>
      <sheetName val="Div__127"/>
      <sheetName val="Div_137"/>
      <sheetName val="EXTERNAL_WORKS7"/>
      <sheetName val="PRODUCTIVITY_RATE7"/>
      <sheetName val="U_R_A_-_MASONRY7"/>
      <sheetName val="U_R_A_-_PLASTERING7"/>
      <sheetName val="U_R_A_-_TILING7"/>
      <sheetName val="U_R_A_-_GRANITE7"/>
      <sheetName val="V_C_2_-_EARTHWORK7"/>
      <sheetName val="V_C_9_-_CERAMIC7"/>
      <sheetName val="V_C_9_-_FINISHES7"/>
      <sheetName val="Elemental_Buildup6"/>
      <sheetName val="Eq__Mobilization7"/>
      <sheetName val="w't_table6"/>
      <sheetName val="bill_nb2-Plumbing_&amp;_Drainag6"/>
      <sheetName val="Pl_&amp;_Dr_B6"/>
      <sheetName val="Pl_&amp;_Dr_G6"/>
      <sheetName val="Pl_&amp;_Dr_M6"/>
      <sheetName val="Pl_&amp;_Dr_16"/>
      <sheetName val="Pl_&amp;_Dr_26"/>
      <sheetName val="Pl_&amp;_Dr_36"/>
      <sheetName val="Pl_&amp;_Dr_46"/>
      <sheetName val="Pl_&amp;_Dr_56"/>
      <sheetName val="Pl_&amp;_Dr_66"/>
      <sheetName val="Pl_&amp;_Dr_76"/>
      <sheetName val="Pl_&amp;_Dr_86"/>
      <sheetName val="Pl_&amp;_Dr_R6"/>
      <sheetName val="FF_B6"/>
      <sheetName val="FF_G6"/>
      <sheetName val="FF_M6"/>
      <sheetName val="FF_16"/>
      <sheetName val="FF_2_6"/>
      <sheetName val="FF_36"/>
      <sheetName val="FF_46"/>
      <sheetName val="FF_56"/>
      <sheetName val="FF_6_6"/>
      <sheetName val="FF_76"/>
      <sheetName val="FF_86"/>
      <sheetName val="FF_R6"/>
      <sheetName val="bill_nb3-FF6"/>
      <sheetName val="HVAC_B6"/>
      <sheetName val="HVAC_G6"/>
      <sheetName val="HVAC_M6"/>
      <sheetName val="HVAC_16"/>
      <sheetName val="HVAC_26"/>
      <sheetName val="HVAC_36"/>
      <sheetName val="HVAC_46"/>
      <sheetName val="HVAC_56"/>
      <sheetName val="HVAC_66"/>
      <sheetName val="HVAC_76"/>
      <sheetName val="HVAC_86"/>
      <sheetName val="HVAC_R6"/>
      <sheetName val="bill_nb4-HVAC6"/>
      <sheetName val="SC_B6"/>
      <sheetName val="SC_G6"/>
      <sheetName val="SC_M6"/>
      <sheetName val="SC_16"/>
      <sheetName val="SC_26"/>
      <sheetName val="SC_36"/>
      <sheetName val="SC_46"/>
      <sheetName val="SC_56"/>
      <sheetName val="SC_66"/>
      <sheetName val="SC_76"/>
      <sheetName val="SC_86"/>
      <sheetName val="SC_R6"/>
      <sheetName val="AV_B6"/>
      <sheetName val="AV_G6"/>
      <sheetName val="AV_M6"/>
      <sheetName val="AV_16"/>
      <sheetName val="AV_26"/>
      <sheetName val="AV_36"/>
      <sheetName val="AV_46"/>
      <sheetName val="AV_56"/>
      <sheetName val="AV_66"/>
      <sheetName val="AV_76"/>
      <sheetName val="AV_86"/>
      <sheetName val="EL_B6"/>
      <sheetName val="EL_M6"/>
      <sheetName val="EL_16"/>
      <sheetName val="EL_26"/>
      <sheetName val="EL_36"/>
      <sheetName val="EL_46"/>
      <sheetName val="EL_56"/>
      <sheetName val="EL_66"/>
      <sheetName val="EL_76"/>
      <sheetName val="EL_86"/>
      <sheetName val="EL_R6"/>
      <sheetName val="EL_TR6"/>
      <sheetName val="8-_EL6"/>
      <sheetName val="FA_B6"/>
      <sheetName val="FA_G6"/>
      <sheetName val="FA_M6"/>
      <sheetName val="FA_16"/>
      <sheetName val="FA_26"/>
      <sheetName val="FA_36"/>
      <sheetName val="FA_46"/>
      <sheetName val="FA_56"/>
      <sheetName val="FA_66"/>
      <sheetName val="FA_76"/>
      <sheetName val="FA_86"/>
      <sheetName val="FA_R6"/>
      <sheetName val="9-_FA6"/>
      <sheetName val="BOQ_Direct_selling_cost8"/>
      <sheetName val="CHART_OF_ACCOUNTS7"/>
      <sheetName val="B185-B-9_17"/>
      <sheetName val="B185-B-9_27"/>
      <sheetName val="Material_List_6"/>
      <sheetName val="E-Bill_No_6_A-O7"/>
      <sheetName val="B09_17"/>
      <sheetName val="Division_217"/>
      <sheetName val="Division_46"/>
      <sheetName val="Division_56"/>
      <sheetName val="Division_66"/>
      <sheetName val="Division_76"/>
      <sheetName val="Division_86"/>
      <sheetName val="Division_96"/>
      <sheetName val="Division_106"/>
      <sheetName val="Division_126"/>
      <sheetName val="Division_146"/>
      <sheetName val="Division_218"/>
      <sheetName val="Division_226"/>
      <sheetName val="Division_236"/>
      <sheetName val="Division_266"/>
      <sheetName val="Division_276"/>
      <sheetName val="Division_286"/>
      <sheetName val="Division_316"/>
      <sheetName val="Division_326"/>
      <sheetName val="Division_336"/>
      <sheetName val="PMWeb_data7"/>
      <sheetName val="PointNo_56"/>
      <sheetName val="SS_MH7"/>
      <sheetName val="2_2)Revised_Cash_Flow6"/>
      <sheetName val="입찰내역_발주처_양식6"/>
      <sheetName val="/VWVU))tÏØ0__6"/>
      <sheetName val="LIST_DO_NOT_REMOVE5"/>
      <sheetName val="Index_List6"/>
      <sheetName val="Type_List6"/>
      <sheetName val="File_Types6"/>
      <sheetName val="Chiet_t6"/>
      <sheetName val="Staffing_and_Rates_IA6"/>
      <sheetName val="B6_2_5"/>
      <sheetName val="PRECAST_lightconc-II8"/>
      <sheetName val="final_abstract8"/>
      <sheetName val="Summary_of_Work4"/>
      <sheetName val="Staff_Acco_4"/>
      <sheetName val="TBAL9697_-group_wise__sdpl4"/>
      <sheetName val="Employee_List4"/>
      <sheetName val="Project_Cost_Breakdown4"/>
      <sheetName val="Item-_Compact4"/>
      <sheetName val="E_&amp;_R4"/>
      <sheetName val="Рабочий_лист3"/>
      <sheetName val="SITE_WORK3"/>
      <sheetName val="Annex_1_Sect_3a4"/>
      <sheetName val="Annex_1_Sect_3a_14"/>
      <sheetName val="Annex_1_Sect_3b4"/>
      <sheetName val="Annex_1_Sect_3c4"/>
      <sheetName val="HOURLY_RATES4"/>
      <sheetName val="Rate_summary3"/>
      <sheetName val="PT_141-_Site_A_Landscape3"/>
      <sheetName val="RAB_AR&amp;STR3"/>
      <sheetName val="d-safe_DELUXE3"/>
      <sheetName val="Back_up3"/>
      <sheetName val="train_cash3"/>
      <sheetName val="accom_cash3"/>
      <sheetName val="INDIGINEOUS_ITEMS_3"/>
      <sheetName val="Duct_Accesories3"/>
      <sheetName val="Mall_waterproofing3"/>
      <sheetName val="MSCP_waterproofing3"/>
      <sheetName val="????_???_??3"/>
      <sheetName val="Common_Variables3"/>
      <sheetName val="[SHOPLIST_xls]70,/0s«iÆøí¬i3"/>
      <sheetName val="GPL_Revenu_Update3"/>
      <sheetName val="DO_NOT_TOUCH3"/>
      <sheetName val="Work_Type3"/>
      <sheetName val="Labour_&amp;_Plant3"/>
      <sheetName val="Ave_wtd_rates3"/>
      <sheetName val="Debits_as_on_12_04_083"/>
      <sheetName val="STAFFSCHED_3"/>
      <sheetName val="TRIAL_BALANCE3"/>
      <sheetName val="PROJECT_BRIEF(EX_NEW)3"/>
      <sheetName val="AREA_OF_APPLICATION2"/>
      <sheetName val="Risk_Breakdown_Structure2"/>
      <sheetName val="Geneí¬_i2"/>
      <sheetName val="steel_total2"/>
      <sheetName val="ELE_BOQ2"/>
      <sheetName val="Rates"/>
      <sheetName val="GFA_HQ_Building19"/>
      <sheetName val="GFA_Conference18"/>
      <sheetName val="BQ_External18"/>
      <sheetName val="Penthouse_Apartment17"/>
      <sheetName val="Raw_Data17"/>
      <sheetName val="StattCo_yCharges17"/>
      <sheetName val="LEVEL_SHEET17"/>
      <sheetName val="SPT_vs_PHI17"/>
      <sheetName val="LABOUR_HISTOGRAM18"/>
      <sheetName val="Chiet_tinh_dz2217"/>
      <sheetName val="Chiet_tinh_dz3517"/>
      <sheetName val="@risk_rents_and_incentives17"/>
      <sheetName val="Car_park_lease17"/>
      <sheetName val="Net_rent_analysis17"/>
      <sheetName val="Poz-1_17"/>
      <sheetName val="Graph_Data_(DO_NOT_PRINT)17"/>
      <sheetName val="Bill_No__217"/>
      <sheetName val="CT_Thang_Mo17"/>
      <sheetName val="Lab_Cum_Hist17"/>
      <sheetName val="CT__PL16"/>
      <sheetName val="Projet,_methodes_&amp;_couts16"/>
      <sheetName val="Risques_majeurs_&amp;_Frais_Ind_16"/>
      <sheetName val="FOL_-_Bar17"/>
      <sheetName val="budget_summary_(2)16"/>
      <sheetName val="Budget_Analysis_Summary16"/>
      <sheetName val="intr_stool_brkup16"/>
      <sheetName val="Tender_Summary17"/>
      <sheetName val="Insurance_Ext17"/>
      <sheetName val="Customize_Your_Invoice17"/>
      <sheetName val="HVAC_BoQ17"/>
      <sheetName val="Body_Sheet16"/>
      <sheetName val="1_0_Executive_Summary16"/>
      <sheetName val="Top_sheet16"/>
      <sheetName val="Bill_215"/>
      <sheetName val="Ap_A14"/>
      <sheetName val="2_Div_14_14"/>
      <sheetName val="SHOPLIST_xls13"/>
      <sheetName val="beam-reinft-IIInd_floor13"/>
      <sheetName val="beam-reinft-machine_rm13"/>
      <sheetName val="Bill_114"/>
      <sheetName val="Bill_314"/>
      <sheetName val="Bill_414"/>
      <sheetName val="Bill_514"/>
      <sheetName val="Bill_614"/>
      <sheetName val="Bill_714"/>
      <sheetName val="POWER_ASSUMPTIONS13"/>
      <sheetName val="Civil_Boq12"/>
      <sheetName val="PROJECT_BRIEF14"/>
      <sheetName val="Invoice_Summary13"/>
      <sheetName val="C_(3)14"/>
      <sheetName val="Dubai_golf13"/>
      <sheetName val="Softscape_Buildup12"/>
      <sheetName val="Mat'l_Rate12"/>
      <sheetName val="WITHOUT_C&amp;I_PROFIT_(3)12"/>
      <sheetName val="Activity_List12"/>
      <sheetName val="HIRED_LABOUR_CODE10"/>
      <sheetName val="PA-_Consutant_10"/>
      <sheetName val="foot-slab_reinft10"/>
      <sheetName val="DETAILED__BOQ10"/>
      <sheetName val="M-Book_for_Conc10"/>
      <sheetName val="M-Book_for_FW10"/>
      <sheetName val="BILL_COV10"/>
      <sheetName val="Ra__stair10"/>
      <sheetName val="VALVE_CHAMBERS9"/>
      <sheetName val="Fire_Hydrants9"/>
      <sheetName val="B_GATE_VALVE9"/>
      <sheetName val="Sub_G1_Fire9"/>
      <sheetName val="Sub_G12_Fire9"/>
      <sheetName val="Eq__Mobilization8"/>
      <sheetName val="w't_table7"/>
      <sheetName val="Materials_Cost(PCC)9"/>
      <sheetName val="India_F&amp;S_Template9"/>
      <sheetName val="IO_LIST9"/>
      <sheetName val="Material_9"/>
      <sheetName val="Quote_Sheet9"/>
      <sheetName val="Day_work9"/>
      <sheetName val="bill_nb2-Plumbing_&amp;_Drainag7"/>
      <sheetName val="Pl_&amp;_Dr_B7"/>
      <sheetName val="Pl_&amp;_Dr_G7"/>
      <sheetName val="Pl_&amp;_Dr_M7"/>
      <sheetName val="Pl_&amp;_Dr_17"/>
      <sheetName val="Pl_&amp;_Dr_27"/>
      <sheetName val="Pl_&amp;_Dr_37"/>
      <sheetName val="Pl_&amp;_Dr_47"/>
      <sheetName val="Pl_&amp;_Dr_57"/>
      <sheetName val="Pl_&amp;_Dr_67"/>
      <sheetName val="Pl_&amp;_Dr_77"/>
      <sheetName val="Pl_&amp;_Dr_87"/>
      <sheetName val="Pl_&amp;_Dr_R7"/>
      <sheetName val="FF_B7"/>
      <sheetName val="FF_G7"/>
      <sheetName val="FF_M7"/>
      <sheetName val="FF_17"/>
      <sheetName val="FF_2_7"/>
      <sheetName val="FF_37"/>
      <sheetName val="FF_47"/>
      <sheetName val="FF_57"/>
      <sheetName val="FF_6_7"/>
      <sheetName val="FF_77"/>
      <sheetName val="FF_87"/>
      <sheetName val="FF_R7"/>
      <sheetName val="bill_nb3-FF7"/>
      <sheetName val="HVAC_B7"/>
      <sheetName val="HVAC_G7"/>
      <sheetName val="HVAC_M7"/>
      <sheetName val="HVAC_17"/>
      <sheetName val="HVAC_27"/>
      <sheetName val="HVAC_37"/>
      <sheetName val="HVAC_47"/>
      <sheetName val="HVAC_57"/>
      <sheetName val="HVAC_67"/>
      <sheetName val="HVAC_77"/>
      <sheetName val="HVAC_87"/>
      <sheetName val="HVAC_R7"/>
      <sheetName val="bill_nb4-HVAC7"/>
      <sheetName val="SC_B7"/>
      <sheetName val="SC_G7"/>
      <sheetName val="SC_M7"/>
      <sheetName val="SC_17"/>
      <sheetName val="SC_27"/>
      <sheetName val="SC_37"/>
      <sheetName val="SC_47"/>
      <sheetName val="SC_57"/>
      <sheetName val="SC_67"/>
      <sheetName val="SC_77"/>
      <sheetName val="SC_87"/>
      <sheetName val="SC_R7"/>
      <sheetName val="AV_B7"/>
      <sheetName val="AV_G7"/>
      <sheetName val="AV_M7"/>
      <sheetName val="AV_17"/>
      <sheetName val="AV_27"/>
      <sheetName val="AV_37"/>
      <sheetName val="AV_47"/>
      <sheetName val="AV_57"/>
      <sheetName val="AV_67"/>
      <sheetName val="AV_77"/>
      <sheetName val="AV_87"/>
      <sheetName val="EL_B7"/>
      <sheetName val="EL_M7"/>
      <sheetName val="EL_17"/>
      <sheetName val="EL_27"/>
      <sheetName val="EL_37"/>
      <sheetName val="EL_47"/>
      <sheetName val="EL_57"/>
      <sheetName val="EL_67"/>
      <sheetName val="EL_77"/>
      <sheetName val="EL_87"/>
      <sheetName val="EL_R7"/>
      <sheetName val="EL_TR7"/>
      <sheetName val="8-_EL7"/>
      <sheetName val="FA_B7"/>
      <sheetName val="FA_G7"/>
      <sheetName val="FA_M7"/>
      <sheetName val="FA_17"/>
      <sheetName val="FA_27"/>
      <sheetName val="FA_37"/>
      <sheetName val="FA_47"/>
      <sheetName val="FA_57"/>
      <sheetName val="FA_67"/>
      <sheetName val="FA_77"/>
      <sheetName val="FA_87"/>
      <sheetName val="FA_R7"/>
      <sheetName val="9-_FA7"/>
      <sheetName val="B09_18"/>
      <sheetName val="BOQ_Direct_selling_cost9"/>
      <sheetName val="CHART_OF_ACCOUNTS8"/>
      <sheetName val="Working_for_RCC8"/>
      <sheetName val="B185-B-9_18"/>
      <sheetName val="B185-B-9_28"/>
      <sheetName val="E-Bill_No_6_A-O8"/>
      <sheetName val="Div__028"/>
      <sheetName val="Div__038"/>
      <sheetName val="Div__048"/>
      <sheetName val="Div__058"/>
      <sheetName val="Div__068"/>
      <sheetName val="Div__078"/>
      <sheetName val="Div__088"/>
      <sheetName val="Div__098"/>
      <sheetName val="Div__108"/>
      <sheetName val="Div__118"/>
      <sheetName val="Div__128"/>
      <sheetName val="Div_138"/>
      <sheetName val="EXTERNAL_WORKS8"/>
      <sheetName val="PRODUCTIVITY_RATE8"/>
      <sheetName val="U_R_A_-_MASONRY8"/>
      <sheetName val="U_R_A_-_PLASTERING8"/>
      <sheetName val="U_R_A_-_TILING8"/>
      <sheetName val="U_R_A_-_GRANITE8"/>
      <sheetName val="V_C_2_-_EARTHWORK8"/>
      <sheetName val="V_C_9_-_CERAMIC8"/>
      <sheetName val="V_C_9_-_FINISHES8"/>
      <sheetName val="Division_219"/>
      <sheetName val="Division_47"/>
      <sheetName val="Division_57"/>
      <sheetName val="Division_67"/>
      <sheetName val="Division_77"/>
      <sheetName val="Division_87"/>
      <sheetName val="Division_97"/>
      <sheetName val="Division_107"/>
      <sheetName val="Division_127"/>
      <sheetName val="Division_147"/>
      <sheetName val="Division_2110"/>
      <sheetName val="Division_227"/>
      <sheetName val="Division_237"/>
      <sheetName val="Division_267"/>
      <sheetName val="Division_277"/>
      <sheetName val="Division_287"/>
      <sheetName val="Division_317"/>
      <sheetName val="Division_327"/>
      <sheetName val="Division_337"/>
      <sheetName val="PMWeb_data8"/>
      <sheetName val="Elemental_Buildup7"/>
      <sheetName val="PointNo_57"/>
      <sheetName val="2_2)Revised_Cash_Flow7"/>
      <sheetName val="SS_MH8"/>
      <sheetName val="입찰내역_발주처_양식7"/>
      <sheetName val="Material_List_7"/>
      <sheetName val="/VWVU))tÏØ0__7"/>
      <sheetName val="LIST_DO_NOT_REMOVE6"/>
      <sheetName val="Index_List7"/>
      <sheetName val="Type_List7"/>
      <sheetName val="File_Types7"/>
      <sheetName val="Chiet_t7"/>
      <sheetName val="Staffing_and_Rates_IA7"/>
      <sheetName val="Project_Cost_Breakdown5"/>
      <sheetName val="PRECAST_lightconc-II9"/>
      <sheetName val="final_abstract9"/>
      <sheetName val="Staff_Acco_5"/>
      <sheetName val="TBAL9697_-group_wise__sdpl5"/>
      <sheetName val="Summary_of_Work5"/>
      <sheetName val="Employee_List5"/>
      <sheetName val="Рабочий_лист4"/>
      <sheetName val="B6_2_6"/>
      <sheetName val="Item-_Compact5"/>
      <sheetName val="E_&amp;_R5"/>
      <sheetName val="Annex_1_Sect_3a5"/>
      <sheetName val="Annex_1_Sect_3a_15"/>
      <sheetName val="Annex_1_Sect_3b5"/>
      <sheetName val="Annex_1_Sect_3c5"/>
      <sheetName val="HOURLY_RATES5"/>
      <sheetName val="SITE_WORK4"/>
      <sheetName val="d-safe_DELUXE4"/>
      <sheetName val="PT_141-_Site_A_Landscape4"/>
      <sheetName val="Rate_summary4"/>
      <sheetName val="RAB_AR&amp;STR4"/>
      <sheetName val="Back_up4"/>
      <sheetName val="train_cash4"/>
      <sheetName val="accom_cash4"/>
      <sheetName val="INDIGINEOUS_ITEMS_4"/>
      <sheetName val="Duct_Accesories4"/>
      <sheetName val="Mall_waterproofing4"/>
      <sheetName val="MSCP_waterproofing4"/>
      <sheetName val="????_???_??4"/>
      <sheetName val="Labour_&amp;_Plant4"/>
      <sheetName val="Ave_wtd_rates4"/>
      <sheetName val="Debits_as_on_12_04_084"/>
      <sheetName val="STAFFSCHED_4"/>
      <sheetName val="TRIAL_BALANCE4"/>
      <sheetName val="[SHOPLIST_xls][SHOPLIST_xls]704"/>
      <sheetName val="[SHOPLIST_xls]70,/0s«iÆøí¬i4"/>
      <sheetName val="Common_Variables4"/>
      <sheetName val="GPL_Revenu_Update4"/>
      <sheetName val="DO_NOT_TOUCH4"/>
      <sheetName val="Work_Type4"/>
      <sheetName val="PROJECT_BRIEF(EX_NEW)4"/>
      <sheetName val="AREA_OF_APPLICATION3"/>
      <sheetName val="Risk_Breakdown_Structure3"/>
      <sheetName val="Geneí¬_i3"/>
      <sheetName val="steel_total3"/>
      <sheetName val="ELE_BOQ3"/>
      <sheetName val="Resumo_Empreitadas"/>
      <sheetName val="PPA_Summary"/>
      <sheetName val="Mix_Design"/>
      <sheetName val="%_prog_figs_-u5_and_total"/>
      <sheetName val="Floor_Box_1"/>
      <sheetName val="SRC-B3U2"/>
      <sheetName val="Dash board"/>
      <sheetName val="ACC"/>
      <sheetName val="Auswahl"/>
      <sheetName val="Areas_with_SF"/>
      <sheetName val="Area Breakdown PER LEVEL_LINK"/>
      <sheetName val="Lagerhalle"/>
      <sheetName val="Basisdaten"/>
      <sheetName val="CF Input"/>
      <sheetName val="Certificates"/>
      <sheetName val="DATA INPUT"/>
      <sheetName val="Vordruck-Nr. 7.1.3_D"/>
      <sheetName val="Ersatzteile"/>
      <sheetName val="A"/>
      <sheetName val="C"/>
      <sheetName val="D"/>
      <sheetName val="E"/>
      <sheetName val="G"/>
      <sheetName val="H"/>
      <sheetName val="I"/>
      <sheetName val="K"/>
      <sheetName val="L"/>
      <sheetName val="M"/>
      <sheetName val="N"/>
      <sheetName val="O"/>
      <sheetName val="T"/>
      <sheetName val="U"/>
      <sheetName val="M&amp;A D"/>
      <sheetName val="M&amp;A E"/>
      <sheetName val="M&amp;A G"/>
      <sheetName val="Rate_analysis11"/>
      <sheetName val="SO"/>
      <sheetName val="Equipment_Rates"/>
      <sheetName val="Data Sheet"/>
      <sheetName val="1_2_Staff_Schedule"/>
      <sheetName val="Attach 4-18"/>
      <sheetName val="TTL"/>
      <sheetName val="Base_Data"/>
      <sheetName val="P-100.MRF.DB.R1"/>
      <sheetName val="Qtys ZamZam (Del. before)"/>
      <sheetName val="Qtys Relocation (Del before)"/>
      <sheetName val=" Qtys Sub &amp; Tents (Del. before)"/>
      <sheetName val="Qtys  Signages (Del. before)"/>
      <sheetName val="Qtys Temporary Passages (Del)"/>
      <sheetName val=" Qtys Ser. Rooms (Del before)"/>
      <sheetName val="[SHOPLIST.xls]/VWVU))tÏØ0__2"/>
      <sheetName val="PRL"/>
      <sheetName val="hist&amp;proj"/>
      <sheetName val="door"/>
      <sheetName val="window"/>
      <sheetName val="BLOCK-A (MEA.SHEET)"/>
      <sheetName val="Labour Costs"/>
      <sheetName val="allowances"/>
      <sheetName val="tender allowances"/>
      <sheetName val=" Summary BKG 034"/>
      <sheetName val="BILL 3R"/>
      <sheetName val="sheet6"/>
      <sheetName val="Hic_150EOffice"/>
      <sheetName val="Results"/>
      <sheetName val="BOQp4"/>
      <sheetName val="Ewaan Show Kitchen (2)"/>
      <sheetName val="Cash Flow Working"/>
      <sheetName val="MN T.B."/>
      <sheetName val="COMPLEXALL"/>
      <sheetName val="DATI_CONS"/>
      <sheetName val="2F 회의실견적(5_14 일대)"/>
      <sheetName val=" HIT-&gt;HMC 견적(3900)"/>
      <sheetName val="Appendix B"/>
      <sheetName val="Project"/>
      <sheetName val="PRICE INFO"/>
      <sheetName val="RC SUMMARY"/>
      <sheetName val="LABOUR PRODUCTIVITY-TAV"/>
      <sheetName val="MATERIAL PRICES"/>
      <sheetName val="Cost Heading"/>
      <sheetName val="DetEst"/>
      <sheetName val="SOPMA DD"/>
      <sheetName val="Site Dev BOQ"/>
      <sheetName val="STAIR-A"/>
      <sheetName val="B1"/>
      <sheetName val="Bill.10"/>
      <sheetName val="Material&amp;equipment"/>
      <sheetName val="Estimation"/>
      <sheetName val="PB"/>
      <sheetName val="RMOPS"/>
      <sheetName val="Finansal tamamlanma Eğrisi"/>
      <sheetName val="May 05"/>
      <sheetName val="April 05"/>
      <sheetName val="Aug 05"/>
      <sheetName val="July 05"/>
      <sheetName val="June 05"/>
      <sheetName val="Nov 05"/>
      <sheetName val="Oct 05"/>
      <sheetName val="Sep 05"/>
      <sheetName val="BOQ (2)"/>
      <sheetName val="Names"/>
      <sheetName val="LABOUR RATE"/>
      <sheetName val="Material Rate"/>
      <sheetName val="Labor abs-PW"/>
      <sheetName val="Labor abs-NMR"/>
      <sheetName val="grid"/>
      <sheetName val="para"/>
      <sheetName val="kppl pl"/>
      <sheetName val="Basic Rates"/>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Package-2"/>
      <sheetName val="Combined Results "/>
      <sheetName val="Cashflow"/>
      <sheetName val="RA"/>
      <sheetName val="AREAS"/>
      <sheetName val="Labour Rate "/>
      <sheetName val="(M+L)"/>
      <sheetName val="Names&amp;Cases"/>
      <sheetName val="Tables"/>
      <sheetName val="Drop Down Data"/>
      <sheetName val="Rules "/>
      <sheetName val="[SHOPLIST.xls][SHOPLIST.xls]__5"/>
      <sheetName val="[SHOPLIST.xls][SHOPLIST.xls]7_4"/>
      <sheetName val="[SHOPLIST.xls][SHOPLIST.xls]7_5"/>
      <sheetName val="[SHOPLIST.xls]70_x005f_x0000___0_x0_3"/>
      <sheetName val="[SHOPLIST.xls][SHOPLIST_xls]7_5"/>
      <sheetName val="[SHOPLIST.xls]70?,/0?s«i?Æøí¬i?"/>
      <sheetName val="[SHOPLIST.xls][SHOPLIST_xls]__2"/>
      <sheetName val="[SHOPLIST.xls][SHOPLIST_xls]__3"/>
      <sheetName val="[SHOPLIST.xls][SHOPLIST_xls]__4"/>
      <sheetName val="[SHOPLIST.xls]70,/0s«i_x"/>
      <sheetName val="[SHOPLIST.xls]70_x0000_,/0_x0000_"/>
      <sheetName val="[SHOPLIST.xls]70___0_s__i_____4"/>
      <sheetName val="[SHOPLIST.xls][SHOPLIST.xls]7_6"/>
      <sheetName val="[SHOPLIST.xls]/VWVU))tÏØ0__3"/>
      <sheetName val="[SHOPLIST.xls]70,/0s«_iÆø_í¬_i"/>
      <sheetName val="[SHOPLIST.xls][SHOPLIST.xls]__6"/>
      <sheetName val="[SHOPLIST.xls]/VWVU))tÏØ0__4"/>
      <sheetName val="[SHOPLIST.xls][SHOPLIST_xls]__5"/>
      <sheetName val="갑지(추정)"/>
      <sheetName val="SUM-AIR-Submit"/>
      <sheetName val="Fitout"/>
      <sheetName val="Bill of Qty MEP"/>
      <sheetName val="6MONTHS"/>
      <sheetName val="[SHOPLIST.xls][SHOPLIST.xls]7_7"/>
      <sheetName val="[SHOPLIST.xls][SHOPLIST.xls]__7"/>
      <sheetName val="[SHOPLIST.xls][SHOPLIST.xls]__8"/>
      <sheetName val="[SHOPLIST.xls][SHOPLIST.xls]__9"/>
      <sheetName val="[SHOPLIST.xls][SHOPLIST.xls]_10"/>
      <sheetName val="[SHOPLIST.xls][SHOPLIST.xls]7_8"/>
      <sheetName val="[SHOPLIST.xls][SHOPLIST.xls]7_9"/>
      <sheetName val="[SHOPLIST.xls][SHOPLIST.xls]_11"/>
      <sheetName val="[SHOPLIST.xls][SHOPLIST.xls]_12"/>
      <sheetName val="[SHOPLIST.xls][SHOPLIST.xls]_13"/>
      <sheetName val="[SHOPLIST.xls][SHOPLIST.xls]_14"/>
      <sheetName val="[SHOPLIST.xls][SHOPLIST.xls]_15"/>
      <sheetName val="[SHOPLIST.xls][SHOPLIST.xls]_16"/>
      <sheetName val="[SHOPLIST.xls][SHOPLIST.xls]_17"/>
      <sheetName val="HĐ"/>
      <sheetName val="Data_Validation3"/>
      <sheetName val="CHUNG_CU_CARRILON3"/>
      <sheetName val="Div26_-_Elect3"/>
      <sheetName val="Update_list3"/>
      <sheetName val="Sinh_Nam_systems3"/>
      <sheetName val="DIE_profile3"/>
      <sheetName val="Import_tax3"/>
      <sheetName val="TONG_HOP_VL-NC3"/>
      <sheetName val="TONGKE3p_3"/>
      <sheetName val="TH_VL,_NC,_DDHT_Thanhphuoc3"/>
      <sheetName val="DON_GIA3"/>
      <sheetName val="CHITIET_VL-NC3"/>
      <sheetName val="TH_kinh_phi3"/>
      <sheetName val="KLDT_DIEN3"/>
      <sheetName val="Dinh_muc_CP_KTCB_khac3"/>
      <sheetName val="_SHOPLIST_xls_70,_0s«iÆøí¬i2"/>
      <sheetName val="_SHOPLIST_xls__SHOPLIST_xls_704"/>
      <sheetName val="_SHOPLIST_xls__SHOPLIST_xls_705"/>
      <sheetName val="quotation_2"/>
      <sheetName val="Bill_5_-_Carpark2"/>
      <sheetName val="BOQ_-_summary__32"/>
      <sheetName val="_SHOPLIST_xls_702"/>
      <sheetName val="NKSC_thue2"/>
      <sheetName val="05__Data_Cash_Flow2"/>
      <sheetName val="MTO_REV_2(ARMOR)1"/>
      <sheetName val="Doi_so1"/>
      <sheetName val="CỘT_+_VÁCH_B2-B41"/>
      <sheetName val="[SHOPLIST_xls]/VW1"/>
      <sheetName val="_SHOPLIST_xls__SHOPLIST_xls_706"/>
      <sheetName val="[SHOPLIST_xls]/VWVU))tÏØ0__2"/>
      <sheetName val="[SHOPLIST_xls]/VWVU))tÏØ0__3"/>
      <sheetName val="Du_thau1"/>
      <sheetName val="Door_&amp;_Window-_Schedule1"/>
      <sheetName val="Buy_vs__Lease_Car1"/>
      <sheetName val="GIÁ_TRỊ_GĐ21"/>
      <sheetName val="GIẤY_ĐỀ_NGHỊ_THANH_TOÁN_GĐ11"/>
      <sheetName val="GIẤY_ĐỀ_NGHỊ_THANH_TOÁN_GĐ21"/>
      <sheetName val="bìa_trước1"/>
      <sheetName val="bìa_sau1"/>
      <sheetName val="DANH_MỤC1"/>
      <sheetName val="BẢNG_THDG1"/>
      <sheetName val="BẢNG_DG1"/>
      <sheetName val="BẢNG_THỐNG_KÊ1"/>
      <sheetName val="HUTKHOI_21"/>
      <sheetName val="WC_21"/>
      <sheetName val="GIO_TUOI_21"/>
      <sheetName val="GIO_THẢI_21"/>
      <sheetName val="TAO_AP1"/>
      <sheetName val="_VWVU))tÏØ0__2"/>
      <sheetName val="_SHOPLIST_xls__VW1"/>
      <sheetName val="BOQ(ELEC)_1"/>
      <sheetName val="Điện_căn_hộ041"/>
      <sheetName val="Điện_căn_hộ051"/>
      <sheetName val="Điện_căn_hộ091"/>
      <sheetName val="Điện_căn_hộ101"/>
      <sheetName val="Điện_căn_hộ111"/>
      <sheetName val="Điện_căn_hộ121"/>
      <sheetName val="Điện_căn_hộ131"/>
      <sheetName val="Điện_căn_hộ171"/>
      <sheetName val="Điện_căn_hộ_181"/>
      <sheetName val="Điện_căn_hộ_211"/>
      <sheetName val="CS+OC+CSSC_HL1"/>
      <sheetName val="CN_CH1"/>
      <sheetName val="Tong_hop1"/>
      <sheetName val="MTO_REV_2_ARMOR_1"/>
      <sheetName val="[SHOPLIST_xls]70,2"/>
      <sheetName val="Liệt_kê1"/>
      <sheetName val="Vat_tu_XD1"/>
      <sheetName val="Nhan_cong1"/>
      <sheetName val="Ｎｏ_131"/>
      <sheetName val="Budget_Code1"/>
      <sheetName val="[SHOPLIST_xls]/VWVU))tÏØ0__12"/>
      <sheetName val="[SHOPLIST_xls]70,/0s«iÆøí¬1"/>
      <sheetName val="[SHOPLIST_xls]70,/0s«i_x"/>
      <sheetName val="_SHOPLIST_xls__VWVU))tÏØ0__"/>
      <sheetName val="_SHOPLIST_xls__VWVU))tÏØ0__1"/>
      <sheetName val="_SHOPLIST_xls_70,1"/>
      <sheetName val="Geneí¬"/>
      <sheetName val="Goi_thau"/>
      <sheetName val="Bill_1_CPC"/>
      <sheetName val="Bill_2_BoQ__(2)"/>
      <sheetName val="Bảng_TH_cửa_CC"/>
      <sheetName val="Bảng_TH_PK"/>
      <sheetName val="Chi_tiết"/>
      <sheetName val="Bill_3_PL"/>
      <sheetName val="Bill_4_Do_boc_KL"/>
      <sheetName val="Bill5__VT_CDT_cap"/>
      <sheetName val="I_1"/>
      <sheetName val="I_2"/>
      <sheetName val="I_3"/>
      <sheetName val="I_4"/>
      <sheetName val="I_5"/>
      <sheetName val="[SHOPLIST_xls][SHOPLIST_xls]705"/>
      <sheetName val="A__Electrical"/>
      <sheetName val="_SHOPLIST_xls__VWVU))tÏØ0__11"/>
      <sheetName val="_SHOPLIST_xls_70,_0s«iÆøí¬1"/>
      <sheetName val="Priced_BOQ"/>
      <sheetName val="TH_thiet_bi"/>
      <sheetName val="TH_vat_tu"/>
      <sheetName val="TH_may_TC"/>
      <sheetName val="Bang_phan_tich"/>
      <sheetName val="DM_Chi_phi"/>
      <sheetName val="Z-_GENERAL_PRICE_SUMMARY1"/>
      <sheetName val="Materials_"/>
      <sheetName val="[SHOPLIST_xls]/VWVU))"/>
      <sheetName val="[SHOPLIST_xls][SHOPLIST_xls][SH"/>
      <sheetName val="Gra¦)???VW?????????_U"/>
      <sheetName val="/VW?VU?)???)??????tÏØ0 ?? "/>
      <sheetName val="/VW?VU?)???)??????tÏØ0_??_"/>
      <sheetName val="[SHOPLIST_xls]70?,/0?s«i?Æøí¬"/>
      <sheetName val="[SHOPLIST_xls][SHOPLIST_xls]70?"/>
      <sheetName val="Geneí¬i??_x0"/>
      <sheetName val="70?,_0?s«i_x"/>
      <sheetName val="Gra¦)??_x0"/>
      <sheetName val="_SHOPLIST_xls_70?,_0_x000"/>
      <sheetName val="70?,/0?s«i_x"/>
      <sheetName val="[SHOPLIST_xls]70?,/0?s«i_x"/>
      <sheetName val="Geneí¬_i??_?0_"/>
      <sheetName val="70?,/0?s«_i?Æø_í¬_i?"/>
      <sheetName val="[SHOPLIST_xls]70?,/0?s«_i?Æø_í¬"/>
      <sheetName val="ConferenceCentre?옰ʒ䄂ʒ鵠ʐ䄂ʒ閐̐脭め?"/>
      <sheetName val="[SHOPLIST_xls]/VW?VU?)???)???"/>
      <sheetName val="VO-Curtain_Wall"/>
      <sheetName val="Bar_Sched"/>
      <sheetName val="GTNC"/>
      <sheetName val="Rate_analysis12"/>
      <sheetName val="[SHOPLIST_xls]/VWVU))tÏØ0  "/>
      <sheetName val="[SHOPLIST_xls]70,/0s«_iÆø_í¬_i"/>
      <sheetName val="[SHOPLIST_xls]70?,/0?s«i?Æøí¬i?"/>
      <sheetName val="Base_BM-rebar"/>
      <sheetName val="Staff"/>
      <sheetName val="Staff OLD "/>
      <sheetName val="B2-DV No.02"/>
      <sheetName val="11"/>
      <sheetName val="Trade Summary"/>
      <sheetName val="Sheet Index"/>
      <sheetName val="Flight-1"/>
      <sheetName val="2 Plex"/>
      <sheetName val="Sheet1 (2)"/>
      <sheetName val="4 Plex"/>
      <sheetName val="6 Plex "/>
      <sheetName val="Detailed Summary"/>
      <sheetName val="Sheet1 (3)"/>
      <sheetName val="Sheet1 (4)"/>
      <sheetName val="Print"/>
      <sheetName val="Config-C"/>
      <sheetName val="Service"/>
      <sheetName val="precast RC element"/>
      <sheetName val="pile Fabrication"/>
      <sheetName val="New Bld"/>
      <sheetName val="BHANDUP"/>
      <sheetName val="Report"/>
      <sheetName val="PROCTOR"/>
      <sheetName val="Status Summary"/>
      <sheetName val="Bill-1"/>
      <sheetName val="abs-boq"/>
      <sheetName val="New Rates"/>
      <sheetName val="IRR_CHAMBER"/>
      <sheetName val="material"/>
      <sheetName val="Labour Rates"/>
      <sheetName val="machinery"/>
      <sheetName val="Sheet5"/>
      <sheetName val="Status "/>
      <sheetName val="CLIENT BUDGET"/>
      <sheetName val="Reco-June 2019"/>
      <sheetName val="REMINING PROGRESS"/>
      <sheetName val="OS&amp;E  IT"/>
      <sheetName val="PAID AMOUNT"/>
      <sheetName val="IPA.21"/>
      <sheetName val="Order by owner"/>
      <sheetName val="IT"/>
      <sheetName val="PERLIM. Sammary"/>
      <sheetName val="KBEC"/>
      <sheetName val="retention"/>
      <sheetName val="RECOVER OF DOUBLE PAYMENT"/>
      <sheetName val="RECTIFICATION"/>
      <sheetName val="rathath al matar"/>
      <sheetName val="faradooni"/>
      <sheetName val="WOTEK"/>
      <sheetName val="MINERWA"/>
      <sheetName val="INTERNAL LINE "/>
      <sheetName val="MINOVA.AL DEYAR"/>
      <sheetName val="OTIS"/>
      <sheetName val="WATERMAN"/>
      <sheetName val="BEAM"/>
      <sheetName val="PLATFORMS"/>
      <sheetName val="BLUE RHINE"/>
      <sheetName val="MALT"/>
      <sheetName val="NATIONAL PAINT"/>
      <sheetName val="MESSARA"/>
      <sheetName val="FIRE RATED"/>
      <sheetName val="MARBLE"/>
      <sheetName val="JASWAY"/>
      <sheetName val="Calculations"/>
      <sheetName val="B-3.2 EB"/>
      <sheetName val="Ragama"/>
      <sheetName val="B-3"/>
      <sheetName val="Harewood"/>
      <sheetName val="Detbal"/>
      <sheetName val="Balance Sheet"/>
      <sheetName val="1 - Main Building"/>
      <sheetName val="1 - Summary"/>
      <sheetName val="2 - Landscaping Works"/>
      <sheetName val="2 - Summary"/>
      <sheetName val="4 - Bldg Infra"/>
      <sheetName val="4 - Summary"/>
      <sheetName val="Asset Allocation (CR)"/>
      <sheetName val="Project Benchmarking"/>
      <sheetName val="Dashboard (1)"/>
      <sheetName val="Remeasure"/>
      <sheetName val="VO Agreed to Unifier Sum"/>
      <sheetName val="VO Not yet Agreed to Unifier"/>
      <sheetName val="VO Anticipated to Unifier"/>
      <sheetName val="EW to Unifier"/>
      <sheetName val="Prov Sums"/>
      <sheetName val="Claims"/>
      <sheetName val="Other Amounts"/>
      <sheetName val="LANGUAGE"/>
      <sheetName val="Summary "/>
      <sheetName val="B04-A - DIA SUDEER"/>
      <sheetName val="04D - Tanmyat"/>
      <sheetName val="13- B04-B &amp; C"/>
      <sheetName val=" SITE 09 B04-B&amp;C-AFAQ"/>
      <sheetName val="KP1590_E"/>
      <sheetName val="Model"/>
      <sheetName val="CONSTRUCTION COMPONENT"/>
      <sheetName val="HB CEC schd 4.2"/>
      <sheetName val="HB CEC schd 4.3"/>
      <sheetName val="HB CEC schd 5.2"/>
      <sheetName val="HB CEC schd 6.2"/>
      <sheetName val="HB CEC schd 7.2"/>
      <sheetName val="HB CEC schd 9.2"/>
      <sheetName val="Doha Farm"/>
      <sheetName val="Dropdown List"/>
      <sheetName val="GFA_HQ_Building20"/>
      <sheetName val="GFA_Conference19"/>
      <sheetName val="BQ_External19"/>
      <sheetName val="Graph_Data_(DO_NOT_PRINT)18"/>
      <sheetName val="StattCo_yCharges18"/>
      <sheetName val="Penthouse_Apartment18"/>
      <sheetName val="LABOUR_HISTOGRAM19"/>
      <sheetName val="Chiet_tinh_dz2218"/>
      <sheetName val="Chiet_tinh_dz3518"/>
      <sheetName val="@risk_rents_and_incentives18"/>
      <sheetName val="Car_park_lease18"/>
      <sheetName val="Net_rent_analysis18"/>
      <sheetName val="Poz-1_18"/>
      <sheetName val="Lab_Cum_Hist18"/>
      <sheetName val="Raw_Data18"/>
      <sheetName val="Bill_No__218"/>
      <sheetName val="CT_Thang_Mo18"/>
      <sheetName val="budget_summary_(2)17"/>
      <sheetName val="Budget_Analysis_Summary17"/>
      <sheetName val="LEVEL_SHEET18"/>
      <sheetName val="SPT_vs_PHI18"/>
      <sheetName val="CT__PL17"/>
      <sheetName val="Projet,_methodes_&amp;_couts17"/>
      <sheetName val="Risques_majeurs_&amp;_Frais_Ind_17"/>
      <sheetName val="FOL_-_Bar18"/>
      <sheetName val="intr_stool_brkup17"/>
      <sheetName val="Tender_Summary18"/>
      <sheetName val="Insurance_Ext18"/>
      <sheetName val="Customize_Your_Invoice18"/>
      <sheetName val="HVAC_BoQ18"/>
      <sheetName val="Body_Sheet17"/>
      <sheetName val="1_0_Executive_Summary17"/>
      <sheetName val="Top_sheet17"/>
      <sheetName val="Ap_A15"/>
      <sheetName val="SHOPLIST_xls14"/>
      <sheetName val="Bill_216"/>
      <sheetName val="2_Div_14_15"/>
      <sheetName val="beam-reinft-IIInd_floor14"/>
      <sheetName val="beam-reinft-machine_rm14"/>
      <sheetName val="Bill_115"/>
      <sheetName val="Bill_315"/>
      <sheetName val="Bill_415"/>
      <sheetName val="Bill_515"/>
      <sheetName val="Bill_615"/>
      <sheetName val="Bill_715"/>
      <sheetName val="POWER_ASSUMPTIONS14"/>
      <sheetName val="Invoice_Summary14"/>
      <sheetName val="PROJECT_BRIEF15"/>
      <sheetName val="Civil_Boq13"/>
      <sheetName val="C_(3)15"/>
      <sheetName val="Dubai_golf14"/>
      <sheetName val="WITHOUT_C&amp;I_PROFIT_(3)13"/>
      <sheetName val="HIRED_LABOUR_CODE11"/>
      <sheetName val="PA-_Consutant_11"/>
      <sheetName val="foot-slab_reinft11"/>
      <sheetName val="Softscape_Buildup13"/>
      <sheetName val="Mat'l_Rate13"/>
      <sheetName val="VALVE_CHAMBERS10"/>
      <sheetName val="Fire_Hydrants10"/>
      <sheetName val="B_GATE_VALVE10"/>
      <sheetName val="Sub_G1_Fire10"/>
      <sheetName val="Sub_G12_Fire10"/>
      <sheetName val="Activity_List13"/>
      <sheetName val="BILL_COV11"/>
      <sheetName val="Ra__stair11"/>
      <sheetName val="DETAILED__BOQ11"/>
      <sheetName val="M-Book_for_Conc11"/>
      <sheetName val="M-Book_for_FW11"/>
      <sheetName val="Materials_Cost(PCC)10"/>
      <sheetName val="India_F&amp;S_Template10"/>
      <sheetName val="IO_LIST10"/>
      <sheetName val="Material_10"/>
      <sheetName val="Quote_Sheet10"/>
      <sheetName val="Day_work10"/>
      <sheetName val="Working_for_RCC9"/>
      <sheetName val="Div__029"/>
      <sheetName val="Div__039"/>
      <sheetName val="Div__049"/>
      <sheetName val="Div__059"/>
      <sheetName val="Div__069"/>
      <sheetName val="Div__079"/>
      <sheetName val="Div__089"/>
      <sheetName val="Div__099"/>
      <sheetName val="Div__109"/>
      <sheetName val="Div__119"/>
      <sheetName val="Div__129"/>
      <sheetName val="Div_139"/>
      <sheetName val="EXTERNAL_WORKS9"/>
      <sheetName val="PRODUCTIVITY_RATE9"/>
      <sheetName val="U_R_A_-_MASONRY9"/>
      <sheetName val="U_R_A_-_PLASTERING9"/>
      <sheetName val="U_R_A_-_TILING9"/>
      <sheetName val="U_R_A_-_GRANITE9"/>
      <sheetName val="V_C_2_-_EARTHWORK9"/>
      <sheetName val="V_C_9_-_CERAMIC9"/>
      <sheetName val="V_C_9_-_FINISHES9"/>
      <sheetName val="Elemental_Buildup8"/>
      <sheetName val="Eq__Mobilization9"/>
      <sheetName val="w't_table8"/>
      <sheetName val="bill_nb2-Plumbing_&amp;_Drainag8"/>
      <sheetName val="Pl_&amp;_Dr_B8"/>
      <sheetName val="Pl_&amp;_Dr_G8"/>
      <sheetName val="Pl_&amp;_Dr_M8"/>
      <sheetName val="Pl_&amp;_Dr_18"/>
      <sheetName val="Pl_&amp;_Dr_28"/>
      <sheetName val="Pl_&amp;_Dr_38"/>
      <sheetName val="Pl_&amp;_Dr_48"/>
      <sheetName val="Pl_&amp;_Dr_58"/>
      <sheetName val="Pl_&amp;_Dr_68"/>
      <sheetName val="Pl_&amp;_Dr_78"/>
      <sheetName val="Pl_&amp;_Dr_88"/>
      <sheetName val="Pl_&amp;_Dr_R8"/>
      <sheetName val="FF_B8"/>
      <sheetName val="FF_G8"/>
      <sheetName val="FF_M8"/>
      <sheetName val="FF_18"/>
      <sheetName val="FF_2_8"/>
      <sheetName val="FF_38"/>
      <sheetName val="FF_48"/>
      <sheetName val="FF_58"/>
      <sheetName val="FF_6_8"/>
      <sheetName val="FF_78"/>
      <sheetName val="FF_88"/>
      <sheetName val="FF_R8"/>
      <sheetName val="bill_nb3-FF8"/>
      <sheetName val="HVAC_B8"/>
      <sheetName val="HVAC_G8"/>
      <sheetName val="HVAC_M8"/>
      <sheetName val="HVAC_18"/>
      <sheetName val="HVAC_28"/>
      <sheetName val="HVAC_38"/>
      <sheetName val="HVAC_48"/>
      <sheetName val="HVAC_58"/>
      <sheetName val="HVAC_68"/>
      <sheetName val="HVAC_78"/>
      <sheetName val="HVAC_88"/>
      <sheetName val="HVAC_R8"/>
      <sheetName val="bill_nb4-HVAC8"/>
      <sheetName val="SC_B8"/>
      <sheetName val="SC_G8"/>
      <sheetName val="SC_M8"/>
      <sheetName val="SC_18"/>
      <sheetName val="SC_28"/>
      <sheetName val="SC_38"/>
      <sheetName val="SC_48"/>
      <sheetName val="SC_58"/>
      <sheetName val="SC_68"/>
      <sheetName val="SC_78"/>
      <sheetName val="SC_88"/>
      <sheetName val="SC_R8"/>
      <sheetName val="AV_B8"/>
      <sheetName val="AV_G8"/>
      <sheetName val="AV_M8"/>
      <sheetName val="AV_18"/>
      <sheetName val="AV_28"/>
      <sheetName val="AV_38"/>
      <sheetName val="AV_48"/>
      <sheetName val="AV_58"/>
      <sheetName val="AV_68"/>
      <sheetName val="AV_78"/>
      <sheetName val="AV_88"/>
      <sheetName val="EL_B8"/>
      <sheetName val="EL_M8"/>
      <sheetName val="EL_18"/>
      <sheetName val="EL_28"/>
      <sheetName val="EL_38"/>
      <sheetName val="EL_48"/>
      <sheetName val="EL_58"/>
      <sheetName val="EL_68"/>
      <sheetName val="EL_78"/>
      <sheetName val="EL_88"/>
      <sheetName val="EL_R8"/>
      <sheetName val="EL_TR8"/>
      <sheetName val="8-_EL8"/>
      <sheetName val="FA_B8"/>
      <sheetName val="FA_G8"/>
      <sheetName val="FA_M8"/>
      <sheetName val="FA_18"/>
      <sheetName val="FA_28"/>
      <sheetName val="FA_38"/>
      <sheetName val="FA_48"/>
      <sheetName val="FA_58"/>
      <sheetName val="FA_68"/>
      <sheetName val="FA_78"/>
      <sheetName val="FA_88"/>
      <sheetName val="FA_R8"/>
      <sheetName val="9-_FA8"/>
      <sheetName val="BOQ_Direct_selling_cost10"/>
      <sheetName val="CHART_OF_ACCOUNTS9"/>
      <sheetName val="B185-B-9_19"/>
      <sheetName val="B185-B-9_29"/>
      <sheetName val="Material_List_8"/>
      <sheetName val="E-Bill_No_6_A-O9"/>
      <sheetName val="B09_19"/>
      <sheetName val="Division_220"/>
      <sheetName val="Division_48"/>
      <sheetName val="Division_58"/>
      <sheetName val="Division_68"/>
      <sheetName val="Division_78"/>
      <sheetName val="Division_88"/>
      <sheetName val="Division_98"/>
      <sheetName val="Division_108"/>
      <sheetName val="Division_128"/>
      <sheetName val="Division_148"/>
      <sheetName val="Division_2111"/>
      <sheetName val="Division_228"/>
      <sheetName val="Division_238"/>
      <sheetName val="Division_268"/>
      <sheetName val="Division_278"/>
      <sheetName val="Division_288"/>
      <sheetName val="Division_318"/>
      <sheetName val="Division_328"/>
      <sheetName val="Division_338"/>
      <sheetName val="PMWeb_data9"/>
      <sheetName val="PointNo_58"/>
      <sheetName val="SS_MH9"/>
      <sheetName val="2_2)Revised_Cash_Flow8"/>
      <sheetName val="입찰내역_발주처_양식8"/>
      <sheetName val="/VWVU))tÏØ0__8"/>
      <sheetName val="LIST_DO_NOT_REMOVE7"/>
      <sheetName val="Index_List8"/>
      <sheetName val="Type_List8"/>
      <sheetName val="File_Types8"/>
      <sheetName val="Chiet_t8"/>
      <sheetName val="Staffing_and_Rates_IA8"/>
      <sheetName val="B6_2_7"/>
      <sheetName val="PRECAST_lightconc-II10"/>
      <sheetName val="final_abstract10"/>
      <sheetName val="Summary_of_Work6"/>
      <sheetName val="Staff_Acco_6"/>
      <sheetName val="TBAL9697_-group_wise__sdpl6"/>
      <sheetName val="Employee_List6"/>
      <sheetName val="Project_Cost_Breakdown6"/>
      <sheetName val="Item-_Compact6"/>
      <sheetName val="E_&amp;_R6"/>
      <sheetName val="Рабочий_лист5"/>
      <sheetName val="SITE_WORK5"/>
      <sheetName val="Rate_summary5"/>
      <sheetName val="d-safe_DELUXE5"/>
      <sheetName val="Back_up5"/>
      <sheetName val="PT_141-_Site_A_Landscape5"/>
      <sheetName val="Annex_1_Sect_3a6"/>
      <sheetName val="Annex_1_Sect_3a_16"/>
      <sheetName val="Annex_1_Sect_3b6"/>
      <sheetName val="Annex_1_Sect_3c6"/>
      <sheetName val="HOURLY_RATES6"/>
      <sheetName val="RAB_AR&amp;STR5"/>
      <sheetName val="INDIGINEOUS_ITEMS_5"/>
      <sheetName val="train_cash5"/>
      <sheetName val="accom_cash5"/>
      <sheetName val="Duct_Accesories5"/>
      <sheetName val="Mall_waterproofing5"/>
      <sheetName val="MSCP_waterproofing5"/>
      <sheetName val="????_???_??5"/>
      <sheetName val="Common_Variables5"/>
      <sheetName val="[SHOPLIST_xls]70,/0s«iÆøí¬i5"/>
      <sheetName val="GPL_Revenu_Update5"/>
      <sheetName val="DO_NOT_TOUCH5"/>
      <sheetName val="Work_Type5"/>
      <sheetName val="Labour_&amp;_Plant5"/>
      <sheetName val="Ave_wtd_rates5"/>
      <sheetName val="Debits_as_on_12_04_085"/>
      <sheetName val="STAFFSCHED_5"/>
      <sheetName val="TRIAL_BALANCE5"/>
      <sheetName val="PROJECT_BRIEF(EX_NEW)5"/>
      <sheetName val="Risk_Breakdown_Structure4"/>
      <sheetName val="AREA_OF_APPLICATION4"/>
      <sheetName val="Geneí¬_i4"/>
      <sheetName val="steel_total4"/>
      <sheetName val="ELE_BOQ4"/>
      <sheetName val="Resumo_Empreitadas1"/>
      <sheetName val="PPA_Summary1"/>
      <sheetName val="Mix_Design1"/>
      <sheetName val="%_prog_figs_-u5_and_total1"/>
      <sheetName val="Floor_Box_2"/>
      <sheetName val="Site_Dev_BOQ"/>
      <sheetName val="Dash_board"/>
      <sheetName val="Data_Sheet"/>
      <sheetName val="tender_allowances"/>
      <sheetName val="_Summary_BKG_034"/>
      <sheetName val="BILL_3R"/>
      <sheetName val="Area_Breakdown_PER_LEVEL_LINK"/>
      <sheetName val="CF_Input"/>
      <sheetName val="DATA_INPUT"/>
      <sheetName val="Vordruck-Nr__7_1_3_D"/>
      <sheetName val="M&amp;A_D"/>
      <sheetName val="M&amp;A_E"/>
      <sheetName val="M&amp;A_G"/>
      <sheetName val="1_2_Staff_Schedule1"/>
      <sheetName val="Bill_10"/>
      <sheetName val="Labour_Costs"/>
      <sheetName val="BLOCK-A_(MEA_SHEET)"/>
      <sheetName val="/VWVU))tÏØ0__9"/>
      <sheetName val="GFA_HQ_Building21"/>
      <sheetName val="GFA_Conference20"/>
      <sheetName val="BQ_External20"/>
      <sheetName val="Graph_Data_(DO_NOT_PRINT)19"/>
      <sheetName val="StattCo_yCharges19"/>
      <sheetName val="Penthouse_Apartment19"/>
      <sheetName val="LABOUR_HISTOGRAM20"/>
      <sheetName val="Chiet_tinh_dz2219"/>
      <sheetName val="Chiet_tinh_dz3519"/>
      <sheetName val="@risk_rents_and_incentives19"/>
      <sheetName val="Car_park_lease19"/>
      <sheetName val="Net_rent_analysis19"/>
      <sheetName val="Poz-1_19"/>
      <sheetName val="Lab_Cum_Hist19"/>
      <sheetName val="Raw_Data19"/>
      <sheetName val="Bill_No__219"/>
      <sheetName val="CT_Thang_Mo19"/>
      <sheetName val="budget_summary_(2)18"/>
      <sheetName val="Budget_Analysis_Summary18"/>
      <sheetName val="LEVEL_SHEET19"/>
      <sheetName val="SPT_vs_PHI19"/>
      <sheetName val="CT__PL18"/>
      <sheetName val="Projet,_methodes_&amp;_couts18"/>
      <sheetName val="Risques_majeurs_&amp;_Frais_Ind_18"/>
      <sheetName val="FOL_-_Bar19"/>
      <sheetName val="intr_stool_brkup18"/>
      <sheetName val="Tender_Summary19"/>
      <sheetName val="Insurance_Ext19"/>
      <sheetName val="Customize_Your_Invoice19"/>
      <sheetName val="HVAC_BoQ19"/>
      <sheetName val="Body_Sheet18"/>
      <sheetName val="1_0_Executive_Summary18"/>
      <sheetName val="Top_sheet18"/>
      <sheetName val="Ap_A16"/>
      <sheetName val="SHOPLIST_xls15"/>
      <sheetName val="Bill_217"/>
      <sheetName val="2_Div_14_16"/>
      <sheetName val="beam-reinft-IIInd_floor15"/>
      <sheetName val="beam-reinft-machine_rm15"/>
      <sheetName val="Bill_116"/>
      <sheetName val="Bill_316"/>
      <sheetName val="Bill_416"/>
      <sheetName val="Bill_516"/>
      <sheetName val="Bill_616"/>
      <sheetName val="Bill_716"/>
      <sheetName val="POWER_ASSUMPTIONS15"/>
      <sheetName val="Invoice_Summary15"/>
      <sheetName val="PROJECT_BRIEF16"/>
      <sheetName val="Civil_Boq14"/>
      <sheetName val="C_(3)16"/>
      <sheetName val="Dubai_golf15"/>
      <sheetName val="WITHOUT_C&amp;I_PROFIT_(3)14"/>
      <sheetName val="HIRED_LABOUR_CODE12"/>
      <sheetName val="PA-_Consutant_12"/>
      <sheetName val="foot-slab_reinft12"/>
      <sheetName val="Softscape_Buildup14"/>
      <sheetName val="Mat'l_Rate14"/>
      <sheetName val="VALVE_CHAMBERS11"/>
      <sheetName val="Fire_Hydrants11"/>
      <sheetName val="B_GATE_VALVE11"/>
      <sheetName val="Sub_G1_Fire11"/>
      <sheetName val="Sub_G12_Fire11"/>
      <sheetName val="Activity_List14"/>
      <sheetName val="BILL_COV12"/>
      <sheetName val="Ra__stair12"/>
      <sheetName val="DETAILED__BOQ12"/>
      <sheetName val="M-Book_for_Conc12"/>
      <sheetName val="M-Book_for_FW12"/>
      <sheetName val="Materials_Cost(PCC)11"/>
      <sheetName val="India_F&amp;S_Template11"/>
      <sheetName val="IO_LIST11"/>
      <sheetName val="Material_11"/>
      <sheetName val="Quote_Sheet11"/>
      <sheetName val="Day_work11"/>
      <sheetName val="Working_for_RCC10"/>
      <sheetName val="Div__0210"/>
      <sheetName val="Div__0310"/>
      <sheetName val="Div__0410"/>
      <sheetName val="Div__0510"/>
      <sheetName val="Div__0610"/>
      <sheetName val="Div__0710"/>
      <sheetName val="Div__0810"/>
      <sheetName val="Div__0910"/>
      <sheetName val="Div__1010"/>
      <sheetName val="Div__1110"/>
      <sheetName val="Div__1210"/>
      <sheetName val="Div_1310"/>
      <sheetName val="EXTERNAL_WORKS10"/>
      <sheetName val="PRODUCTIVITY_RATE10"/>
      <sheetName val="U_R_A_-_MASONRY10"/>
      <sheetName val="U_R_A_-_PLASTERING10"/>
      <sheetName val="U_R_A_-_TILING10"/>
      <sheetName val="U_R_A_-_GRANITE10"/>
      <sheetName val="V_C_2_-_EARTHWORK10"/>
      <sheetName val="V_C_9_-_CERAMIC10"/>
      <sheetName val="V_C_9_-_FINISHES10"/>
      <sheetName val="Elemental_Buildup9"/>
      <sheetName val="BOQ_Direct_selling_cost11"/>
      <sheetName val="Eq__Mobilization10"/>
      <sheetName val="PointNo_59"/>
      <sheetName val="w't_table9"/>
      <sheetName val="bill_nb2-Plumbing_&amp;_Drainag9"/>
      <sheetName val="Pl_&amp;_Dr_B9"/>
      <sheetName val="Pl_&amp;_Dr_G9"/>
      <sheetName val="Pl_&amp;_Dr_M9"/>
      <sheetName val="Pl_&amp;_Dr_19"/>
      <sheetName val="Pl_&amp;_Dr_29"/>
      <sheetName val="Pl_&amp;_Dr_39"/>
      <sheetName val="Pl_&amp;_Dr_49"/>
      <sheetName val="Pl_&amp;_Dr_59"/>
      <sheetName val="Pl_&amp;_Dr_69"/>
      <sheetName val="Pl_&amp;_Dr_79"/>
      <sheetName val="Pl_&amp;_Dr_89"/>
      <sheetName val="Pl_&amp;_Dr_R9"/>
      <sheetName val="FF_B9"/>
      <sheetName val="FF_G9"/>
      <sheetName val="FF_M9"/>
      <sheetName val="FF_19"/>
      <sheetName val="FF_2_9"/>
      <sheetName val="FF_39"/>
      <sheetName val="FF_49"/>
      <sheetName val="FF_59"/>
      <sheetName val="FF_6_9"/>
      <sheetName val="FF_79"/>
      <sheetName val="FF_89"/>
      <sheetName val="FF_R9"/>
      <sheetName val="bill_nb3-FF9"/>
      <sheetName val="HVAC_B9"/>
      <sheetName val="HVAC_G9"/>
      <sheetName val="HVAC_M9"/>
      <sheetName val="HVAC_19"/>
      <sheetName val="HVAC_29"/>
      <sheetName val="HVAC_39"/>
      <sheetName val="HVAC_49"/>
      <sheetName val="HVAC_59"/>
      <sheetName val="HVAC_69"/>
      <sheetName val="HVAC_79"/>
      <sheetName val="HVAC_89"/>
      <sheetName val="HVAC_R9"/>
      <sheetName val="bill_nb4-HVAC9"/>
      <sheetName val="SC_B9"/>
      <sheetName val="SC_G9"/>
      <sheetName val="SC_M9"/>
      <sheetName val="SC_19"/>
      <sheetName val="SC_29"/>
      <sheetName val="SC_39"/>
      <sheetName val="SC_49"/>
      <sheetName val="SC_59"/>
      <sheetName val="SC_69"/>
      <sheetName val="SC_79"/>
      <sheetName val="SC_89"/>
      <sheetName val="SC_R9"/>
      <sheetName val="AV_B9"/>
      <sheetName val="AV_G9"/>
      <sheetName val="AV_M9"/>
      <sheetName val="AV_19"/>
      <sheetName val="AV_29"/>
      <sheetName val="AV_39"/>
      <sheetName val="AV_49"/>
      <sheetName val="AV_59"/>
      <sheetName val="AV_69"/>
      <sheetName val="AV_79"/>
      <sheetName val="AV_89"/>
      <sheetName val="EL_B9"/>
      <sheetName val="EL_M9"/>
      <sheetName val="EL_19"/>
      <sheetName val="EL_29"/>
      <sheetName val="EL_39"/>
      <sheetName val="EL_49"/>
      <sheetName val="EL_59"/>
      <sheetName val="EL_69"/>
      <sheetName val="EL_79"/>
      <sheetName val="EL_89"/>
      <sheetName val="EL_R9"/>
      <sheetName val="EL_TR9"/>
      <sheetName val="8-_EL9"/>
      <sheetName val="FA_B9"/>
      <sheetName val="FA_G9"/>
      <sheetName val="FA_M9"/>
      <sheetName val="FA_19"/>
      <sheetName val="FA_29"/>
      <sheetName val="FA_39"/>
      <sheetName val="FA_49"/>
      <sheetName val="FA_59"/>
      <sheetName val="FA_69"/>
      <sheetName val="FA_79"/>
      <sheetName val="FA_89"/>
      <sheetName val="FA_R9"/>
      <sheetName val="9-_FA9"/>
      <sheetName val="B185-B-9_110"/>
      <sheetName val="B185-B-9_210"/>
      <sheetName val="CHART_OF_ACCOUNTS10"/>
      <sheetName val="Index_List9"/>
      <sheetName val="Type_List9"/>
      <sheetName val="File_Types9"/>
      <sheetName val="E-Bill_No_6_A-O10"/>
      <sheetName val="PMWeb_data10"/>
      <sheetName val="SS_MH10"/>
      <sheetName val="Material_List_9"/>
      <sheetName val="2_2)Revised_Cash_Flow9"/>
      <sheetName val="B09_110"/>
      <sheetName val="Project_Cost_Breakdown7"/>
      <sheetName val="입찰내역_발주처_양식9"/>
      <sheetName val="Division_229"/>
      <sheetName val="Division_49"/>
      <sheetName val="Division_59"/>
      <sheetName val="Division_69"/>
      <sheetName val="Division_79"/>
      <sheetName val="Division_89"/>
      <sheetName val="Division_99"/>
      <sheetName val="Division_109"/>
      <sheetName val="Division_129"/>
      <sheetName val="Division_149"/>
      <sheetName val="Division_2112"/>
      <sheetName val="Division_2210"/>
      <sheetName val="Division_239"/>
      <sheetName val="Division_269"/>
      <sheetName val="Division_279"/>
      <sheetName val="Division_289"/>
      <sheetName val="Division_319"/>
      <sheetName val="Division_329"/>
      <sheetName val="Division_339"/>
      <sheetName val="LIST_DO_NOT_REMOVE8"/>
      <sheetName val="PRECAST_lightconc-II11"/>
      <sheetName val="final_abstract11"/>
      <sheetName val="Staff_Acco_7"/>
      <sheetName val="TBAL9697_-group_wise__sdpl7"/>
      <sheetName val="Chiet_t9"/>
      <sheetName val="Staffing_and_Rates_IA9"/>
      <sheetName val="B6_2_8"/>
      <sheetName val="Summary_of_Work7"/>
      <sheetName val="Employee_List7"/>
      <sheetName val="Item-_Compact7"/>
      <sheetName val="E_&amp;_R7"/>
      <sheetName val="Рабочий_лист6"/>
      <sheetName val="SITE_WORK6"/>
      <sheetName val="Rate_summary6"/>
      <sheetName val="RAB_AR&amp;STR6"/>
      <sheetName val="d-safe_DELUXE6"/>
      <sheetName val="Back_up6"/>
      <sheetName val="PT_141-_Site_A_Landscape6"/>
      <sheetName val="Annex_1_Sect_3a7"/>
      <sheetName val="Annex_1_Sect_3a_17"/>
      <sheetName val="Annex_1_Sect_3b7"/>
      <sheetName val="Annex_1_Sect_3c7"/>
      <sheetName val="HOURLY_RATES7"/>
      <sheetName val="train_cash6"/>
      <sheetName val="accom_cash6"/>
      <sheetName val="INDIGINEOUS_ITEMS_6"/>
      <sheetName val="Duct_Accesories6"/>
      <sheetName val="Mall_waterproofing6"/>
      <sheetName val="MSCP_waterproofing6"/>
      <sheetName val="????_???_??6"/>
      <sheetName val="Common_Variables6"/>
      <sheetName val="[SHOPLIST_xls]70,/0s«iÆøí¬i6"/>
      <sheetName val="GPL_Revenu_Update6"/>
      <sheetName val="DO_NOT_TOUCH6"/>
      <sheetName val="Work_Type6"/>
      <sheetName val="Labour_&amp;_Plant6"/>
      <sheetName val="Ave_wtd_rates6"/>
      <sheetName val="Debits_as_on_12_04_086"/>
      <sheetName val="STAFFSCHED_6"/>
      <sheetName val="TRIAL_BALANCE6"/>
      <sheetName val="[SHOPLIST_xls][SHOPLIST_xls]706"/>
      <sheetName val="PROJECT_BRIEF(EX_NEW)6"/>
      <sheetName val="AREA_OF_APPLICATION5"/>
      <sheetName val="Risk_Breakdown_Structure5"/>
      <sheetName val="Geneí¬_i5"/>
      <sheetName val="steel_total5"/>
      <sheetName val="ELE_BOQ5"/>
      <sheetName val="Z-_GENERAL_PRICE_SUMMARY2"/>
      <sheetName val="Resumo_Empreitadas2"/>
      <sheetName val="PPA_Summary2"/>
      <sheetName val="Mix_Design2"/>
      <sheetName val="%_prog_figs_-u5_and_total2"/>
      <sheetName val="_VWVU))tÏØ0__3"/>
      <sheetName val="Floor_Box_3"/>
      <sheetName val="Equipment_Rates1"/>
      <sheetName val="Cashflow_projection1"/>
      <sheetName val="[SHOPLIST_xls][SHOPLIST_xls][S1"/>
      <sheetName val="E_H_-_H__W_P_1"/>
      <sheetName val="E__H__Treatment_for_pile_cap1"/>
      <sheetName val="[SHOPLIST_xls][SHOPLIST_xls]707"/>
      <sheetName val="Materials_1"/>
      <sheetName val="GFA_HQ_Building22"/>
      <sheetName val="GFA_Conference21"/>
      <sheetName val="BQ_External21"/>
      <sheetName val="Penthouse_Apartment20"/>
      <sheetName val="StattCo_yCharges20"/>
      <sheetName val="LABOUR_HISTOGRAM21"/>
      <sheetName val="Raw_Data20"/>
      <sheetName val="Chiet_tinh_dz2220"/>
      <sheetName val="Chiet_tinh_dz3520"/>
      <sheetName val="@risk_rents_and_incentives20"/>
      <sheetName val="Car_park_lease20"/>
      <sheetName val="Net_rent_analysis20"/>
      <sheetName val="Poz-1_20"/>
      <sheetName val="CT_Thang_Mo20"/>
      <sheetName val="Lab_Cum_Hist20"/>
      <sheetName val="Graph_Data_(DO_NOT_PRINT)20"/>
      <sheetName val="Bill_No__220"/>
      <sheetName val="budget_summary_(2)19"/>
      <sheetName val="Budget_Analysis_Summary19"/>
      <sheetName val="CT__PL19"/>
      <sheetName val="FOL_-_Bar20"/>
      <sheetName val="LEVEL_SHEET20"/>
      <sheetName val="SPT_vs_PHI20"/>
      <sheetName val="Tender_Summary20"/>
      <sheetName val="Insurance_Ext20"/>
      <sheetName val="Projet,_methodes_&amp;_couts19"/>
      <sheetName val="Risques_majeurs_&amp;_Frais_Ind_19"/>
      <sheetName val="Customize_Your_Invoice20"/>
      <sheetName val="HVAC_BoQ20"/>
      <sheetName val="Top_sheet19"/>
      <sheetName val="intr_stool_brkup19"/>
      <sheetName val="Body_Sheet19"/>
      <sheetName val="1_0_Executive_Summary19"/>
      <sheetName val="2_Div_14_17"/>
      <sheetName val="Bill_218"/>
      <sheetName val="Invoice_Summary16"/>
      <sheetName val="SHOPLIST_xls16"/>
      <sheetName val="Ap_A17"/>
      <sheetName val="PROJECT_BRIEF17"/>
      <sheetName val="Bill_117"/>
      <sheetName val="Bill_317"/>
      <sheetName val="Bill_417"/>
      <sheetName val="Bill_517"/>
      <sheetName val="Bill_617"/>
      <sheetName val="Bill_717"/>
      <sheetName val="beam-reinft-IIInd_floor16"/>
      <sheetName val="POWER_ASSUMPTIONS16"/>
      <sheetName val="Dubai_golf16"/>
      <sheetName val="beam-reinft-machine_rm16"/>
      <sheetName val="C_(3)17"/>
      <sheetName val="Softscape_Buildup15"/>
      <sheetName val="Mat'l_Rate15"/>
      <sheetName val="Civil_Boq15"/>
      <sheetName val="HIRED_LABOUR_CODE13"/>
      <sheetName val="PA-_Consutant_13"/>
      <sheetName val="foot-slab_reinft13"/>
      <sheetName val="Activity_List15"/>
      <sheetName val="Day_work12"/>
      <sheetName val="Div__0211"/>
      <sheetName val="Div__0311"/>
      <sheetName val="Div__0411"/>
      <sheetName val="Div__0511"/>
      <sheetName val="Div__0611"/>
      <sheetName val="Div__0711"/>
      <sheetName val="Div__0811"/>
      <sheetName val="Div__0911"/>
      <sheetName val="Div__1011"/>
      <sheetName val="Div__1111"/>
      <sheetName val="Div__1211"/>
      <sheetName val="Div_1311"/>
      <sheetName val="EXTERNAL_WORKS11"/>
      <sheetName val="PRODUCTIVITY_RATE11"/>
      <sheetName val="U_R_A_-_MASONRY11"/>
      <sheetName val="U_R_A_-_PLASTERING11"/>
      <sheetName val="U_R_A_-_TILING11"/>
      <sheetName val="U_R_A_-_GRANITE11"/>
      <sheetName val="V_C_2_-_EARTHWORK11"/>
      <sheetName val="V_C_9_-_CERAMIC11"/>
      <sheetName val="V_C_9_-_FINISHES11"/>
      <sheetName val="WITHOUT_C&amp;I_PROFIT_(3)15"/>
      <sheetName val="BILL_COV13"/>
      <sheetName val="DETAILED__BOQ13"/>
      <sheetName val="M-Book_for_Conc13"/>
      <sheetName val="M-Book_for_FW13"/>
      <sheetName val="Ra__stair13"/>
      <sheetName val="Materials_Cost(PCC)12"/>
      <sheetName val="India_F&amp;S_Template12"/>
      <sheetName val="IO_LIST12"/>
      <sheetName val="Material_12"/>
      <sheetName val="Quote_Sheet12"/>
      <sheetName val="VALVE_CHAMBERS12"/>
      <sheetName val="Fire_Hydrants12"/>
      <sheetName val="B_GATE_VALVE12"/>
      <sheetName val="Sub_G1_Fire12"/>
      <sheetName val="Sub_G12_Fire12"/>
      <sheetName val="Elemental_Buildup10"/>
      <sheetName val="Working_for_RCC11"/>
      <sheetName val="BOQ_Direct_selling_cost12"/>
      <sheetName val="Eq__Mobilization11"/>
      <sheetName val="PointNo_510"/>
      <sheetName val="w't_table10"/>
      <sheetName val="bill_nb2-Plumbing_&amp;_Drainag10"/>
      <sheetName val="Pl_&amp;_Dr_B10"/>
      <sheetName val="Pl_&amp;_Dr_G10"/>
      <sheetName val="Pl_&amp;_Dr_M10"/>
      <sheetName val="Pl_&amp;_Dr_110"/>
      <sheetName val="Pl_&amp;_Dr_210"/>
      <sheetName val="Pl_&amp;_Dr_310"/>
      <sheetName val="Pl_&amp;_Dr_410"/>
      <sheetName val="Pl_&amp;_Dr_510"/>
      <sheetName val="Pl_&amp;_Dr_610"/>
      <sheetName val="Pl_&amp;_Dr_710"/>
      <sheetName val="Pl_&amp;_Dr_810"/>
      <sheetName val="Pl_&amp;_Dr_R10"/>
      <sheetName val="FF_B10"/>
      <sheetName val="FF_G10"/>
      <sheetName val="FF_M10"/>
      <sheetName val="FF_110"/>
      <sheetName val="FF_2_10"/>
      <sheetName val="FF_310"/>
      <sheetName val="FF_410"/>
      <sheetName val="FF_510"/>
      <sheetName val="FF_6_10"/>
      <sheetName val="FF_710"/>
      <sheetName val="FF_810"/>
      <sheetName val="FF_R10"/>
      <sheetName val="bill_nb3-FF10"/>
      <sheetName val="HVAC_B10"/>
      <sheetName val="HVAC_G10"/>
      <sheetName val="HVAC_M10"/>
      <sheetName val="HVAC_110"/>
      <sheetName val="HVAC_210"/>
      <sheetName val="HVAC_310"/>
      <sheetName val="HVAC_410"/>
      <sheetName val="HVAC_510"/>
      <sheetName val="HVAC_610"/>
      <sheetName val="HVAC_710"/>
      <sheetName val="HVAC_810"/>
      <sheetName val="HVAC_R10"/>
      <sheetName val="bill_nb4-HVAC10"/>
      <sheetName val="SC_B10"/>
      <sheetName val="SC_G10"/>
      <sheetName val="SC_M10"/>
      <sheetName val="SC_110"/>
      <sheetName val="SC_210"/>
      <sheetName val="SC_310"/>
      <sheetName val="SC_410"/>
      <sheetName val="SC_510"/>
      <sheetName val="SC_610"/>
      <sheetName val="SC_710"/>
      <sheetName val="SC_810"/>
      <sheetName val="SC_R10"/>
      <sheetName val="AV_B10"/>
      <sheetName val="AV_G10"/>
      <sheetName val="AV_M10"/>
      <sheetName val="AV_110"/>
      <sheetName val="AV_210"/>
      <sheetName val="AV_310"/>
      <sheetName val="AV_410"/>
      <sheetName val="AV_510"/>
      <sheetName val="AV_610"/>
      <sheetName val="AV_710"/>
      <sheetName val="AV_810"/>
      <sheetName val="EL_B10"/>
      <sheetName val="EL_M10"/>
      <sheetName val="EL_110"/>
      <sheetName val="EL_210"/>
      <sheetName val="EL_310"/>
      <sheetName val="EL_410"/>
      <sheetName val="EL_510"/>
      <sheetName val="EL_610"/>
      <sheetName val="EL_710"/>
      <sheetName val="EL_810"/>
      <sheetName val="EL_R10"/>
      <sheetName val="EL_TR10"/>
      <sheetName val="8-_EL10"/>
      <sheetName val="FA_B10"/>
      <sheetName val="FA_G10"/>
      <sheetName val="FA_M10"/>
      <sheetName val="FA_110"/>
      <sheetName val="FA_210"/>
      <sheetName val="FA_310"/>
      <sheetName val="FA_410"/>
      <sheetName val="FA_510"/>
      <sheetName val="FA_610"/>
      <sheetName val="FA_710"/>
      <sheetName val="FA_810"/>
      <sheetName val="FA_R10"/>
      <sheetName val="9-_FA10"/>
      <sheetName val="B185-B-9_111"/>
      <sheetName val="B185-B-9_211"/>
      <sheetName val="CHART_OF_ACCOUNTS11"/>
      <sheetName val="Index_List10"/>
      <sheetName val="Type_List10"/>
      <sheetName val="File_Types10"/>
      <sheetName val="E-Bill_No_6_A-O11"/>
      <sheetName val="PMWeb_data11"/>
      <sheetName val="SS_MH11"/>
      <sheetName val="Material_List_10"/>
      <sheetName val="2_2)Revised_Cash_Flow10"/>
      <sheetName val="B09_111"/>
      <sheetName val="Project_Cost_Breakdown8"/>
      <sheetName val="입찰내역_발주처_양식10"/>
      <sheetName val="Division_230"/>
      <sheetName val="Division_410"/>
      <sheetName val="Division_510"/>
      <sheetName val="Division_610"/>
      <sheetName val="Division_710"/>
      <sheetName val="Division_810"/>
      <sheetName val="Division_910"/>
      <sheetName val="Division_1010"/>
      <sheetName val="Division_1210"/>
      <sheetName val="Division_1410"/>
      <sheetName val="Division_2113"/>
      <sheetName val="Division_2211"/>
      <sheetName val="Division_2310"/>
      <sheetName val="Division_2610"/>
      <sheetName val="Division_2710"/>
      <sheetName val="Division_2810"/>
      <sheetName val="Division_3110"/>
      <sheetName val="Division_3210"/>
      <sheetName val="Division_3310"/>
      <sheetName val="LIST_DO_NOT_REMOVE9"/>
      <sheetName val="PRECAST_lightconc-II12"/>
      <sheetName val="final_abstract12"/>
      <sheetName val="Staff_Acco_8"/>
      <sheetName val="TBAL9697_-group_wise__sdpl8"/>
      <sheetName val="/VWVU))tÏØ0__10"/>
      <sheetName val="Chiet_t10"/>
      <sheetName val="Staffing_and_Rates_IA10"/>
      <sheetName val="B6_2_9"/>
      <sheetName val="Summary_of_Work8"/>
      <sheetName val="Employee_List8"/>
      <sheetName val="Item-_Compact8"/>
      <sheetName val="E_&amp;_R8"/>
      <sheetName val="Рабочий_лист7"/>
      <sheetName val="SITE_WORK7"/>
      <sheetName val="Rate_summary7"/>
      <sheetName val="RAB_AR&amp;STR7"/>
      <sheetName val="d-safe_DELUXE7"/>
      <sheetName val="Back_up7"/>
      <sheetName val="PT_141-_Site_A_Landscape7"/>
      <sheetName val="Annex_1_Sect_3a8"/>
      <sheetName val="Annex_1_Sect_3a_18"/>
      <sheetName val="Annex_1_Sect_3b8"/>
      <sheetName val="Annex_1_Sect_3c8"/>
      <sheetName val="HOURLY_RATES8"/>
      <sheetName val="train_cash7"/>
      <sheetName val="accom_cash7"/>
      <sheetName val="INDIGINEOUS_ITEMS_7"/>
      <sheetName val="Duct_Accesories7"/>
      <sheetName val="Mall_waterproofing7"/>
      <sheetName val="MSCP_waterproofing7"/>
      <sheetName val="????_???_??7"/>
      <sheetName val="Common_Variables7"/>
      <sheetName val="[SHOPLIST_xls]70,/0s«iÆøí¬i7"/>
      <sheetName val="GPL_Revenu_Update7"/>
      <sheetName val="DO_NOT_TOUCH7"/>
      <sheetName val="Work_Type7"/>
      <sheetName val="Labour_&amp;_Plant7"/>
      <sheetName val="Ave_wtd_rates7"/>
      <sheetName val="Debits_as_on_12_04_087"/>
      <sheetName val="STAFFSCHED_7"/>
      <sheetName val="TRIAL_BALANCE7"/>
      <sheetName val="[SHOPLIST_xls][SHOPLIST_xls]708"/>
      <sheetName val="PROJECT_BRIEF(EX_NEW)7"/>
      <sheetName val="AREA_OF_APPLICATION6"/>
      <sheetName val="Risk_Breakdown_Structure6"/>
      <sheetName val="Geneí¬_i6"/>
      <sheetName val="steel_total6"/>
      <sheetName val="ELE_BOQ6"/>
      <sheetName val="Z-_GENERAL_PRICE_SUMMARY3"/>
      <sheetName val="Resumo_Empreitadas3"/>
      <sheetName val="PPA_Summary3"/>
      <sheetName val="Mix_Design3"/>
      <sheetName val="%_prog_figs_-u5_and_total3"/>
      <sheetName val="_VWVU))tÏØ0__4"/>
      <sheetName val="Floor_Box_4"/>
      <sheetName val="[SHOPLIST_xls]/VW2"/>
      <sheetName val="[SHOPLIST_xls]/VWVU))tÏØ0__4"/>
      <sheetName val="[SHOPLIST_xls]/VWVU))tÏØ0__5"/>
      <sheetName val="Equipment_Rates2"/>
      <sheetName val="Cashflow_projection2"/>
      <sheetName val="[SHOPLIST_xls][SHOPLIST_xls][S2"/>
      <sheetName val="E_H_-_H__W_P_2"/>
      <sheetName val="E__H__Treatment_for_pile_cap2"/>
      <sheetName val="[SHOPLIST_xls][SHOPLIST_xls]709"/>
      <sheetName val="Materials_2"/>
      <sheetName val="BLOCK-A_(MEA_SHEET)1"/>
      <sheetName val="1_2_Staff_Schedule2"/>
      <sheetName val="Site_Dev_BOQ1"/>
      <sheetName val="Labour_Costs1"/>
      <sheetName val="Form_61"/>
      <sheetName val="Risk_Register1"/>
      <sheetName val="Revised_Front_Page1"/>
      <sheetName val="Diff_Run01&amp;Run021"/>
      <sheetName val="CCS_Summary1"/>
      <sheetName val="1_Carillion_Staff1"/>
      <sheetName val="_2_Staff_&amp;_Gen_labour1"/>
      <sheetName val="3_Offices1"/>
      <sheetName val="4_TempServ1"/>
      <sheetName val="__5_Temp_Wks1"/>
      <sheetName val="_6_Addn_Plant1"/>
      <sheetName val="_7__Transport1"/>
      <sheetName val="_8_Testing1"/>
      <sheetName val="9__Miscellaneous1"/>
      <sheetName val="10__Design1"/>
      <sheetName val="_11_Insurances1"/>
      <sheetName val="_12_Client_Req_1"/>
      <sheetName val="Risk_List1"/>
      <sheetName val="Track_of_Changes1"/>
      <sheetName val="Bill_8_Doors_&amp;_Windows1"/>
      <sheetName val="Bill_9_Finishes_1"/>
      <sheetName val="Bill_10_Specialities1"/>
      <sheetName val="Dash_board1"/>
      <sheetName val="Base_BM-rebar1"/>
      <sheetName val="Data_Sheet1"/>
      <sheetName val="tender_allowances1"/>
      <sheetName val="_Summary_BKG_0341"/>
      <sheetName val="BILL_3R1"/>
      <sheetName val="Area_Breakdown_PER_LEVEL_LINK1"/>
      <sheetName val="CF_Input1"/>
      <sheetName val="DATA_INPUT1"/>
      <sheetName val="Vordruck-Nr__7_1_3_D1"/>
      <sheetName val="M&amp;A_D1"/>
      <sheetName val="M&amp;A_E1"/>
      <sheetName val="M&amp;A_G1"/>
      <sheetName val="Bill_101"/>
      <sheetName val="[SHOPLIST_xls]/VWVU))tÏØ0__21"/>
      <sheetName val="[SHOPLIST_xls]/VWVU))tÏØ0__31"/>
      <sheetName val="[SHOPLIST_xls]70,/0s«_iÆø_í¬_i1"/>
      <sheetName val="[SHOPLIST_xls]70?,/0?s«i?Æøí¬i1"/>
      <sheetName val="Contract_Division"/>
      <sheetName val="SubContract_Type"/>
      <sheetName val="Service_Type"/>
      <sheetName val="/VWVU))tÏØ0__11"/>
      <sheetName val="[SHOPLIST_xls]/VWVU))tÏØ0__6"/>
      <sheetName val="[SHOPLIST_xls]/VWVU))tÏØ0__7"/>
      <sheetName val="Form_62"/>
      <sheetName val="Risk_Register2"/>
      <sheetName val="Revised_Front_Page2"/>
      <sheetName val="Diff_Run01&amp;Run022"/>
      <sheetName val="CCS_Summary2"/>
      <sheetName val="1_Carillion_Staff2"/>
      <sheetName val="_2_Staff_&amp;_Gen_labour2"/>
      <sheetName val="3_Offices2"/>
      <sheetName val="4_TempServ2"/>
      <sheetName val="__5_Temp_Wks2"/>
      <sheetName val="_6_Addn_Plant2"/>
      <sheetName val="_7__Transport2"/>
      <sheetName val="_8_Testing2"/>
      <sheetName val="9__Miscellaneous2"/>
      <sheetName val="10__Design2"/>
      <sheetName val="_11_Insurances2"/>
      <sheetName val="_12_Client_Req_2"/>
      <sheetName val="Risk_List2"/>
      <sheetName val="Track_of_Changes2"/>
      <sheetName val="Bill_8_Doors_&amp;_Windows2"/>
      <sheetName val="Bill_9_Finishes_2"/>
      <sheetName val="Bill_10_Specialities2"/>
      <sheetName val="Dash_board2"/>
      <sheetName val="Base_BM-rebar2"/>
      <sheetName val="Site_Dev_BOQ2"/>
      <sheetName val="Data_Sheet2"/>
      <sheetName val="tender_allowances2"/>
      <sheetName val="_Summary_BKG_0342"/>
      <sheetName val="BILL_3R2"/>
      <sheetName val="Area_Breakdown_PER_LEVEL_LINK2"/>
      <sheetName val="CF_Input2"/>
      <sheetName val="DATA_INPUT2"/>
      <sheetName val="Vordruck-Nr__7_1_3_D2"/>
      <sheetName val="M&amp;A_D2"/>
      <sheetName val="M&amp;A_E2"/>
      <sheetName val="M&amp;A_G2"/>
      <sheetName val="1_2_Staff_Schedule3"/>
      <sheetName val="Bill_102"/>
      <sheetName val="[SHOPLIST_xls]/VWVU))tÏØ0__13"/>
      <sheetName val="[SHOPLIST_xls]/VWVU))tÏØ0__22"/>
      <sheetName val="[SHOPLIST_xls]/VWVU))tÏØ0__32"/>
      <sheetName val="[SHOPLIST_xls]70,/0s«_iÆø_í¬_i2"/>
      <sheetName val="[SHOPLIST_xls]70?,/0?s«i?Æøí¬i2"/>
      <sheetName val="Labour_Costs2"/>
      <sheetName val="BLOCK-A_(MEA_SHEET)2"/>
      <sheetName val="Tender Docs"/>
      <sheetName val="PENALTY"/>
      <sheetName val="Miral Emails"/>
      <sheetName val="LOAs (061619)"/>
      <sheetName val="Contract Conditions (Tender)"/>
      <sheetName val="Contract Qualifications"/>
      <sheetName val="YVPI &amp; GII"/>
      <sheetName val="LOA (live sheet)"/>
      <sheetName val="LOA Log (082419)"/>
      <sheetName val="FU"/>
      <sheetName val="Key Docs Ref."/>
      <sheetName val="To Mr. Boota (072519)"/>
      <sheetName val="02"/>
      <sheetName val="03"/>
      <sheetName val="04"/>
      <sheetName val="01"/>
      <sheetName val="钢筋"/>
      <sheetName val="PLT-SUM"/>
      <sheetName val="[SHOPLIST.xls]/VWVU))tÏØ0__5"/>
      <sheetName val="[SHOPLIST.xls]/VWVU))tÏØ0__6"/>
      <sheetName val="[SHOPLIST.xls]/VWVU))tÏØ0__7"/>
      <sheetName val="ce"/>
      <sheetName val="Rate_analysis13"/>
      <sheetName val="Qty-UG"/>
      <sheetName val="AOP Summary-2"/>
      <sheetName val="HWDG"/>
      <sheetName val="CIF COST ITEM"/>
      <sheetName val="Rates for public areas"/>
      <sheetName val="[SHOPLIST.xls][SHOPLIST.xls]/VW"/>
      <sheetName val="Build-up"/>
      <sheetName val="E_H_-_H__W_P_3"/>
      <sheetName val="E__H__Treatment_for_pile_cap3"/>
      <sheetName val="Form_63"/>
      <sheetName val="Risk_Register3"/>
      <sheetName val="Revised_Front_Page3"/>
      <sheetName val="Diff_Run01&amp;Run023"/>
      <sheetName val="CCS_Summary3"/>
      <sheetName val="1_Carillion_Staff3"/>
      <sheetName val="_2_Staff_&amp;_Gen_labour3"/>
      <sheetName val="3_Offices3"/>
      <sheetName val="4_TempServ3"/>
      <sheetName val="__5_Temp_Wks3"/>
      <sheetName val="_6_Addn_Plant3"/>
      <sheetName val="_7__Transport3"/>
      <sheetName val="_8_Testing3"/>
      <sheetName val="9__Miscellaneous3"/>
      <sheetName val="10__Design3"/>
      <sheetName val="_11_Insurances3"/>
      <sheetName val="_12_Client_Req_3"/>
      <sheetName val="Risk_List3"/>
      <sheetName val="Track_of_Changes3"/>
      <sheetName val="Bill_8_Doors_&amp;_Windows3"/>
      <sheetName val="Bill_9_Finishes_3"/>
      <sheetName val="Bill_10_Specialities3"/>
      <sheetName val="Cashflow_projection3"/>
      <sheetName val="4"/>
      <sheetName val="Core Data"/>
      <sheetName val="[SHOPLIST.xls][SH"/>
      <sheetName val="70,/0s«_iÆø_í¬"/>
      <sheetName val="[SHOPLIST.xls]70_"/>
      <sheetName val="70,/0s«iÆøí¬i3"/>
      <sheetName val="[SHOPLIST_xls]70_"/>
      <sheetName val="Estimate for approval"/>
      <sheetName val="Estimate_for_approval"/>
      <sheetName val="Comp equip"/>
      <sheetName val="P15_Cost Implications"/>
      <sheetName val="P15_uPVC ducts-Rate Summary"/>
      <sheetName val="JRC"/>
      <sheetName val="P15-ducts_BU_1"/>
      <sheetName val="P15-ducts_BU_2"/>
      <sheetName val="Flysheets"/>
      <sheetName val="P13_uPVC ducts"/>
      <sheetName val="P13_Mass Concrete"/>
      <sheetName val="P13_Imported Fill"/>
      <sheetName val="P14_uPVC ducts"/>
      <sheetName val="P14_Mass Concrete"/>
      <sheetName val="P14_Imported Fill"/>
      <sheetName val="P14_Sand bed to cable"/>
      <sheetName val="P15_uPVC ducts"/>
      <sheetName val="P15-ducts"/>
      <sheetName val="Laundry"/>
      <sheetName val="/VWVU))tÏØ0__12"/>
      <sheetName val="GFA_HQ_Building23"/>
      <sheetName val="GFA_Conference22"/>
      <sheetName val="BQ_External22"/>
      <sheetName val="Penthouse_Apartment21"/>
      <sheetName val="Raw_Data21"/>
      <sheetName val="StattCo_yCharges21"/>
      <sheetName val="LEVEL_SHEET21"/>
      <sheetName val="SPT_vs_PHI21"/>
      <sheetName val="LABOUR_HISTOGRAM22"/>
      <sheetName val="Chiet_tinh_dz2221"/>
      <sheetName val="Chiet_tinh_dz3521"/>
      <sheetName val="@risk_rents_and_incentives21"/>
      <sheetName val="Car_park_lease21"/>
      <sheetName val="Net_rent_analysis21"/>
      <sheetName val="Poz-1_21"/>
      <sheetName val="Graph_Data_(DO_NOT_PRINT)21"/>
      <sheetName val="Bill_No__221"/>
      <sheetName val="CT_Thang_Mo21"/>
      <sheetName val="Lab_Cum_Hist21"/>
      <sheetName val="CT__PL20"/>
      <sheetName val="Projet,_methodes_&amp;_couts20"/>
      <sheetName val="Risques_majeurs_&amp;_Frais_Ind_20"/>
      <sheetName val="FOL_-_Bar21"/>
      <sheetName val="budget_summary_(2)20"/>
      <sheetName val="Budget_Analysis_Summary20"/>
      <sheetName val="intr_stool_brkup20"/>
      <sheetName val="Tender_Summary21"/>
      <sheetName val="Insurance_Ext21"/>
      <sheetName val="Customize_Your_Invoice21"/>
      <sheetName val="HVAC_BoQ21"/>
      <sheetName val="Body_Sheet20"/>
      <sheetName val="1_0_Executive_Summary20"/>
      <sheetName val="Top_sheet20"/>
      <sheetName val="Bill_219"/>
      <sheetName val="Ap_A18"/>
      <sheetName val="2_Div_14_18"/>
      <sheetName val="SHOPLIST_xls17"/>
      <sheetName val="beam-reinft-IIInd_floor17"/>
      <sheetName val="beam-reinft-machine_rm17"/>
      <sheetName val="Bill_118"/>
      <sheetName val="Bill_318"/>
      <sheetName val="Bill_418"/>
      <sheetName val="Bill_518"/>
      <sheetName val="Bill_618"/>
      <sheetName val="Bill_718"/>
      <sheetName val="POWER_ASSUMPTIONS17"/>
      <sheetName val="Civil_Boq16"/>
      <sheetName val="PROJECT_BRIEF18"/>
      <sheetName val="Invoice_Summary17"/>
      <sheetName val="C_(3)18"/>
      <sheetName val="Dubai_golf17"/>
      <sheetName val="Softscape_Buildup16"/>
      <sheetName val="Mat'l_Rate16"/>
      <sheetName val="WITHOUT_C&amp;I_PROFIT_(3)16"/>
      <sheetName val="Activity_List16"/>
      <sheetName val="HIRED_LABOUR_CODE14"/>
      <sheetName val="PA-_Consutant_14"/>
      <sheetName val="foot-slab_reinft14"/>
      <sheetName val="DETAILED__BOQ14"/>
      <sheetName val="M-Book_for_Conc14"/>
      <sheetName val="M-Book_for_FW14"/>
      <sheetName val="BILL_COV14"/>
      <sheetName val="Ra__stair14"/>
      <sheetName val="VALVE_CHAMBERS13"/>
      <sheetName val="Fire_Hydrants13"/>
      <sheetName val="B_GATE_VALVE13"/>
      <sheetName val="Sub_G1_Fire13"/>
      <sheetName val="Sub_G12_Fire13"/>
      <sheetName val="Eq__Mobilization12"/>
      <sheetName val="w't_table11"/>
      <sheetName val="Materials_Cost(PCC)13"/>
      <sheetName val="India_F&amp;S_Template13"/>
      <sheetName val="IO_LIST13"/>
      <sheetName val="Material_13"/>
      <sheetName val="Quote_Sheet13"/>
      <sheetName val="Day_work13"/>
      <sheetName val="bill_nb2-Plumbing_&amp;_Drainag11"/>
      <sheetName val="Pl_&amp;_Dr_B11"/>
      <sheetName val="Pl_&amp;_Dr_G11"/>
      <sheetName val="Pl_&amp;_Dr_M11"/>
      <sheetName val="Pl_&amp;_Dr_111"/>
      <sheetName val="Pl_&amp;_Dr_211"/>
      <sheetName val="Pl_&amp;_Dr_311"/>
      <sheetName val="Pl_&amp;_Dr_411"/>
      <sheetName val="Pl_&amp;_Dr_511"/>
      <sheetName val="Pl_&amp;_Dr_611"/>
      <sheetName val="Pl_&amp;_Dr_711"/>
      <sheetName val="Pl_&amp;_Dr_811"/>
      <sheetName val="Pl_&amp;_Dr_R11"/>
      <sheetName val="FF_B11"/>
      <sheetName val="FF_G11"/>
      <sheetName val="FF_M11"/>
      <sheetName val="FF_111"/>
      <sheetName val="FF_2_11"/>
      <sheetName val="FF_311"/>
      <sheetName val="FF_411"/>
      <sheetName val="FF_511"/>
      <sheetName val="FF_6_11"/>
      <sheetName val="FF_711"/>
      <sheetName val="FF_811"/>
      <sheetName val="FF_R11"/>
      <sheetName val="bill_nb3-FF11"/>
      <sheetName val="HVAC_B11"/>
      <sheetName val="HVAC_G11"/>
      <sheetName val="HVAC_M11"/>
      <sheetName val="HVAC_111"/>
      <sheetName val="HVAC_211"/>
      <sheetName val="HVAC_311"/>
      <sheetName val="HVAC_411"/>
      <sheetName val="HVAC_511"/>
      <sheetName val="HVAC_611"/>
      <sheetName val="HVAC_711"/>
      <sheetName val="HVAC_811"/>
      <sheetName val="HVAC_R11"/>
      <sheetName val="bill_nb4-HVAC11"/>
      <sheetName val="SC_B11"/>
      <sheetName val="SC_G11"/>
      <sheetName val="SC_M11"/>
      <sheetName val="SC_111"/>
      <sheetName val="SC_211"/>
      <sheetName val="SC_311"/>
      <sheetName val="SC_411"/>
      <sheetName val="SC_511"/>
      <sheetName val="SC_611"/>
      <sheetName val="SC_711"/>
      <sheetName val="SC_811"/>
      <sheetName val="SC_R11"/>
      <sheetName val="AV_B11"/>
      <sheetName val="AV_G11"/>
      <sheetName val="AV_M11"/>
      <sheetName val="AV_111"/>
      <sheetName val="AV_211"/>
      <sheetName val="AV_311"/>
      <sheetName val="AV_411"/>
      <sheetName val="AV_511"/>
      <sheetName val="AV_611"/>
      <sheetName val="AV_711"/>
      <sheetName val="AV_811"/>
      <sheetName val="EL_B11"/>
      <sheetName val="EL_M11"/>
      <sheetName val="EL_111"/>
      <sheetName val="EL_211"/>
      <sheetName val="EL_311"/>
      <sheetName val="EL_411"/>
      <sheetName val="EL_511"/>
      <sheetName val="EL_611"/>
      <sheetName val="EL_711"/>
      <sheetName val="EL_811"/>
      <sheetName val="EL_R11"/>
      <sheetName val="EL_TR11"/>
      <sheetName val="8-_EL11"/>
      <sheetName val="FA_B11"/>
      <sheetName val="FA_G11"/>
      <sheetName val="FA_M11"/>
      <sheetName val="FA_111"/>
      <sheetName val="FA_211"/>
      <sheetName val="FA_311"/>
      <sheetName val="FA_411"/>
      <sheetName val="FA_511"/>
      <sheetName val="FA_611"/>
      <sheetName val="FA_711"/>
      <sheetName val="FA_811"/>
      <sheetName val="FA_R11"/>
      <sheetName val="9-_FA11"/>
      <sheetName val="B09_112"/>
      <sheetName val="BOQ_Direct_selling_cost13"/>
      <sheetName val="CHART_OF_ACCOUNTS12"/>
      <sheetName val="Working_for_RCC12"/>
      <sheetName val="B185-B-9_112"/>
      <sheetName val="B185-B-9_212"/>
      <sheetName val="E-Bill_No_6_A-O12"/>
      <sheetName val="Div__0212"/>
      <sheetName val="Div__0312"/>
      <sheetName val="Div__0412"/>
      <sheetName val="Div__0512"/>
      <sheetName val="Div__0612"/>
      <sheetName val="Div__0712"/>
      <sheetName val="Div__0812"/>
      <sheetName val="Div__0912"/>
      <sheetName val="Div__1012"/>
      <sheetName val="Div__1112"/>
      <sheetName val="Div__1212"/>
      <sheetName val="Div_1312"/>
      <sheetName val="EXTERNAL_WORKS12"/>
      <sheetName val="PRODUCTIVITY_RATE12"/>
      <sheetName val="U_R_A_-_MASONRY12"/>
      <sheetName val="U_R_A_-_PLASTERING12"/>
      <sheetName val="U_R_A_-_TILING12"/>
      <sheetName val="U_R_A_-_GRANITE12"/>
      <sheetName val="V_C_2_-_EARTHWORK12"/>
      <sheetName val="V_C_9_-_CERAMIC12"/>
      <sheetName val="V_C_9_-_FINISHES12"/>
      <sheetName val="Division_240"/>
      <sheetName val="Division_411"/>
      <sheetName val="Division_511"/>
      <sheetName val="Division_611"/>
      <sheetName val="Division_711"/>
      <sheetName val="Division_811"/>
      <sheetName val="Division_911"/>
      <sheetName val="Division_1011"/>
      <sheetName val="Division_1211"/>
      <sheetName val="Division_1411"/>
      <sheetName val="Division_2114"/>
      <sheetName val="Division_2212"/>
      <sheetName val="Division_2311"/>
      <sheetName val="Division_2611"/>
      <sheetName val="Division_2711"/>
      <sheetName val="Division_2811"/>
      <sheetName val="Division_3111"/>
      <sheetName val="Division_3211"/>
      <sheetName val="Division_3311"/>
      <sheetName val="PMWeb_data12"/>
      <sheetName val="Elemental_Buildup11"/>
      <sheetName val="PointNo_511"/>
      <sheetName val="2_2)Revised_Cash_Flow11"/>
      <sheetName val="SS_MH12"/>
      <sheetName val="입찰내역_발주처_양식11"/>
      <sheetName val="Material_List_11"/>
      <sheetName val="LIST_DO_NOT_REMOVE10"/>
      <sheetName val="Index_List11"/>
      <sheetName val="Type_List11"/>
      <sheetName val="File_Types11"/>
      <sheetName val="Chiet_t11"/>
      <sheetName val="Staffing_and_Rates_IA11"/>
      <sheetName val="Project_Cost_Breakdown9"/>
      <sheetName val="PRECAST_lightconc-II13"/>
      <sheetName val="final_abstract13"/>
      <sheetName val="Staff_Acco_9"/>
      <sheetName val="TBAL9697_-group_wise__sdpl9"/>
      <sheetName val="Summary_of_Work9"/>
      <sheetName val="Employee_List9"/>
      <sheetName val="Рабочий_лист8"/>
      <sheetName val="B6_2_10"/>
      <sheetName val="Item-_Compact9"/>
      <sheetName val="E_&amp;_R9"/>
      <sheetName val="Annex_1_Sect_3a9"/>
      <sheetName val="Annex_1_Sect_3a_19"/>
      <sheetName val="Annex_1_Sect_3b9"/>
      <sheetName val="Annex_1_Sect_3c9"/>
      <sheetName val="HOURLY_RATES9"/>
      <sheetName val="SITE_WORK8"/>
      <sheetName val="d-safe_DELUXE8"/>
      <sheetName val="PT_141-_Site_A_Landscape8"/>
      <sheetName val="Rate_summary8"/>
      <sheetName val="RAB_AR&amp;STR8"/>
      <sheetName val="Back_up8"/>
      <sheetName val="train_cash8"/>
      <sheetName val="accom_cash8"/>
      <sheetName val="INDIGINEOUS_ITEMS_8"/>
      <sheetName val="Duct_Accesories8"/>
      <sheetName val="Mall_waterproofing8"/>
      <sheetName val="MSCP_waterproofing8"/>
      <sheetName val="????_???_??8"/>
      <sheetName val="Labour_&amp;_Plant8"/>
      <sheetName val="Ave_wtd_rates8"/>
      <sheetName val="Debits_as_on_12_04_088"/>
      <sheetName val="STAFFSCHED_8"/>
      <sheetName val="TRIAL_BALANCE8"/>
      <sheetName val="[SHOPLIST_xls][SHOPLIST_xls]710"/>
      <sheetName val="[SHOPLIST_xls]70,/0s«iÆøí¬i8"/>
      <sheetName val="Common_Variables8"/>
      <sheetName val="GPL_Revenu_Update8"/>
      <sheetName val="DO_NOT_TOUCH8"/>
      <sheetName val="Work_Type8"/>
      <sheetName val="PROJECT_BRIEF(EX_NEW)8"/>
      <sheetName val="AREA_OF_APPLICATION7"/>
      <sheetName val="Risk_Breakdown_Structure7"/>
      <sheetName val="Geneí¬_i7"/>
      <sheetName val="steel_total7"/>
      <sheetName val="ELE_BOQ7"/>
      <sheetName val="Z-_GENERAL_PRICE_SUMMARY4"/>
      <sheetName val="Resumo_Empreitadas4"/>
      <sheetName val="PPA_Summary4"/>
      <sheetName val="Mix_Design4"/>
      <sheetName val="%_prog_figs_-u5_and_total4"/>
      <sheetName val="_VWVU))tÏØ0__5"/>
      <sheetName val="Floor_Box_5"/>
      <sheetName val="Equipment_Rates3"/>
      <sheetName val="[SHOPLIST_xls]/VW3"/>
      <sheetName val="[SHOPLIST_xls]/VWVU))tÏØ0__8"/>
      <sheetName val="[SHOPLIST_xls]/VWVU))tÏØ0__9"/>
      <sheetName val="[SHOPLIST_xls][SHOPLIST_xls]711"/>
      <sheetName val="[SHOPLIST_xls][SHOPLIST_xls][S3"/>
      <sheetName val="Dash_board3"/>
      <sheetName val="[SHOPLIST_xls]70,3"/>
      <sheetName val="Base_BM-rebar3"/>
      <sheetName val="Materials_3"/>
      <sheetName val="Site_Dev_BOQ3"/>
      <sheetName val="Data_Sheet3"/>
      <sheetName val="tender_allowances3"/>
      <sheetName val="_Summary_BKG_0343"/>
      <sheetName val="BILL_3R3"/>
      <sheetName val="Area_Breakdown_PER_LEVEL_LINK3"/>
      <sheetName val="CF_Input3"/>
      <sheetName val="DATA_INPUT3"/>
      <sheetName val="Vordruck-Nr__7_1_3_D3"/>
      <sheetName val="M&amp;A_D3"/>
      <sheetName val="M&amp;A_E3"/>
      <sheetName val="M&amp;A_G3"/>
      <sheetName val="1_2_Staff_Schedule4"/>
      <sheetName val="Bill_103"/>
      <sheetName val="[SHOPLIST_xls]/VWVU))tÏØ0__14"/>
      <sheetName val="[SHOPLIST_xls]/VWVU))tÏØ0__23"/>
      <sheetName val="[SHOPLIST_xls]/VWVU))tÏØ0__33"/>
      <sheetName val="[SHOPLIST_xls]70,/0s«_iÆø_í¬_i3"/>
      <sheetName val="[SHOPLIST_xls]70?,/0?s«i?Æøí¬i3"/>
      <sheetName val="Labour_Costs3"/>
      <sheetName val="BLOCK-A_(MEA_SHEET)3"/>
      <sheetName val="Contract_Division1"/>
      <sheetName val="SubContract_Type1"/>
      <sheetName val="Service_Type1"/>
      <sheetName val="Cost_Heading"/>
      <sheetName val="D_&amp;_W_sizes"/>
      <sheetName val="SOPMA_DD"/>
      <sheetName val="PRICE_INFO"/>
      <sheetName val="RC_SUMMARY"/>
      <sheetName val="LABOUR_PRODUCTIVITY-TAV"/>
      <sheetName val="MATERIAL_PRICES"/>
      <sheetName val="P-100_MRF_DB_R1"/>
      <sheetName val="Attach_4-18"/>
      <sheetName val="Ewaan_Show_Kitchen_(2)"/>
      <sheetName val="Cash_Flow_Working"/>
      <sheetName val="MN_T_B_"/>
      <sheetName val="Data_I_(2)"/>
      <sheetName val="rEFERENCES_"/>
      <sheetName val="Qtys_ZamZam_(Del__before)"/>
      <sheetName val="Qtys_Relocation_(Del_before)"/>
      <sheetName val="_Qtys_Sub_&amp;_Tents_(Del__before)"/>
      <sheetName val="Qtys__Signages_(Del__before)"/>
      <sheetName val="Qtys_Temporary_Passages_(Del)"/>
      <sheetName val="_Qtys_Ser__Rooms_(Del_before)"/>
      <sheetName val="Labour_Rate_"/>
      <sheetName val="2F_회의실견적(5_14_일대)"/>
      <sheetName val="_HIT-&gt;HMC_견적(3900)"/>
      <sheetName val="Appendix_B"/>
      <sheetName val="/VWVU))tÏØ0__17"/>
      <sheetName val="GFA_HQ_Building28"/>
      <sheetName val="GFA_Conference27"/>
      <sheetName val="BQ_External27"/>
      <sheetName val="Penthouse_Apartment26"/>
      <sheetName val="Raw_Data26"/>
      <sheetName val="StattCo_yCharges26"/>
      <sheetName val="LEVEL_SHEET26"/>
      <sheetName val="SPT_vs_PHI26"/>
      <sheetName val="LABOUR_HISTOGRAM27"/>
      <sheetName val="Chiet_tinh_dz2226"/>
      <sheetName val="Chiet_tinh_dz3526"/>
      <sheetName val="@risk_rents_and_incentives26"/>
      <sheetName val="Car_park_lease26"/>
      <sheetName val="Net_rent_analysis26"/>
      <sheetName val="Poz-1_26"/>
      <sheetName val="Graph_Data_(DO_NOT_PRINT)26"/>
      <sheetName val="Bill_No__226"/>
      <sheetName val="CT_Thang_Mo26"/>
      <sheetName val="Lab_Cum_Hist26"/>
      <sheetName val="CT__PL25"/>
      <sheetName val="Projet,_methodes_&amp;_couts25"/>
      <sheetName val="Risques_majeurs_&amp;_Frais_Ind_25"/>
      <sheetName val="FOL_-_Bar26"/>
      <sheetName val="budget_summary_(2)25"/>
      <sheetName val="Budget_Analysis_Summary25"/>
      <sheetName val="intr_stool_brkup25"/>
      <sheetName val="Tender_Summary26"/>
      <sheetName val="Insurance_Ext26"/>
      <sheetName val="Customize_Your_Invoice26"/>
      <sheetName val="HVAC_BoQ26"/>
      <sheetName val="Body_Sheet25"/>
      <sheetName val="1_0_Executive_Summary25"/>
      <sheetName val="Rate_analysis14"/>
      <sheetName val="Top_sheet25"/>
      <sheetName val="Bill_224"/>
      <sheetName val="Ap_A23"/>
      <sheetName val="2_Div_14_23"/>
      <sheetName val="SHOPLIST_xls22"/>
      <sheetName val="beam-reinft-IIInd_floor22"/>
      <sheetName val="beam-reinft-machine_rm22"/>
      <sheetName val="Bill_123"/>
      <sheetName val="Bill_323"/>
      <sheetName val="Bill_423"/>
      <sheetName val="Bill_523"/>
      <sheetName val="Bill_623"/>
      <sheetName val="Bill_723"/>
      <sheetName val="POWER_ASSUMPTIONS22"/>
      <sheetName val="Civil_Boq21"/>
      <sheetName val="PROJECT_BRIEF23"/>
      <sheetName val="Invoice_Summary22"/>
      <sheetName val="C_(3)23"/>
      <sheetName val="Dubai_golf22"/>
      <sheetName val="Softscape_Buildup21"/>
      <sheetName val="Mat'l_Rate21"/>
      <sheetName val="WITHOUT_C&amp;I_PROFIT_(3)21"/>
      <sheetName val="Activity_List21"/>
      <sheetName val="HIRED_LABOUR_CODE19"/>
      <sheetName val="PA-_Consutant_19"/>
      <sheetName val="foot-slab_reinft19"/>
      <sheetName val="DETAILED__BOQ19"/>
      <sheetName val="M-Book_for_Conc19"/>
      <sheetName val="M-Book_for_FW19"/>
      <sheetName val="BILL_COV19"/>
      <sheetName val="Ra__stair19"/>
      <sheetName val="VALVE_CHAMBERS18"/>
      <sheetName val="Fire_Hydrants18"/>
      <sheetName val="B_GATE_VALVE18"/>
      <sheetName val="Sub_G1_Fire18"/>
      <sheetName val="Sub_G12_Fire18"/>
      <sheetName val="Eq__Mobilization17"/>
      <sheetName val="w't_table16"/>
      <sheetName val="Materials_Cost(PCC)18"/>
      <sheetName val="India_F&amp;S_Template18"/>
      <sheetName val="IO_LIST18"/>
      <sheetName val="Material_18"/>
      <sheetName val="Quote_Sheet18"/>
      <sheetName val="Day_work18"/>
      <sheetName val="bill_nb2-Plumbing_&amp;_Drainag16"/>
      <sheetName val="Pl_&amp;_Dr_B16"/>
      <sheetName val="Pl_&amp;_Dr_G16"/>
      <sheetName val="Pl_&amp;_Dr_M16"/>
      <sheetName val="Pl_&amp;_Dr_116"/>
      <sheetName val="Pl_&amp;_Dr_216"/>
      <sheetName val="Pl_&amp;_Dr_316"/>
      <sheetName val="Pl_&amp;_Dr_416"/>
      <sheetName val="Pl_&amp;_Dr_516"/>
      <sheetName val="Pl_&amp;_Dr_616"/>
      <sheetName val="Pl_&amp;_Dr_716"/>
      <sheetName val="Pl_&amp;_Dr_816"/>
      <sheetName val="Pl_&amp;_Dr_R16"/>
      <sheetName val="FF_B16"/>
      <sheetName val="FF_G16"/>
      <sheetName val="FF_M16"/>
      <sheetName val="FF_116"/>
      <sheetName val="FF_2_16"/>
      <sheetName val="FF_316"/>
      <sheetName val="FF_416"/>
      <sheetName val="FF_516"/>
      <sheetName val="FF_6_16"/>
      <sheetName val="FF_716"/>
      <sheetName val="FF_816"/>
      <sheetName val="FF_R16"/>
      <sheetName val="bill_nb3-FF16"/>
      <sheetName val="HVAC_B16"/>
      <sheetName val="HVAC_G16"/>
      <sheetName val="HVAC_M16"/>
      <sheetName val="HVAC_116"/>
      <sheetName val="HVAC_216"/>
      <sheetName val="HVAC_316"/>
      <sheetName val="HVAC_416"/>
      <sheetName val="HVAC_516"/>
      <sheetName val="HVAC_616"/>
      <sheetName val="HVAC_716"/>
      <sheetName val="HVAC_816"/>
      <sheetName val="HVAC_R16"/>
      <sheetName val="bill_nb4-HVAC16"/>
      <sheetName val="SC_B16"/>
      <sheetName val="SC_G16"/>
      <sheetName val="SC_M16"/>
      <sheetName val="SC_116"/>
      <sheetName val="SC_216"/>
      <sheetName val="SC_316"/>
      <sheetName val="SC_416"/>
      <sheetName val="SC_516"/>
      <sheetName val="SC_616"/>
      <sheetName val="SC_716"/>
      <sheetName val="SC_816"/>
      <sheetName val="SC_R16"/>
      <sheetName val="AV_B16"/>
      <sheetName val="AV_G16"/>
      <sheetName val="AV_M16"/>
      <sheetName val="AV_116"/>
      <sheetName val="AV_216"/>
      <sheetName val="AV_316"/>
      <sheetName val="AV_416"/>
      <sheetName val="AV_516"/>
      <sheetName val="AV_616"/>
      <sheetName val="AV_716"/>
      <sheetName val="AV_816"/>
      <sheetName val="EL_B16"/>
      <sheetName val="EL_M16"/>
      <sheetName val="EL_116"/>
      <sheetName val="EL_216"/>
      <sheetName val="EL_316"/>
      <sheetName val="EL_416"/>
      <sheetName val="EL_516"/>
      <sheetName val="EL_616"/>
      <sheetName val="EL_716"/>
      <sheetName val="EL_816"/>
      <sheetName val="EL_R16"/>
      <sheetName val="EL_TR16"/>
      <sheetName val="8-_EL16"/>
      <sheetName val="FA_B16"/>
      <sheetName val="FA_G16"/>
      <sheetName val="FA_M16"/>
      <sheetName val="FA_116"/>
      <sheetName val="FA_216"/>
      <sheetName val="FA_316"/>
      <sheetName val="FA_416"/>
      <sheetName val="FA_516"/>
      <sheetName val="FA_616"/>
      <sheetName val="FA_716"/>
      <sheetName val="FA_816"/>
      <sheetName val="FA_R16"/>
      <sheetName val="9-_FA16"/>
      <sheetName val="B09_117"/>
      <sheetName val="BOQ_Direct_selling_cost18"/>
      <sheetName val="CHART_OF_ACCOUNTS17"/>
      <sheetName val="Working_for_RCC17"/>
      <sheetName val="B185-B-9_117"/>
      <sheetName val="B185-B-9_217"/>
      <sheetName val="E-Bill_No_6_A-O17"/>
      <sheetName val="Div__0217"/>
      <sheetName val="Div__0317"/>
      <sheetName val="Div__0417"/>
      <sheetName val="Div__0517"/>
      <sheetName val="Div__0617"/>
      <sheetName val="Div__0717"/>
      <sheetName val="Div__0817"/>
      <sheetName val="Div__0917"/>
      <sheetName val="Div__1017"/>
      <sheetName val="Div__1117"/>
      <sheetName val="Div__1217"/>
      <sheetName val="Div_1317"/>
      <sheetName val="EXTERNAL_WORKS17"/>
      <sheetName val="PRODUCTIVITY_RATE17"/>
      <sheetName val="U_R_A_-_MASONRY17"/>
      <sheetName val="U_R_A_-_PLASTERING17"/>
      <sheetName val="U_R_A_-_TILING17"/>
      <sheetName val="U_R_A_-_GRANITE17"/>
      <sheetName val="V_C_2_-_EARTHWORK17"/>
      <sheetName val="V_C_9_-_CERAMIC17"/>
      <sheetName val="V_C_9_-_FINISHES17"/>
      <sheetName val="Division_245"/>
      <sheetName val="Division_416"/>
      <sheetName val="Division_516"/>
      <sheetName val="Division_616"/>
      <sheetName val="Division_716"/>
      <sheetName val="Division_816"/>
      <sheetName val="Division_916"/>
      <sheetName val="Division_1016"/>
      <sheetName val="Division_1216"/>
      <sheetName val="Division_1416"/>
      <sheetName val="Division_2119"/>
      <sheetName val="Division_2217"/>
      <sheetName val="Division_2316"/>
      <sheetName val="Division_2616"/>
      <sheetName val="Division_2716"/>
      <sheetName val="Division_2816"/>
      <sheetName val="Division_3116"/>
      <sheetName val="Division_3216"/>
      <sheetName val="Division_3316"/>
      <sheetName val="PMWeb_data17"/>
      <sheetName val="Elemental_Buildup16"/>
      <sheetName val="PointNo_516"/>
      <sheetName val="2_2)Revised_Cash_Flow16"/>
      <sheetName val="SS_MH17"/>
      <sheetName val="입찰내역_발주처_양식16"/>
      <sheetName val="Material_List_16"/>
      <sheetName val="LIST_DO_NOT_REMOVE15"/>
      <sheetName val="Index_List16"/>
      <sheetName val="Type_List16"/>
      <sheetName val="File_Types16"/>
      <sheetName val="Chiet_t16"/>
      <sheetName val="Staffing_and_Rates_IA16"/>
      <sheetName val="Project_Cost_Breakdown14"/>
      <sheetName val="PRECAST_lightconc-II18"/>
      <sheetName val="final_abstract18"/>
      <sheetName val="Staff_Acco_14"/>
      <sheetName val="TBAL9697_-group_wise__sdpl14"/>
      <sheetName val="Summary_of_Work14"/>
      <sheetName val="Employee_List14"/>
      <sheetName val="Рабочий_лист13"/>
      <sheetName val="B6_2_15"/>
      <sheetName val="Item-_Compact14"/>
      <sheetName val="E_&amp;_R14"/>
      <sheetName val="Annex_1_Sect_3a14"/>
      <sheetName val="Annex_1_Sect_3a_114"/>
      <sheetName val="Annex_1_Sect_3b14"/>
      <sheetName val="Annex_1_Sect_3c14"/>
      <sheetName val="HOURLY_RATES14"/>
      <sheetName val="SITE_WORK13"/>
      <sheetName val="d-safe_DELUXE13"/>
      <sheetName val="PT_141-_Site_A_Landscape13"/>
      <sheetName val="Rate_summary13"/>
      <sheetName val="RAB_AR&amp;STR13"/>
      <sheetName val="Back_up13"/>
      <sheetName val="train_cash13"/>
      <sheetName val="accom_cash13"/>
      <sheetName val="INDIGINEOUS_ITEMS_13"/>
      <sheetName val="Duct_Accesories13"/>
      <sheetName val="Mall_waterproofing13"/>
      <sheetName val="MSCP_waterproofing13"/>
      <sheetName val="????_???_??13"/>
      <sheetName val="Labour_&amp;_Plant13"/>
      <sheetName val="Ave_wtd_rates13"/>
      <sheetName val="Debits_as_on_12_04_0813"/>
      <sheetName val="STAFFSCHED_13"/>
      <sheetName val="TRIAL_BALANCE13"/>
      <sheetName val="[SHOPLIST_xls][SHOPLIST_xls]720"/>
      <sheetName val="[SHOPLIST_xls]70,/0s«iÆøí¬i13"/>
      <sheetName val="Common_Variables13"/>
      <sheetName val="GPL_Revenu_Update13"/>
      <sheetName val="DO_NOT_TOUCH13"/>
      <sheetName val="Work_Type13"/>
      <sheetName val="PROJECT_BRIEF(EX_NEW)13"/>
      <sheetName val="AREA_OF_APPLICATION12"/>
      <sheetName val="Risk_Breakdown_Structure12"/>
      <sheetName val="Geneí¬_i12"/>
      <sheetName val="steel_total12"/>
      <sheetName val="ELE_BOQ12"/>
      <sheetName val="Z-_GENERAL_PRICE_SUMMARY9"/>
      <sheetName val="Resumo_Empreitadas9"/>
      <sheetName val="PPA_Summary9"/>
      <sheetName val="Mix_Design9"/>
      <sheetName val="%_prog_figs_-u5_and_total9"/>
      <sheetName val="_VWVU))tÏØ0__10"/>
      <sheetName val="Floor_Box_10"/>
      <sheetName val="Equipment_Rates8"/>
      <sheetName val="[SHOPLIST_xls]/VW8"/>
      <sheetName val="[SHOPLIST_xls]/VWVU))tÏØ0__40"/>
      <sheetName val="[SHOPLIST_xls]/VWVU))tÏØ0__41"/>
      <sheetName val="Cashflow_projection8"/>
      <sheetName val="[SHOPLIST_xls][SHOPLIST_xls]721"/>
      <sheetName val="E_H_-_H__W_P_8"/>
      <sheetName val="E__H__Treatment_for_pile_cap8"/>
      <sheetName val="[SHOPLIST_xls][SHOPLIST_xls][S8"/>
      <sheetName val="Form_68"/>
      <sheetName val="Risk_Register8"/>
      <sheetName val="Revised_Front_Page8"/>
      <sheetName val="Diff_Run01&amp;Run028"/>
      <sheetName val="CCS_Summary8"/>
      <sheetName val="1_Carillion_Staff8"/>
      <sheetName val="_2_Staff_&amp;_Gen_labour8"/>
      <sheetName val="3_Offices8"/>
      <sheetName val="4_TempServ8"/>
      <sheetName val="__5_Temp_Wks8"/>
      <sheetName val="_6_Addn_Plant8"/>
      <sheetName val="_7__Transport8"/>
      <sheetName val="_8_Testing8"/>
      <sheetName val="9__Miscellaneous8"/>
      <sheetName val="10__Design8"/>
      <sheetName val="_11_Insurances8"/>
      <sheetName val="_12_Client_Req_8"/>
      <sheetName val="Risk_List8"/>
      <sheetName val="Track_of_Changes8"/>
      <sheetName val="Bill_8_Doors_&amp;_Windows8"/>
      <sheetName val="Bill_9_Finishes_8"/>
      <sheetName val="Bill_10_Specialities8"/>
      <sheetName val="Dash_board8"/>
      <sheetName val="[SHOPLIST_xls]708"/>
      <sheetName val="[SHOPLIST_xls]70,8"/>
      <sheetName val="Base_BM-rebar8"/>
      <sheetName val="Materials_8"/>
      <sheetName val="Site_Dev_BOQ8"/>
      <sheetName val="Data_Sheet8"/>
      <sheetName val="tender_allowances8"/>
      <sheetName val="_Summary_BKG_0348"/>
      <sheetName val="BILL_3R8"/>
      <sheetName val="Area_Breakdown_PER_LEVEL_LINK8"/>
      <sheetName val="CF_Input8"/>
      <sheetName val="DATA_INPUT8"/>
      <sheetName val="Vordruck-Nr__7_1_3_D8"/>
      <sheetName val="M&amp;A_D8"/>
      <sheetName val="M&amp;A_E8"/>
      <sheetName val="M&amp;A_G8"/>
      <sheetName val="1_2_Staff_Schedule9"/>
      <sheetName val="Bill_108"/>
      <sheetName val="[SHOPLIST_xls]/VWVU))tÏØ0__42"/>
      <sheetName val="[SHOPLIST_xls]/VWVU))tÏØ0__43"/>
      <sheetName val="[SHOPLIST_xls]/VWVU))tÏØ0__44"/>
      <sheetName val="[SHOPLIST_xls]70,/0s«_iÆø_í¬_i8"/>
      <sheetName val="[SHOPLIST_xls]70?,/0?s«i?Æøí¬i8"/>
      <sheetName val="Labour_Costs8"/>
      <sheetName val="BLOCK-A_(MEA_SHEET)8"/>
      <sheetName val="Contract_Division6"/>
      <sheetName val="SubContract_Type6"/>
      <sheetName val="Service_Type6"/>
      <sheetName val="Cost_Heading5"/>
      <sheetName val="D_&amp;_W_sizes5"/>
      <sheetName val="SOPMA_DD5"/>
      <sheetName val="PRICE_INFO5"/>
      <sheetName val="RC_SUMMARY5"/>
      <sheetName val="LABOUR_PRODUCTIVITY-TAV5"/>
      <sheetName val="MATERIAL_PRICES5"/>
      <sheetName val="P-100_MRF_DB_R15"/>
      <sheetName val="Attach_4-185"/>
      <sheetName val="_SHOPLIST_xls_705"/>
      <sheetName val="_SHOPLIST_xls_70,_0s«iÆøí¬i5"/>
      <sheetName val="Ewaan_Show_Kitchen_(2)5"/>
      <sheetName val="Cash_Flow_Working5"/>
      <sheetName val="MN_T_B_5"/>
      <sheetName val="Data_I_(2)5"/>
      <sheetName val="rEFERENCES_5"/>
      <sheetName val="Qtys_ZamZam_(Del__before)5"/>
      <sheetName val="Qtys_Relocation_(Del_before)5"/>
      <sheetName val="_Qtys_Sub_&amp;_Tents_(Del__before5"/>
      <sheetName val="Qtys__Signages_(Del__before)5"/>
      <sheetName val="Qtys_Temporary_Passages_(Del)5"/>
      <sheetName val="_Qtys_Ser__Rooms_(Del_before)5"/>
      <sheetName val="Labour_Rate_5"/>
      <sheetName val="2F_회의실견적(5_14_일대)1"/>
      <sheetName val="_HIT-&gt;HMC_견적(3900)1"/>
      <sheetName val="Appendix_B1"/>
      <sheetName val="GFA_HQ_Building25"/>
      <sheetName val="GFA_Conference24"/>
      <sheetName val="BQ_External24"/>
      <sheetName val="Penthouse_Apartment23"/>
      <sheetName val="Raw_Data23"/>
      <sheetName val="StattCo_yCharges23"/>
      <sheetName val="LEVEL_SHEET23"/>
      <sheetName val="SPT_vs_PHI23"/>
      <sheetName val="LABOUR_HISTOGRAM24"/>
      <sheetName val="Chiet_tinh_dz2223"/>
      <sheetName val="Chiet_tinh_dz3523"/>
      <sheetName val="@risk_rents_and_incentives23"/>
      <sheetName val="Car_park_lease23"/>
      <sheetName val="Net_rent_analysis23"/>
      <sheetName val="Poz-1_23"/>
      <sheetName val="Graph_Data_(DO_NOT_PRINT)23"/>
      <sheetName val="Bill_No__223"/>
      <sheetName val="CT_Thang_Mo23"/>
      <sheetName val="Lab_Cum_Hist23"/>
      <sheetName val="CT__PL22"/>
      <sheetName val="Projet,_methodes_&amp;_couts22"/>
      <sheetName val="Risques_majeurs_&amp;_Frais_Ind_22"/>
      <sheetName val="FOL_-_Bar23"/>
      <sheetName val="budget_summary_(2)22"/>
      <sheetName val="Budget_Analysis_Summary22"/>
      <sheetName val="intr_stool_brkup22"/>
      <sheetName val="Tender_Summary23"/>
      <sheetName val="Insurance_Ext23"/>
      <sheetName val="Customize_Your_Invoice23"/>
      <sheetName val="HVAC_BoQ23"/>
      <sheetName val="Body_Sheet22"/>
      <sheetName val="1_0_Executive_Summary22"/>
      <sheetName val="Top_sheet22"/>
      <sheetName val="Bill_221"/>
      <sheetName val="Ap_A20"/>
      <sheetName val="2_Div_14_20"/>
      <sheetName val="SHOPLIST_xls19"/>
      <sheetName val="beam-reinft-IIInd_floor19"/>
      <sheetName val="beam-reinft-machine_rm19"/>
      <sheetName val="Bill_120"/>
      <sheetName val="Bill_320"/>
      <sheetName val="Bill_420"/>
      <sheetName val="Bill_520"/>
      <sheetName val="Bill_620"/>
      <sheetName val="Bill_720"/>
      <sheetName val="POWER_ASSUMPTIONS19"/>
      <sheetName val="Civil_Boq18"/>
      <sheetName val="PROJECT_BRIEF20"/>
      <sheetName val="Invoice_Summary19"/>
      <sheetName val="C_(3)20"/>
      <sheetName val="Dubai_golf19"/>
      <sheetName val="Softscape_Buildup18"/>
      <sheetName val="Mat'l_Rate18"/>
      <sheetName val="WITHOUT_C&amp;I_PROFIT_(3)18"/>
      <sheetName val="Activity_List18"/>
      <sheetName val="HIRED_LABOUR_CODE16"/>
      <sheetName val="PA-_Consutant_16"/>
      <sheetName val="foot-slab_reinft16"/>
      <sheetName val="DETAILED__BOQ16"/>
      <sheetName val="M-Book_for_Conc16"/>
      <sheetName val="M-Book_for_FW16"/>
      <sheetName val="BILL_COV16"/>
      <sheetName val="Ra__stair16"/>
      <sheetName val="VALVE_CHAMBERS15"/>
      <sheetName val="Fire_Hydrants15"/>
      <sheetName val="B_GATE_VALVE15"/>
      <sheetName val="Sub_G1_Fire15"/>
      <sheetName val="Sub_G12_Fire15"/>
      <sheetName val="Eq__Mobilization14"/>
      <sheetName val="w't_table13"/>
      <sheetName val="Materials_Cost(PCC)15"/>
      <sheetName val="India_F&amp;S_Template15"/>
      <sheetName val="IO_LIST15"/>
      <sheetName val="Material_15"/>
      <sheetName val="Quote_Sheet15"/>
      <sheetName val="Day_work15"/>
      <sheetName val="bill_nb2-Plumbing_&amp;_Drainag13"/>
      <sheetName val="Pl_&amp;_Dr_B13"/>
      <sheetName val="Pl_&amp;_Dr_G13"/>
      <sheetName val="Pl_&amp;_Dr_M13"/>
      <sheetName val="Pl_&amp;_Dr_113"/>
      <sheetName val="Pl_&amp;_Dr_213"/>
      <sheetName val="Pl_&amp;_Dr_313"/>
      <sheetName val="Pl_&amp;_Dr_413"/>
      <sheetName val="Pl_&amp;_Dr_513"/>
      <sheetName val="Pl_&amp;_Dr_613"/>
      <sheetName val="Pl_&amp;_Dr_713"/>
      <sheetName val="Pl_&amp;_Dr_813"/>
      <sheetName val="Pl_&amp;_Dr_R13"/>
      <sheetName val="FF_B13"/>
      <sheetName val="FF_G13"/>
      <sheetName val="FF_M13"/>
      <sheetName val="FF_113"/>
      <sheetName val="FF_2_13"/>
      <sheetName val="FF_313"/>
      <sheetName val="FF_413"/>
      <sheetName val="FF_513"/>
      <sheetName val="FF_6_13"/>
      <sheetName val="FF_713"/>
      <sheetName val="FF_813"/>
      <sheetName val="FF_R13"/>
      <sheetName val="bill_nb3-FF13"/>
      <sheetName val="HVAC_B13"/>
      <sheetName val="HVAC_G13"/>
      <sheetName val="HVAC_M13"/>
      <sheetName val="HVAC_113"/>
      <sheetName val="HVAC_213"/>
      <sheetName val="HVAC_313"/>
      <sheetName val="HVAC_413"/>
      <sheetName val="HVAC_513"/>
      <sheetName val="HVAC_613"/>
      <sheetName val="HVAC_713"/>
      <sheetName val="HVAC_813"/>
      <sheetName val="HVAC_R13"/>
      <sheetName val="bill_nb4-HVAC13"/>
      <sheetName val="SC_B13"/>
      <sheetName val="SC_G13"/>
      <sheetName val="SC_M13"/>
      <sheetName val="SC_113"/>
      <sheetName val="SC_213"/>
      <sheetName val="SC_313"/>
      <sheetName val="SC_413"/>
      <sheetName val="SC_513"/>
      <sheetName val="SC_613"/>
      <sheetName val="SC_713"/>
      <sheetName val="SC_813"/>
      <sheetName val="SC_R13"/>
      <sheetName val="AV_B13"/>
      <sheetName val="AV_G13"/>
      <sheetName val="AV_M13"/>
      <sheetName val="AV_113"/>
      <sheetName val="AV_213"/>
      <sheetName val="AV_313"/>
      <sheetName val="AV_413"/>
      <sheetName val="AV_513"/>
      <sheetName val="AV_613"/>
      <sheetName val="AV_713"/>
      <sheetName val="AV_813"/>
      <sheetName val="EL_B13"/>
      <sheetName val="EL_M13"/>
      <sheetName val="EL_113"/>
      <sheetName val="EL_213"/>
      <sheetName val="EL_313"/>
      <sheetName val="EL_413"/>
      <sheetName val="EL_513"/>
      <sheetName val="EL_613"/>
      <sheetName val="EL_713"/>
      <sheetName val="EL_813"/>
      <sheetName val="EL_R13"/>
      <sheetName val="EL_TR13"/>
      <sheetName val="8-_EL13"/>
      <sheetName val="FA_B13"/>
      <sheetName val="FA_G13"/>
      <sheetName val="FA_M13"/>
      <sheetName val="FA_113"/>
      <sheetName val="FA_213"/>
      <sheetName val="FA_313"/>
      <sheetName val="FA_413"/>
      <sheetName val="FA_513"/>
      <sheetName val="FA_613"/>
      <sheetName val="FA_713"/>
      <sheetName val="FA_813"/>
      <sheetName val="FA_R13"/>
      <sheetName val="9-_FA13"/>
      <sheetName val="Div__0214"/>
      <sheetName val="Div__0314"/>
      <sheetName val="Div__0414"/>
      <sheetName val="Div__0514"/>
      <sheetName val="Div__0614"/>
      <sheetName val="Div__0714"/>
      <sheetName val="Div__0814"/>
      <sheetName val="Div__0914"/>
      <sheetName val="Div__1014"/>
      <sheetName val="Div__1114"/>
      <sheetName val="Div__1214"/>
      <sheetName val="Div_1314"/>
      <sheetName val="EXTERNAL_WORKS14"/>
      <sheetName val="PRODUCTIVITY_RATE14"/>
      <sheetName val="U_R_A_-_MASONRY14"/>
      <sheetName val="U_R_A_-_PLASTERING14"/>
      <sheetName val="U_R_A_-_TILING14"/>
      <sheetName val="U_R_A_-_GRANITE14"/>
      <sheetName val="V_C_2_-_EARTHWORK14"/>
      <sheetName val="V_C_9_-_CERAMIC14"/>
      <sheetName val="V_C_9_-_FINISHES14"/>
      <sheetName val="B09_114"/>
      <sheetName val="BOQ_Direct_selling_cost15"/>
      <sheetName val="Working_for_RCC14"/>
      <sheetName val="B185-B-9_114"/>
      <sheetName val="B185-B-9_214"/>
      <sheetName val="CHART_OF_ACCOUNTS14"/>
      <sheetName val="E-Bill_No_6_A-O14"/>
      <sheetName val="/VWVU))tÏØ0__16"/>
      <sheetName val="Elemental_Buildup13"/>
      <sheetName val="Division_242"/>
      <sheetName val="Division_413"/>
      <sheetName val="Division_513"/>
      <sheetName val="Division_613"/>
      <sheetName val="Division_713"/>
      <sheetName val="Division_813"/>
      <sheetName val="Division_913"/>
      <sheetName val="Division_1013"/>
      <sheetName val="Division_1213"/>
      <sheetName val="Division_1413"/>
      <sheetName val="Division_2116"/>
      <sheetName val="Division_2214"/>
      <sheetName val="Division_2313"/>
      <sheetName val="Division_2613"/>
      <sheetName val="Division_2713"/>
      <sheetName val="Division_2813"/>
      <sheetName val="Division_3113"/>
      <sheetName val="Division_3213"/>
      <sheetName val="Division_3313"/>
      <sheetName val="PMWeb_data14"/>
      <sheetName val="PointNo_513"/>
      <sheetName val="2_2)Revised_Cash_Flow13"/>
      <sheetName val="Employee_List11"/>
      <sheetName val="SS_MH14"/>
      <sheetName val="Index_List13"/>
      <sheetName val="Type_List13"/>
      <sheetName val="File_Types13"/>
      <sheetName val="Chiet_t13"/>
      <sheetName val="Staffing_and_Rates_IA13"/>
      <sheetName val="입찰내역_발주처_양식13"/>
      <sheetName val="Summary_of_Work11"/>
      <sheetName val="/VWVU))tÏØ0__14"/>
      <sheetName val="LIST_DO_NOT_REMOVE12"/>
      <sheetName val="Material_List_13"/>
      <sheetName val="PRECAST_lightconc-II15"/>
      <sheetName val="final_abstract15"/>
      <sheetName val="B6_2_12"/>
      <sheetName val="Staff_Acco_11"/>
      <sheetName val="TBAL9697_-group_wise__sdpl11"/>
      <sheetName val="Project_Cost_Breakdown11"/>
      <sheetName val="Item-_Compact11"/>
      <sheetName val="E_&amp;_R11"/>
      <sheetName val="Рабочий_лист10"/>
      <sheetName val="Annex_1_Sect_3a11"/>
      <sheetName val="Annex_1_Sect_3a_111"/>
      <sheetName val="Annex_1_Sect_3b11"/>
      <sheetName val="Annex_1_Sect_3c11"/>
      <sheetName val="HOURLY_RATES11"/>
      <sheetName val="PT_141-_Site_A_Landscape10"/>
      <sheetName val="SITE_WORK10"/>
      <sheetName val="Rate_summary10"/>
      <sheetName val="d-safe_DELUXE10"/>
      <sheetName val="Back_up10"/>
      <sheetName val="RAB_AR&amp;STR10"/>
      <sheetName val="Duct_Accesories10"/>
      <sheetName val="train_cash10"/>
      <sheetName val="accom_cash10"/>
      <sheetName val="INDIGINEOUS_ITEMS_10"/>
      <sheetName val="Common_Variables10"/>
      <sheetName val="Mall_waterproofing10"/>
      <sheetName val="MSCP_waterproofing10"/>
      <sheetName val="[SHOPLIST_xls]70,/0s«iÆøí¬i10"/>
      <sheetName val="GPL_Revenu_Update10"/>
      <sheetName val="DO_NOT_TOUCH10"/>
      <sheetName val="Work_Type10"/>
      <sheetName val="????_???_??10"/>
      <sheetName val="Labour_&amp;_Plant10"/>
      <sheetName val="Ave_wtd_rates10"/>
      <sheetName val="Debits_as_on_12_04_0810"/>
      <sheetName val="STAFFSCHED_10"/>
      <sheetName val="TRIAL_BALANCE10"/>
      <sheetName val="[SHOPLIST_xls][SHOPLIST_xls]714"/>
      <sheetName val="PROJECT_BRIEF(EX_NEW)10"/>
      <sheetName val="PPA_Summary6"/>
      <sheetName val="Mix_Design6"/>
      <sheetName val="AREA_OF_APPLICATION9"/>
      <sheetName val="Risk_Breakdown_Structure9"/>
      <sheetName val="Geneí¬_i9"/>
      <sheetName val="steel_total9"/>
      <sheetName val="ELE_BOQ9"/>
      <sheetName val="Z-_GENERAL_PRICE_SUMMARY6"/>
      <sheetName val="Resumo_Empreitadas6"/>
      <sheetName val="%_prog_figs_-u5_and_total6"/>
      <sheetName val="_VWVU))tÏØ0__7"/>
      <sheetName val="Floor_Box_7"/>
      <sheetName val="[SHOPLIST_xls]/VW5"/>
      <sheetName val="[SHOPLIST_xls]/VWVU))tÏØ0__17"/>
      <sheetName val="[SHOPLIST_xls]/VWVU))tÏØ0__18"/>
      <sheetName val="Equipment_Rates5"/>
      <sheetName val="Cashflow_projection5"/>
      <sheetName val="[SHOPLIST_xls][SHOPLIST_xls]715"/>
      <sheetName val="E_H_-_H__W_P_5"/>
      <sheetName val="E__H__Treatment_for_pile_cap5"/>
      <sheetName val="[SHOPLIST_xls][SHOPLIST_xls][S5"/>
      <sheetName val="Materials_5"/>
      <sheetName val="Form_65"/>
      <sheetName val="Risk_Register5"/>
      <sheetName val="Revised_Front_Page5"/>
      <sheetName val="Diff_Run01&amp;Run025"/>
      <sheetName val="CCS_Summary5"/>
      <sheetName val="1_Carillion_Staff5"/>
      <sheetName val="_2_Staff_&amp;_Gen_labour5"/>
      <sheetName val="3_Offices5"/>
      <sheetName val="4_TempServ5"/>
      <sheetName val="__5_Temp_Wks5"/>
      <sheetName val="_6_Addn_Plant5"/>
      <sheetName val="_7__Transport5"/>
      <sheetName val="_8_Testing5"/>
      <sheetName val="9__Miscellaneous5"/>
      <sheetName val="10__Design5"/>
      <sheetName val="_11_Insurances5"/>
      <sheetName val="_12_Client_Req_5"/>
      <sheetName val="Risk_List5"/>
      <sheetName val="Track_of_Changes5"/>
      <sheetName val="Bill_8_Doors_&amp;_Windows5"/>
      <sheetName val="Bill_9_Finishes_5"/>
      <sheetName val="Bill_10_Specialities5"/>
      <sheetName val="Dash_board5"/>
      <sheetName val="[SHOPLIST_xls]705"/>
      <sheetName val="[SHOPLIST_xls]70,5"/>
      <sheetName val="Site_Dev_BOQ5"/>
      <sheetName val="1_2_Staff_Schedule6"/>
      <sheetName val="[SHOPLIST_xls]/VWVU))tÏØ0__19"/>
      <sheetName val="[SHOPLIST_xls]/VWVU))tÏØ0__25"/>
      <sheetName val="Cost_Heading2"/>
      <sheetName val="D_&amp;_W_sizes2"/>
      <sheetName val="SOPMA_DD2"/>
      <sheetName val="PRICE_INFO2"/>
      <sheetName val="RC_SUMMARY2"/>
      <sheetName val="LABOUR_PRODUCTIVITY-TAV2"/>
      <sheetName val="MATERIAL_PRICES2"/>
      <sheetName val="P-100_MRF_DB_R12"/>
      <sheetName val="Base_BM-rebar5"/>
      <sheetName val="Contract_Division3"/>
      <sheetName val="SubContract_Type3"/>
      <sheetName val="Service_Type3"/>
      <sheetName val="Attach_4-182"/>
      <sheetName val="Area_Breakdown_PER_LEVEL_LINK5"/>
      <sheetName val="CF_Input5"/>
      <sheetName val="DATA_INPUT5"/>
      <sheetName val="Vordruck-Nr__7_1_3_D5"/>
      <sheetName val="M&amp;A_D5"/>
      <sheetName val="M&amp;A_E5"/>
      <sheetName val="M&amp;A_G5"/>
      <sheetName val="Data_Sheet5"/>
      <sheetName val="tender_allowances5"/>
      <sheetName val="_Summary_BKG_0345"/>
      <sheetName val="BILL_3R5"/>
      <sheetName val="BLOCK-A_(MEA_SHEET)5"/>
      <sheetName val="Bill_105"/>
      <sheetName val="Labour_Costs5"/>
      <sheetName val="Ewaan_Show_Kitchen_(2)2"/>
      <sheetName val="Cash_Flow_Working2"/>
      <sheetName val="MN_T_B_2"/>
      <sheetName val="Data_I_(2)2"/>
      <sheetName val="rEFERENCES_2"/>
      <sheetName val="Qtys_ZamZam_(Del__before)2"/>
      <sheetName val="Qtys_Relocation_(Del_before)2"/>
      <sheetName val="_Qtys_Sub_&amp;_Tents_(Del__before2"/>
      <sheetName val="Qtys__Signages_(Del__before)2"/>
      <sheetName val="Qtys_Temporary_Passages_(Del)2"/>
      <sheetName val="_Qtys_Ser__Rooms_(Del_before)2"/>
      <sheetName val="Labour_Rate_2"/>
      <sheetName val="[SHOPLIST_xls]/VWVU))tÏØ0__35"/>
      <sheetName val="[SHOPLIST_xls]70,/0s«_iÆø_í¬_i5"/>
      <sheetName val="[SHOPLIST_xls]70?,/0?s«i?Æøí¬i5"/>
      <sheetName val="GFA_HQ_Building24"/>
      <sheetName val="GFA_Conference23"/>
      <sheetName val="BQ_External23"/>
      <sheetName val="Penthouse_Apartment22"/>
      <sheetName val="Raw_Data22"/>
      <sheetName val="StattCo_yCharges22"/>
      <sheetName val="LEVEL_SHEET22"/>
      <sheetName val="SPT_vs_PHI22"/>
      <sheetName val="LABOUR_HISTOGRAM23"/>
      <sheetName val="Chiet_tinh_dz2222"/>
      <sheetName val="Chiet_tinh_dz3522"/>
      <sheetName val="@risk_rents_and_incentives22"/>
      <sheetName val="Car_park_lease22"/>
      <sheetName val="Net_rent_analysis22"/>
      <sheetName val="Poz-1_22"/>
      <sheetName val="Graph_Data_(DO_NOT_PRINT)22"/>
      <sheetName val="Bill_No__222"/>
      <sheetName val="CT_Thang_Mo22"/>
      <sheetName val="Lab_Cum_Hist22"/>
      <sheetName val="CT__PL21"/>
      <sheetName val="Projet,_methodes_&amp;_couts21"/>
      <sheetName val="Risques_majeurs_&amp;_Frais_Ind_21"/>
      <sheetName val="FOL_-_Bar22"/>
      <sheetName val="budget_summary_(2)21"/>
      <sheetName val="Budget_Analysis_Summary21"/>
      <sheetName val="intr_stool_brkup21"/>
      <sheetName val="Tender_Summary22"/>
      <sheetName val="Insurance_Ext22"/>
      <sheetName val="Customize_Your_Invoice22"/>
      <sheetName val="HVAC_BoQ22"/>
      <sheetName val="Body_Sheet21"/>
      <sheetName val="1_0_Executive_Summary21"/>
      <sheetName val="Top_sheet21"/>
      <sheetName val="Bill_220"/>
      <sheetName val="Ap_A19"/>
      <sheetName val="2_Div_14_19"/>
      <sheetName val="SHOPLIST_xls18"/>
      <sheetName val="beam-reinft-IIInd_floor18"/>
      <sheetName val="beam-reinft-machine_rm18"/>
      <sheetName val="Bill_119"/>
      <sheetName val="Bill_319"/>
      <sheetName val="Bill_419"/>
      <sheetName val="Bill_519"/>
      <sheetName val="Bill_619"/>
      <sheetName val="Bill_719"/>
      <sheetName val="POWER_ASSUMPTIONS18"/>
      <sheetName val="Civil_Boq17"/>
      <sheetName val="PROJECT_BRIEF19"/>
      <sheetName val="Invoice_Summary18"/>
      <sheetName val="C_(3)19"/>
      <sheetName val="Dubai_golf18"/>
      <sheetName val="Softscape_Buildup17"/>
      <sheetName val="Mat'l_Rate17"/>
      <sheetName val="WITHOUT_C&amp;I_PROFIT_(3)17"/>
      <sheetName val="Activity_List17"/>
      <sheetName val="HIRED_LABOUR_CODE15"/>
      <sheetName val="PA-_Consutant_15"/>
      <sheetName val="foot-slab_reinft15"/>
      <sheetName val="DETAILED__BOQ15"/>
      <sheetName val="M-Book_for_Conc15"/>
      <sheetName val="M-Book_for_FW15"/>
      <sheetName val="BILL_COV15"/>
      <sheetName val="Ra__stair15"/>
      <sheetName val="VALVE_CHAMBERS14"/>
      <sheetName val="Fire_Hydrants14"/>
      <sheetName val="B_GATE_VALVE14"/>
      <sheetName val="Sub_G1_Fire14"/>
      <sheetName val="Sub_G12_Fire14"/>
      <sheetName val="Eq__Mobilization13"/>
      <sheetName val="w't_table12"/>
      <sheetName val="Materials_Cost(PCC)14"/>
      <sheetName val="India_F&amp;S_Template14"/>
      <sheetName val="IO_LIST14"/>
      <sheetName val="Material_14"/>
      <sheetName val="Quote_Sheet14"/>
      <sheetName val="Day_work14"/>
      <sheetName val="bill_nb2-Plumbing_&amp;_Drainag12"/>
      <sheetName val="Pl_&amp;_Dr_B12"/>
      <sheetName val="Pl_&amp;_Dr_G12"/>
      <sheetName val="Pl_&amp;_Dr_M12"/>
      <sheetName val="Pl_&amp;_Dr_112"/>
      <sheetName val="Pl_&amp;_Dr_212"/>
      <sheetName val="Pl_&amp;_Dr_312"/>
      <sheetName val="Pl_&amp;_Dr_412"/>
      <sheetName val="Pl_&amp;_Dr_512"/>
      <sheetName val="Pl_&amp;_Dr_612"/>
      <sheetName val="Pl_&amp;_Dr_712"/>
      <sheetName val="Pl_&amp;_Dr_812"/>
      <sheetName val="Pl_&amp;_Dr_R12"/>
      <sheetName val="FF_B12"/>
      <sheetName val="FF_G12"/>
      <sheetName val="FF_M12"/>
      <sheetName val="FF_112"/>
      <sheetName val="FF_2_12"/>
      <sheetName val="FF_312"/>
      <sheetName val="FF_412"/>
      <sheetName val="FF_512"/>
      <sheetName val="FF_6_12"/>
      <sheetName val="FF_712"/>
      <sheetName val="FF_812"/>
      <sheetName val="FF_R12"/>
      <sheetName val="bill_nb3-FF12"/>
      <sheetName val="HVAC_B12"/>
      <sheetName val="HVAC_G12"/>
      <sheetName val="HVAC_M12"/>
      <sheetName val="HVAC_112"/>
      <sheetName val="HVAC_212"/>
      <sheetName val="HVAC_312"/>
      <sheetName val="HVAC_412"/>
      <sheetName val="HVAC_512"/>
      <sheetName val="HVAC_612"/>
      <sheetName val="HVAC_712"/>
      <sheetName val="HVAC_812"/>
      <sheetName val="HVAC_R12"/>
      <sheetName val="bill_nb4-HVAC12"/>
      <sheetName val="SC_B12"/>
      <sheetName val="SC_G12"/>
      <sheetName val="SC_M12"/>
      <sheetName val="SC_112"/>
      <sheetName val="SC_212"/>
      <sheetName val="SC_312"/>
      <sheetName val="SC_412"/>
      <sheetName val="SC_512"/>
      <sheetName val="SC_612"/>
      <sheetName val="SC_712"/>
      <sheetName val="SC_812"/>
      <sheetName val="SC_R12"/>
      <sheetName val="AV_B12"/>
      <sheetName val="AV_G12"/>
      <sheetName val="AV_M12"/>
      <sheetName val="AV_112"/>
      <sheetName val="AV_212"/>
      <sheetName val="AV_312"/>
      <sheetName val="AV_412"/>
      <sheetName val="AV_512"/>
      <sheetName val="AV_612"/>
      <sheetName val="AV_712"/>
      <sheetName val="AV_812"/>
      <sheetName val="EL_B12"/>
      <sheetName val="EL_M12"/>
      <sheetName val="EL_112"/>
      <sheetName val="EL_212"/>
      <sheetName val="EL_312"/>
      <sheetName val="EL_412"/>
      <sheetName val="EL_512"/>
      <sheetName val="EL_612"/>
      <sheetName val="EL_712"/>
      <sheetName val="EL_812"/>
      <sheetName val="EL_R12"/>
      <sheetName val="EL_TR12"/>
      <sheetName val="8-_EL12"/>
      <sheetName val="FA_B12"/>
      <sheetName val="FA_G12"/>
      <sheetName val="FA_M12"/>
      <sheetName val="FA_112"/>
      <sheetName val="FA_212"/>
      <sheetName val="FA_312"/>
      <sheetName val="FA_412"/>
      <sheetName val="FA_512"/>
      <sheetName val="FA_612"/>
      <sheetName val="FA_712"/>
      <sheetName val="FA_812"/>
      <sheetName val="FA_R12"/>
      <sheetName val="9-_FA12"/>
      <sheetName val="Div__0213"/>
      <sheetName val="Div__0313"/>
      <sheetName val="Div__0413"/>
      <sheetName val="Div__0513"/>
      <sheetName val="Div__0613"/>
      <sheetName val="Div__0713"/>
      <sheetName val="Div__0813"/>
      <sheetName val="Div__0913"/>
      <sheetName val="Div__1013"/>
      <sheetName val="Div__1113"/>
      <sheetName val="Div__1213"/>
      <sheetName val="Div_1313"/>
      <sheetName val="EXTERNAL_WORKS13"/>
      <sheetName val="PRODUCTIVITY_RATE13"/>
      <sheetName val="U_R_A_-_MASONRY13"/>
      <sheetName val="U_R_A_-_PLASTERING13"/>
      <sheetName val="U_R_A_-_TILING13"/>
      <sheetName val="U_R_A_-_GRANITE13"/>
      <sheetName val="V_C_2_-_EARTHWORK13"/>
      <sheetName val="V_C_9_-_CERAMIC13"/>
      <sheetName val="V_C_9_-_FINISHES13"/>
      <sheetName val="B09_113"/>
      <sheetName val="BOQ_Direct_selling_cost14"/>
      <sheetName val="Working_for_RCC13"/>
      <sheetName val="B185-B-9_113"/>
      <sheetName val="B185-B-9_213"/>
      <sheetName val="CHART_OF_ACCOUNTS13"/>
      <sheetName val="E-Bill_No_6_A-O13"/>
      <sheetName val="Elemental_Buildup12"/>
      <sheetName val="Division_241"/>
      <sheetName val="Division_412"/>
      <sheetName val="Division_512"/>
      <sheetName val="Division_612"/>
      <sheetName val="Division_712"/>
      <sheetName val="Division_812"/>
      <sheetName val="Division_912"/>
      <sheetName val="Division_1012"/>
      <sheetName val="Division_1212"/>
      <sheetName val="Division_1412"/>
      <sheetName val="Division_2115"/>
      <sheetName val="Division_2213"/>
      <sheetName val="Division_2312"/>
      <sheetName val="Division_2612"/>
      <sheetName val="Division_2712"/>
      <sheetName val="Division_2812"/>
      <sheetName val="Division_3112"/>
      <sheetName val="Division_3212"/>
      <sheetName val="Division_3312"/>
      <sheetName val="PMWeb_data13"/>
      <sheetName val="PointNo_512"/>
      <sheetName val="2_2)Revised_Cash_Flow12"/>
      <sheetName val="Employee_List10"/>
      <sheetName val="SS_MH13"/>
      <sheetName val="Index_List12"/>
      <sheetName val="Type_List12"/>
      <sheetName val="File_Types12"/>
      <sheetName val="Chiet_t12"/>
      <sheetName val="Staffing_and_Rates_IA12"/>
      <sheetName val="입찰내역_발주처_양식12"/>
      <sheetName val="Summary_of_Work10"/>
      <sheetName val="/VWVU))tÏØ0__13"/>
      <sheetName val="LIST_DO_NOT_REMOVE11"/>
      <sheetName val="Material_List_12"/>
      <sheetName val="PRECAST_lightconc-II14"/>
      <sheetName val="final_abstract14"/>
      <sheetName val="B6_2_11"/>
      <sheetName val="Staff_Acco_10"/>
      <sheetName val="TBAL9697_-group_wise__sdpl10"/>
      <sheetName val="Project_Cost_Breakdown10"/>
      <sheetName val="Item-_Compact10"/>
      <sheetName val="E_&amp;_R10"/>
      <sheetName val="Рабочий_лист9"/>
      <sheetName val="Annex_1_Sect_3a10"/>
      <sheetName val="Annex_1_Sect_3a_110"/>
      <sheetName val="Annex_1_Sect_3b10"/>
      <sheetName val="Annex_1_Sect_3c10"/>
      <sheetName val="HOURLY_RATES10"/>
      <sheetName val="PT_141-_Site_A_Landscape9"/>
      <sheetName val="SITE_WORK9"/>
      <sheetName val="Rate_summary9"/>
      <sheetName val="d-safe_DELUXE9"/>
      <sheetName val="Back_up9"/>
      <sheetName val="RAB_AR&amp;STR9"/>
      <sheetName val="Duct_Accesories9"/>
      <sheetName val="train_cash9"/>
      <sheetName val="accom_cash9"/>
      <sheetName val="INDIGINEOUS_ITEMS_9"/>
      <sheetName val="Common_Variables9"/>
      <sheetName val="Mall_waterproofing9"/>
      <sheetName val="MSCP_waterproofing9"/>
      <sheetName val="[SHOPLIST_xls]70,/0s«iÆøí¬i9"/>
      <sheetName val="GPL_Revenu_Update9"/>
      <sheetName val="DO_NOT_TOUCH9"/>
      <sheetName val="Work_Type9"/>
      <sheetName val="????_???_??9"/>
      <sheetName val="Labour_&amp;_Plant9"/>
      <sheetName val="Ave_wtd_rates9"/>
      <sheetName val="Debits_as_on_12_04_089"/>
      <sheetName val="STAFFSCHED_9"/>
      <sheetName val="TRIAL_BALANCE9"/>
      <sheetName val="[SHOPLIST_xls][SHOPLIST_xls]712"/>
      <sheetName val="PROJECT_BRIEF(EX_NEW)9"/>
      <sheetName val="PPA_Summary5"/>
      <sheetName val="Mix_Design5"/>
      <sheetName val="AREA_OF_APPLICATION8"/>
      <sheetName val="Risk_Breakdown_Structure8"/>
      <sheetName val="Geneí¬_i8"/>
      <sheetName val="steel_total8"/>
      <sheetName val="ELE_BOQ8"/>
      <sheetName val="Z-_GENERAL_PRICE_SUMMARY5"/>
      <sheetName val="Resumo_Empreitadas5"/>
      <sheetName val="%_prog_figs_-u5_and_total5"/>
      <sheetName val="_VWVU))tÏØ0__6"/>
      <sheetName val="Floor_Box_6"/>
      <sheetName val="[SHOPLIST_xls]/VW4"/>
      <sheetName val="[SHOPLIST_xls]/VWVU))tÏØ0__10"/>
      <sheetName val="[SHOPLIST_xls]/VWVU))tÏØ0__15"/>
      <sheetName val="Equipment_Rates4"/>
      <sheetName val="Cashflow_projection4"/>
      <sheetName val="[SHOPLIST_xls][SHOPLIST_xls]713"/>
      <sheetName val="E_H_-_H__W_P_4"/>
      <sheetName val="E__H__Treatment_for_pile_cap4"/>
      <sheetName val="[SHOPLIST_xls][SHOPLIST_xls][S4"/>
      <sheetName val="Materials_4"/>
      <sheetName val="Form_64"/>
      <sheetName val="Risk_Register4"/>
      <sheetName val="Revised_Front_Page4"/>
      <sheetName val="Diff_Run01&amp;Run024"/>
      <sheetName val="CCS_Summary4"/>
      <sheetName val="1_Carillion_Staff4"/>
      <sheetName val="_2_Staff_&amp;_Gen_labour4"/>
      <sheetName val="3_Offices4"/>
      <sheetName val="4_TempServ4"/>
      <sheetName val="__5_Temp_Wks4"/>
      <sheetName val="_6_Addn_Plant4"/>
      <sheetName val="_7__Transport4"/>
      <sheetName val="_8_Testing4"/>
      <sheetName val="9__Miscellaneous4"/>
      <sheetName val="10__Design4"/>
      <sheetName val="_11_Insurances4"/>
      <sheetName val="_12_Client_Req_4"/>
      <sheetName val="Risk_List4"/>
      <sheetName val="Track_of_Changes4"/>
      <sheetName val="Bill_8_Doors_&amp;_Windows4"/>
      <sheetName val="Bill_9_Finishes_4"/>
      <sheetName val="Bill_10_Specialities4"/>
      <sheetName val="Dash_board4"/>
      <sheetName val="[SHOPLIST_xls]704"/>
      <sheetName val="[SHOPLIST_xls]70,4"/>
      <sheetName val="Site_Dev_BOQ4"/>
      <sheetName val="1_2_Staff_Schedule5"/>
      <sheetName val="[SHOPLIST_xls]/VWVU))tÏØ0__16"/>
      <sheetName val="[SHOPLIST_xls]/VWVU))tÏØ0__24"/>
      <sheetName val="Cost_Heading1"/>
      <sheetName val="D_&amp;_W_sizes1"/>
      <sheetName val="SOPMA_DD1"/>
      <sheetName val="PRICE_INFO1"/>
      <sheetName val="RC_SUMMARY1"/>
      <sheetName val="LABOUR_PRODUCTIVITY-TAV1"/>
      <sheetName val="MATERIAL_PRICES1"/>
      <sheetName val="P-100_MRF_DB_R11"/>
      <sheetName val="Base_BM-rebar4"/>
      <sheetName val="Contract_Division2"/>
      <sheetName val="SubContract_Type2"/>
      <sheetName val="Service_Type2"/>
      <sheetName val="Attach_4-181"/>
      <sheetName val="Area_Breakdown_PER_LEVEL_LINK4"/>
      <sheetName val="CF_Input4"/>
      <sheetName val="DATA_INPUT4"/>
      <sheetName val="Vordruck-Nr__7_1_3_D4"/>
      <sheetName val="M&amp;A_D4"/>
      <sheetName val="M&amp;A_E4"/>
      <sheetName val="M&amp;A_G4"/>
      <sheetName val="Data_Sheet4"/>
      <sheetName val="tender_allowances4"/>
      <sheetName val="_Summary_BKG_0344"/>
      <sheetName val="BILL_3R4"/>
      <sheetName val="BLOCK-A_(MEA_SHEET)4"/>
      <sheetName val="Bill_104"/>
      <sheetName val="Labour_Costs4"/>
      <sheetName val="Ewaan_Show_Kitchen_(2)1"/>
      <sheetName val="Cash_Flow_Working1"/>
      <sheetName val="MN_T_B_1"/>
      <sheetName val="Data_I_(2)1"/>
      <sheetName val="rEFERENCES_1"/>
      <sheetName val="Qtys_ZamZam_(Del__before)1"/>
      <sheetName val="Qtys_Relocation_(Del_before)1"/>
      <sheetName val="_Qtys_Sub_&amp;_Tents_(Del__before1"/>
      <sheetName val="Qtys__Signages_(Del__before)1"/>
      <sheetName val="Qtys_Temporary_Passages_(Del)1"/>
      <sheetName val="_Qtys_Ser__Rooms_(Del_before)1"/>
      <sheetName val="Labour_Rate_1"/>
      <sheetName val="[SHOPLIST_xls]/VWVU))tÏØ0__34"/>
      <sheetName val="[SHOPLIST_xls]70,/0s«_iÆø_í¬_i4"/>
      <sheetName val="[SHOPLIST_xls]70?,/0?s«i?Æøí¬i4"/>
      <sheetName val="GFA_HQ_Building27"/>
      <sheetName val="GFA_Conference26"/>
      <sheetName val="BQ_External26"/>
      <sheetName val="Penthouse_Apartment25"/>
      <sheetName val="Raw_Data25"/>
      <sheetName val="StattCo_yCharges25"/>
      <sheetName val="LEVEL_SHEET25"/>
      <sheetName val="SPT_vs_PHI25"/>
      <sheetName val="LABOUR_HISTOGRAM26"/>
      <sheetName val="Chiet_tinh_dz2225"/>
      <sheetName val="Chiet_tinh_dz3525"/>
      <sheetName val="@risk_rents_and_incentives25"/>
      <sheetName val="Car_park_lease25"/>
      <sheetName val="Net_rent_analysis25"/>
      <sheetName val="Poz-1_25"/>
      <sheetName val="Graph_Data_(DO_NOT_PRINT)25"/>
      <sheetName val="Bill_No__225"/>
      <sheetName val="CT_Thang_Mo25"/>
      <sheetName val="Lab_Cum_Hist25"/>
      <sheetName val="CT__PL24"/>
      <sheetName val="Projet,_methodes_&amp;_couts24"/>
      <sheetName val="Risques_majeurs_&amp;_Frais_Ind_24"/>
      <sheetName val="FOL_-_Bar25"/>
      <sheetName val="budget_summary_(2)24"/>
      <sheetName val="Budget_Analysis_Summary24"/>
      <sheetName val="intr_stool_brkup24"/>
      <sheetName val="Tender_Summary25"/>
      <sheetName val="Insurance_Ext25"/>
      <sheetName val="Customize_Your_Invoice25"/>
      <sheetName val="HVAC_BoQ25"/>
      <sheetName val="Body_Sheet24"/>
      <sheetName val="1_0_Executive_Summary24"/>
      <sheetName val="Top_sheet24"/>
      <sheetName val="Bill_223"/>
      <sheetName val="Ap_A22"/>
      <sheetName val="2_Div_14_22"/>
      <sheetName val="SHOPLIST_xls21"/>
      <sheetName val="beam-reinft-IIInd_floor21"/>
      <sheetName val="beam-reinft-machine_rm21"/>
      <sheetName val="Bill_122"/>
      <sheetName val="Bill_322"/>
      <sheetName val="Bill_422"/>
      <sheetName val="Bill_522"/>
      <sheetName val="Bill_622"/>
      <sheetName val="Bill_722"/>
      <sheetName val="POWER_ASSUMPTIONS21"/>
      <sheetName val="Civil_Boq20"/>
      <sheetName val="PROJECT_BRIEF22"/>
      <sheetName val="Invoice_Summary21"/>
      <sheetName val="C_(3)22"/>
      <sheetName val="Dubai_golf21"/>
      <sheetName val="Softscape_Buildup20"/>
      <sheetName val="Mat'l_Rate20"/>
      <sheetName val="WITHOUT_C&amp;I_PROFIT_(3)20"/>
      <sheetName val="Activity_List20"/>
      <sheetName val="HIRED_LABOUR_CODE18"/>
      <sheetName val="PA-_Consutant_18"/>
      <sheetName val="foot-slab_reinft18"/>
      <sheetName val="DETAILED__BOQ18"/>
      <sheetName val="M-Book_for_Conc18"/>
      <sheetName val="M-Book_for_FW18"/>
      <sheetName val="BILL_COV18"/>
      <sheetName val="Ra__stair18"/>
      <sheetName val="VALVE_CHAMBERS17"/>
      <sheetName val="Fire_Hydrants17"/>
      <sheetName val="B_GATE_VALVE17"/>
      <sheetName val="Sub_G1_Fire17"/>
      <sheetName val="Sub_G12_Fire17"/>
      <sheetName val="Eq__Mobilization16"/>
      <sheetName val="w't_table15"/>
      <sheetName val="Materials_Cost(PCC)17"/>
      <sheetName val="India_F&amp;S_Template17"/>
      <sheetName val="IO_LIST17"/>
      <sheetName val="Material_17"/>
      <sheetName val="Quote_Sheet17"/>
      <sheetName val="Day_work17"/>
      <sheetName val="bill_nb2-Plumbing_&amp;_Drainag15"/>
      <sheetName val="Pl_&amp;_Dr_B15"/>
      <sheetName val="Pl_&amp;_Dr_G15"/>
      <sheetName val="Pl_&amp;_Dr_M15"/>
      <sheetName val="Pl_&amp;_Dr_115"/>
      <sheetName val="Pl_&amp;_Dr_215"/>
      <sheetName val="Pl_&amp;_Dr_315"/>
      <sheetName val="Pl_&amp;_Dr_415"/>
      <sheetName val="Pl_&amp;_Dr_515"/>
      <sheetName val="Pl_&amp;_Dr_615"/>
      <sheetName val="Pl_&amp;_Dr_715"/>
      <sheetName val="Pl_&amp;_Dr_815"/>
      <sheetName val="Pl_&amp;_Dr_R15"/>
      <sheetName val="FF_B15"/>
      <sheetName val="FF_G15"/>
      <sheetName val="FF_M15"/>
      <sheetName val="FF_115"/>
      <sheetName val="FF_2_15"/>
      <sheetName val="FF_315"/>
      <sheetName val="FF_415"/>
      <sheetName val="FF_515"/>
      <sheetName val="FF_6_15"/>
      <sheetName val="FF_715"/>
      <sheetName val="FF_815"/>
      <sheetName val="FF_R15"/>
      <sheetName val="bill_nb3-FF15"/>
      <sheetName val="HVAC_B15"/>
      <sheetName val="HVAC_G15"/>
      <sheetName val="HVAC_M15"/>
      <sheetName val="HVAC_115"/>
      <sheetName val="HVAC_215"/>
      <sheetName val="HVAC_315"/>
      <sheetName val="HVAC_415"/>
      <sheetName val="HVAC_515"/>
      <sheetName val="HVAC_615"/>
      <sheetName val="HVAC_715"/>
      <sheetName val="HVAC_815"/>
      <sheetName val="HVAC_R15"/>
      <sheetName val="bill_nb4-HVAC15"/>
      <sheetName val="SC_B15"/>
      <sheetName val="SC_G15"/>
      <sheetName val="SC_M15"/>
      <sheetName val="SC_115"/>
      <sheetName val="SC_215"/>
      <sheetName val="SC_315"/>
      <sheetName val="SC_415"/>
      <sheetName val="SC_515"/>
      <sheetName val="SC_615"/>
      <sheetName val="SC_715"/>
      <sheetName val="SC_815"/>
      <sheetName val="SC_R15"/>
      <sheetName val="AV_B15"/>
      <sheetName val="AV_G15"/>
      <sheetName val="AV_M15"/>
      <sheetName val="AV_115"/>
      <sheetName val="AV_215"/>
      <sheetName val="AV_315"/>
      <sheetName val="AV_415"/>
      <sheetName val="AV_515"/>
      <sheetName val="AV_615"/>
      <sheetName val="AV_715"/>
      <sheetName val="AV_815"/>
      <sheetName val="EL_B15"/>
      <sheetName val="EL_M15"/>
      <sheetName val="EL_115"/>
      <sheetName val="EL_215"/>
      <sheetName val="EL_315"/>
      <sheetName val="EL_415"/>
      <sheetName val="EL_515"/>
      <sheetName val="EL_615"/>
      <sheetName val="EL_715"/>
      <sheetName val="EL_815"/>
      <sheetName val="EL_R15"/>
      <sheetName val="EL_TR15"/>
      <sheetName val="8-_EL15"/>
      <sheetName val="FA_B15"/>
      <sheetName val="FA_G15"/>
      <sheetName val="FA_M15"/>
      <sheetName val="FA_115"/>
      <sheetName val="FA_215"/>
      <sheetName val="FA_315"/>
      <sheetName val="FA_415"/>
      <sheetName val="FA_515"/>
      <sheetName val="FA_615"/>
      <sheetName val="FA_715"/>
      <sheetName val="FA_815"/>
      <sheetName val="FA_R15"/>
      <sheetName val="9-_FA15"/>
      <sheetName val="Div__0216"/>
      <sheetName val="Div__0316"/>
      <sheetName val="Div__0416"/>
      <sheetName val="Div__0516"/>
      <sheetName val="Div__0616"/>
      <sheetName val="Div__0716"/>
      <sheetName val="Div__0816"/>
      <sheetName val="Div__0916"/>
      <sheetName val="Div__1016"/>
      <sheetName val="Div__1116"/>
      <sheetName val="Div__1216"/>
      <sheetName val="Div_1316"/>
      <sheetName val="EXTERNAL_WORKS16"/>
      <sheetName val="PRODUCTIVITY_RATE16"/>
      <sheetName val="U_R_A_-_MASONRY16"/>
      <sheetName val="U_R_A_-_PLASTERING16"/>
      <sheetName val="U_R_A_-_TILING16"/>
      <sheetName val="U_R_A_-_GRANITE16"/>
      <sheetName val="V_C_2_-_EARTHWORK16"/>
      <sheetName val="V_C_9_-_CERAMIC16"/>
      <sheetName val="V_C_9_-_FINISHES16"/>
      <sheetName val="B09_116"/>
      <sheetName val="BOQ_Direct_selling_cost17"/>
      <sheetName val="Working_for_RCC16"/>
      <sheetName val="B185-B-9_116"/>
      <sheetName val="B185-B-9_216"/>
      <sheetName val="CHART_OF_ACCOUNTS16"/>
      <sheetName val="E-Bill_No_6_A-O16"/>
      <sheetName val="Elemental_Buildup15"/>
      <sheetName val="Division_244"/>
      <sheetName val="Division_415"/>
      <sheetName val="Division_515"/>
      <sheetName val="Division_615"/>
      <sheetName val="Division_715"/>
      <sheetName val="Division_815"/>
      <sheetName val="Division_915"/>
      <sheetName val="Division_1015"/>
      <sheetName val="Division_1215"/>
      <sheetName val="Division_1415"/>
      <sheetName val="Division_2118"/>
      <sheetName val="Division_2216"/>
      <sheetName val="Division_2315"/>
      <sheetName val="Division_2615"/>
      <sheetName val="Division_2715"/>
      <sheetName val="Division_2815"/>
      <sheetName val="Division_3115"/>
      <sheetName val="Division_3215"/>
      <sheetName val="Division_3315"/>
      <sheetName val="PMWeb_data16"/>
      <sheetName val="PointNo_515"/>
      <sheetName val="2_2)Revised_Cash_Flow15"/>
      <sheetName val="Employee_List13"/>
      <sheetName val="SS_MH16"/>
      <sheetName val="Index_List15"/>
      <sheetName val="Type_List15"/>
      <sheetName val="File_Types15"/>
      <sheetName val="Chiet_t15"/>
      <sheetName val="Staffing_and_Rates_IA15"/>
      <sheetName val="입찰내역_발주처_양식15"/>
      <sheetName val="Summary_of_Work13"/>
      <sheetName val="LIST_DO_NOT_REMOVE14"/>
      <sheetName val="Material_List_15"/>
      <sheetName val="PRECAST_lightconc-II17"/>
      <sheetName val="final_abstract17"/>
      <sheetName val="B6_2_14"/>
      <sheetName val="Staff_Acco_13"/>
      <sheetName val="TBAL9697_-group_wise__sdpl13"/>
      <sheetName val="Project_Cost_Breakdown13"/>
      <sheetName val="Item-_Compact13"/>
      <sheetName val="E_&amp;_R13"/>
      <sheetName val="Рабочий_лист12"/>
      <sheetName val="Annex_1_Sect_3a13"/>
      <sheetName val="Annex_1_Sect_3a_113"/>
      <sheetName val="Annex_1_Sect_3b13"/>
      <sheetName val="Annex_1_Sect_3c13"/>
      <sheetName val="HOURLY_RATES13"/>
      <sheetName val="PT_141-_Site_A_Landscape12"/>
      <sheetName val="SITE_WORK12"/>
      <sheetName val="Rate_summary12"/>
      <sheetName val="d-safe_DELUXE12"/>
      <sheetName val="Back_up12"/>
      <sheetName val="RAB_AR&amp;STR12"/>
      <sheetName val="Duct_Accesories12"/>
      <sheetName val="train_cash12"/>
      <sheetName val="accom_cash12"/>
      <sheetName val="INDIGINEOUS_ITEMS_12"/>
      <sheetName val="Common_Variables12"/>
      <sheetName val="Mall_waterproofing12"/>
      <sheetName val="MSCP_waterproofing12"/>
      <sheetName val="[SHOPLIST_xls]70,/0s«iÆøí¬i12"/>
      <sheetName val="GPL_Revenu_Update12"/>
      <sheetName val="DO_NOT_TOUCH12"/>
      <sheetName val="Work_Type12"/>
      <sheetName val="????_???_??12"/>
      <sheetName val="Labour_&amp;_Plant12"/>
      <sheetName val="Ave_wtd_rates12"/>
      <sheetName val="Debits_as_on_12_04_0812"/>
      <sheetName val="STAFFSCHED_12"/>
      <sheetName val="TRIAL_BALANCE12"/>
      <sheetName val="[SHOPLIST_xls][SHOPLIST_xls]718"/>
      <sheetName val="PROJECT_BRIEF(EX_NEW)12"/>
      <sheetName val="PPA_Summary8"/>
      <sheetName val="Mix_Design8"/>
      <sheetName val="AREA_OF_APPLICATION11"/>
      <sheetName val="Risk_Breakdown_Structure11"/>
      <sheetName val="Geneí¬_i11"/>
      <sheetName val="steel_total11"/>
      <sheetName val="ELE_BOQ11"/>
      <sheetName val="Z-_GENERAL_PRICE_SUMMARY8"/>
      <sheetName val="Resumo_Empreitadas8"/>
      <sheetName val="%_prog_figs_-u5_and_total8"/>
      <sheetName val="_VWVU))tÏØ0__9"/>
      <sheetName val="Floor_Box_9"/>
      <sheetName val="[SHOPLIST_xls]/VW7"/>
      <sheetName val="[SHOPLIST_xls]/VWVU))tÏØ0__29"/>
      <sheetName val="[SHOPLIST_xls]/VWVU))tÏØ0__30"/>
      <sheetName val="Equipment_Rates7"/>
      <sheetName val="Cashflow_projection7"/>
      <sheetName val="[SHOPLIST_xls][SHOPLIST_xls]719"/>
      <sheetName val="E_H_-_H__W_P_7"/>
      <sheetName val="E__H__Treatment_for_pile_cap7"/>
      <sheetName val="[SHOPLIST_xls][SHOPLIST_xls][S7"/>
      <sheetName val="Materials_7"/>
      <sheetName val="Form_67"/>
      <sheetName val="Risk_Register7"/>
      <sheetName val="Revised_Front_Page7"/>
      <sheetName val="Diff_Run01&amp;Run027"/>
      <sheetName val="CCS_Summary7"/>
      <sheetName val="1_Carillion_Staff7"/>
      <sheetName val="_2_Staff_&amp;_Gen_labour7"/>
      <sheetName val="3_Offices7"/>
      <sheetName val="4_TempServ7"/>
      <sheetName val="__5_Temp_Wks7"/>
      <sheetName val="_6_Addn_Plant7"/>
      <sheetName val="_7__Transport7"/>
      <sheetName val="_8_Testing7"/>
      <sheetName val="9__Miscellaneous7"/>
      <sheetName val="10__Design7"/>
      <sheetName val="_11_Insurances7"/>
      <sheetName val="_12_Client_Req_7"/>
      <sheetName val="Risk_List7"/>
      <sheetName val="Track_of_Changes7"/>
      <sheetName val="Bill_8_Doors_&amp;_Windows7"/>
      <sheetName val="Bill_9_Finishes_7"/>
      <sheetName val="Bill_10_Specialities7"/>
      <sheetName val="Dash_board7"/>
      <sheetName val="[SHOPLIST_xls]707"/>
      <sheetName val="[SHOPLIST_xls]70,7"/>
      <sheetName val="Site_Dev_BOQ7"/>
      <sheetName val="1_2_Staff_Schedule8"/>
      <sheetName val="[SHOPLIST_xls]/VWVU))tÏØ0__37"/>
      <sheetName val="[SHOPLIST_xls]/VWVU))tÏØ0__38"/>
      <sheetName val="Cost_Heading4"/>
      <sheetName val="D_&amp;_W_sizes4"/>
      <sheetName val="SOPMA_DD4"/>
      <sheetName val="PRICE_INFO4"/>
      <sheetName val="RC_SUMMARY4"/>
      <sheetName val="LABOUR_PRODUCTIVITY-TAV4"/>
      <sheetName val="MATERIAL_PRICES4"/>
      <sheetName val="P-100_MRF_DB_R14"/>
      <sheetName val="Base_BM-rebar7"/>
      <sheetName val="Contract_Division5"/>
      <sheetName val="SubContract_Type5"/>
      <sheetName val="Service_Type5"/>
      <sheetName val="Attach_4-184"/>
      <sheetName val="Area_Breakdown_PER_LEVEL_LINK7"/>
      <sheetName val="CF_Input7"/>
      <sheetName val="DATA_INPUT7"/>
      <sheetName val="Vordruck-Nr__7_1_3_D7"/>
      <sheetName val="M&amp;A_D7"/>
      <sheetName val="M&amp;A_E7"/>
      <sheetName val="M&amp;A_G7"/>
      <sheetName val="_SHOPLIST_xls_704"/>
      <sheetName val="_SHOPLIST_xls_70,_0s«iÆøí¬i4"/>
      <sheetName val="Data_Sheet7"/>
      <sheetName val="tender_allowances7"/>
      <sheetName val="_Summary_BKG_0347"/>
      <sheetName val="BILL_3R7"/>
      <sheetName val="BLOCK-A_(MEA_SHEET)7"/>
      <sheetName val="Bill_107"/>
      <sheetName val="Labour_Costs7"/>
      <sheetName val="Ewaan_Show_Kitchen_(2)4"/>
      <sheetName val="Cash_Flow_Working4"/>
      <sheetName val="MN_T_B_4"/>
      <sheetName val="Data_I_(2)4"/>
      <sheetName val="rEFERENCES_4"/>
      <sheetName val="Qtys_ZamZam_(Del__before)4"/>
      <sheetName val="Qtys_Relocation_(Del_before)4"/>
      <sheetName val="_Qtys_Sub_&amp;_Tents_(Del__before4"/>
      <sheetName val="Qtys__Signages_(Del__before)4"/>
      <sheetName val="Qtys_Temporary_Passages_(Del)4"/>
      <sheetName val="_Qtys_Ser__Rooms_(Del_before)4"/>
      <sheetName val="Labour_Rate_4"/>
      <sheetName val="[SHOPLIST_xls]/VWVU))tÏØ0__39"/>
      <sheetName val="[SHOPLIST_xls]70,/0s«_iÆø_í¬_i7"/>
      <sheetName val="[SHOPLIST_xls]70?,/0?s«i?Æøí¬i7"/>
      <sheetName val="/VWVU))tÏØ0__15"/>
      <sheetName val="GFA_HQ_Building26"/>
      <sheetName val="GFA_Conference25"/>
      <sheetName val="BQ_External25"/>
      <sheetName val="Penthouse_Apartment24"/>
      <sheetName val="Raw_Data24"/>
      <sheetName val="StattCo_yCharges24"/>
      <sheetName val="LEVEL_SHEET24"/>
      <sheetName val="SPT_vs_PHI24"/>
      <sheetName val="LABOUR_HISTOGRAM25"/>
      <sheetName val="Chiet_tinh_dz2224"/>
      <sheetName val="Chiet_tinh_dz3524"/>
      <sheetName val="@risk_rents_and_incentives24"/>
      <sheetName val="Car_park_lease24"/>
      <sheetName val="Net_rent_analysis24"/>
      <sheetName val="Poz-1_24"/>
      <sheetName val="Graph_Data_(DO_NOT_PRINT)24"/>
      <sheetName val="Bill_No__224"/>
      <sheetName val="CT_Thang_Mo24"/>
      <sheetName val="Lab_Cum_Hist24"/>
      <sheetName val="CT__PL23"/>
      <sheetName val="Projet,_methodes_&amp;_couts23"/>
      <sheetName val="Risques_majeurs_&amp;_Frais_Ind_23"/>
      <sheetName val="FOL_-_Bar24"/>
      <sheetName val="budget_summary_(2)23"/>
      <sheetName val="Budget_Analysis_Summary23"/>
      <sheetName val="intr_stool_brkup23"/>
      <sheetName val="Tender_Summary24"/>
      <sheetName val="Insurance_Ext24"/>
      <sheetName val="Customize_Your_Invoice24"/>
      <sheetName val="HVAC_BoQ24"/>
      <sheetName val="Body_Sheet23"/>
      <sheetName val="1_0_Executive_Summary23"/>
      <sheetName val="Top_sheet23"/>
      <sheetName val="Bill_222"/>
      <sheetName val="Ap_A21"/>
      <sheetName val="2_Div_14_21"/>
      <sheetName val="SHOPLIST_xls20"/>
      <sheetName val="beam-reinft-IIInd_floor20"/>
      <sheetName val="beam-reinft-machine_rm20"/>
      <sheetName val="Bill_121"/>
      <sheetName val="Bill_321"/>
      <sheetName val="Bill_421"/>
      <sheetName val="Bill_521"/>
      <sheetName val="Bill_621"/>
      <sheetName val="Bill_721"/>
      <sheetName val="POWER_ASSUMPTIONS20"/>
      <sheetName val="Civil_Boq19"/>
      <sheetName val="PROJECT_BRIEF21"/>
      <sheetName val="Invoice_Summary20"/>
      <sheetName val="C_(3)21"/>
      <sheetName val="Dubai_golf20"/>
      <sheetName val="Softscape_Buildup19"/>
      <sheetName val="Mat'l_Rate19"/>
      <sheetName val="WITHOUT_C&amp;I_PROFIT_(3)19"/>
      <sheetName val="Activity_List19"/>
      <sheetName val="HIRED_LABOUR_CODE17"/>
      <sheetName val="PA-_Consutant_17"/>
      <sheetName val="foot-slab_reinft17"/>
      <sheetName val="DETAILED__BOQ17"/>
      <sheetName val="M-Book_for_Conc17"/>
      <sheetName val="M-Book_for_FW17"/>
      <sheetName val="BILL_COV17"/>
      <sheetName val="Ra__stair17"/>
      <sheetName val="VALVE_CHAMBERS16"/>
      <sheetName val="Fire_Hydrants16"/>
      <sheetName val="B_GATE_VALVE16"/>
      <sheetName val="Sub_G1_Fire16"/>
      <sheetName val="Sub_G12_Fire16"/>
      <sheetName val="Eq__Mobilization15"/>
      <sheetName val="w't_table14"/>
      <sheetName val="Materials_Cost(PCC)16"/>
      <sheetName val="India_F&amp;S_Template16"/>
      <sheetName val="IO_LIST16"/>
      <sheetName val="Material_16"/>
      <sheetName val="Quote_Sheet16"/>
      <sheetName val="Day_work16"/>
      <sheetName val="bill_nb2-Plumbing_&amp;_Drainag14"/>
      <sheetName val="Pl_&amp;_Dr_B14"/>
      <sheetName val="Pl_&amp;_Dr_G14"/>
      <sheetName val="Pl_&amp;_Dr_M14"/>
      <sheetName val="Pl_&amp;_Dr_114"/>
      <sheetName val="Pl_&amp;_Dr_214"/>
      <sheetName val="Pl_&amp;_Dr_314"/>
      <sheetName val="Pl_&amp;_Dr_414"/>
      <sheetName val="Pl_&amp;_Dr_514"/>
      <sheetName val="Pl_&amp;_Dr_614"/>
      <sheetName val="Pl_&amp;_Dr_714"/>
      <sheetName val="Pl_&amp;_Dr_814"/>
      <sheetName val="Pl_&amp;_Dr_R14"/>
      <sheetName val="FF_B14"/>
      <sheetName val="FF_G14"/>
      <sheetName val="FF_M14"/>
      <sheetName val="FF_114"/>
      <sheetName val="FF_2_14"/>
      <sheetName val="FF_314"/>
      <sheetName val="FF_414"/>
      <sheetName val="FF_514"/>
      <sheetName val="FF_6_14"/>
      <sheetName val="FF_714"/>
      <sheetName val="FF_814"/>
      <sheetName val="FF_R14"/>
      <sheetName val="bill_nb3-FF14"/>
      <sheetName val="HVAC_B14"/>
      <sheetName val="HVAC_G14"/>
      <sheetName val="HVAC_M14"/>
      <sheetName val="HVAC_114"/>
      <sheetName val="HVAC_214"/>
      <sheetName val="HVAC_314"/>
      <sheetName val="HVAC_414"/>
      <sheetName val="HVAC_514"/>
      <sheetName val="HVAC_614"/>
      <sheetName val="HVAC_714"/>
      <sheetName val="HVAC_814"/>
      <sheetName val="HVAC_R14"/>
      <sheetName val="bill_nb4-HVAC14"/>
      <sheetName val="SC_B14"/>
      <sheetName val="SC_G14"/>
      <sheetName val="SC_M14"/>
      <sheetName val="SC_114"/>
      <sheetName val="SC_214"/>
      <sheetName val="SC_314"/>
      <sheetName val="SC_414"/>
      <sheetName val="SC_514"/>
      <sheetName val="SC_614"/>
      <sheetName val="SC_714"/>
      <sheetName val="SC_814"/>
      <sheetName val="SC_R14"/>
      <sheetName val="AV_B14"/>
      <sheetName val="AV_G14"/>
      <sheetName val="AV_M14"/>
      <sheetName val="AV_114"/>
      <sheetName val="AV_214"/>
      <sheetName val="AV_314"/>
      <sheetName val="AV_414"/>
      <sheetName val="AV_514"/>
      <sheetName val="AV_614"/>
      <sheetName val="AV_714"/>
      <sheetName val="AV_814"/>
      <sheetName val="EL_B14"/>
      <sheetName val="EL_M14"/>
      <sheetName val="EL_114"/>
      <sheetName val="EL_214"/>
      <sheetName val="EL_314"/>
      <sheetName val="EL_414"/>
      <sheetName val="EL_514"/>
      <sheetName val="EL_614"/>
      <sheetName val="EL_714"/>
      <sheetName val="EL_814"/>
      <sheetName val="EL_R14"/>
      <sheetName val="EL_TR14"/>
      <sheetName val="8-_EL14"/>
      <sheetName val="FA_B14"/>
      <sheetName val="FA_G14"/>
      <sheetName val="FA_M14"/>
      <sheetName val="FA_114"/>
      <sheetName val="FA_214"/>
      <sheetName val="FA_314"/>
      <sheetName val="FA_414"/>
      <sheetName val="FA_514"/>
      <sheetName val="FA_614"/>
      <sheetName val="FA_714"/>
      <sheetName val="FA_814"/>
      <sheetName val="FA_R14"/>
      <sheetName val="9-_FA14"/>
      <sheetName val="Div__0215"/>
      <sheetName val="Div__0315"/>
      <sheetName val="Div__0415"/>
      <sheetName val="Div__0515"/>
      <sheetName val="Div__0615"/>
      <sheetName val="Div__0715"/>
      <sheetName val="Div__0815"/>
      <sheetName val="Div__0915"/>
      <sheetName val="Div__1015"/>
      <sheetName val="Div__1115"/>
      <sheetName val="Div__1215"/>
      <sheetName val="Div_1315"/>
      <sheetName val="EXTERNAL_WORKS15"/>
      <sheetName val="PRODUCTIVITY_RATE15"/>
      <sheetName val="U_R_A_-_MASONRY15"/>
      <sheetName val="U_R_A_-_PLASTERING15"/>
      <sheetName val="U_R_A_-_TILING15"/>
      <sheetName val="U_R_A_-_GRANITE15"/>
      <sheetName val="V_C_2_-_EARTHWORK15"/>
      <sheetName val="V_C_9_-_CERAMIC15"/>
      <sheetName val="V_C_9_-_FINISHES15"/>
      <sheetName val="B09_115"/>
      <sheetName val="BOQ_Direct_selling_cost16"/>
      <sheetName val="Working_for_RCC15"/>
      <sheetName val="B185-B-9_115"/>
      <sheetName val="B185-B-9_215"/>
      <sheetName val="CHART_OF_ACCOUNTS15"/>
      <sheetName val="E-Bill_No_6_A-O15"/>
      <sheetName val="Elemental_Buildup14"/>
      <sheetName val="Division_243"/>
      <sheetName val="Division_414"/>
      <sheetName val="Division_514"/>
      <sheetName val="Division_614"/>
      <sheetName val="Division_714"/>
      <sheetName val="Division_814"/>
      <sheetName val="Division_914"/>
      <sheetName val="Division_1014"/>
      <sheetName val="Division_1214"/>
      <sheetName val="Division_1414"/>
      <sheetName val="Division_2117"/>
      <sheetName val="Division_2215"/>
      <sheetName val="Division_2314"/>
      <sheetName val="Division_2614"/>
      <sheetName val="Division_2714"/>
      <sheetName val="Division_2814"/>
      <sheetName val="Division_3114"/>
      <sheetName val="Division_3214"/>
      <sheetName val="Division_3314"/>
      <sheetName val="PMWeb_data15"/>
      <sheetName val="PointNo_514"/>
      <sheetName val="2_2)Revised_Cash_Flow14"/>
      <sheetName val="Employee_List12"/>
      <sheetName val="SS_MH15"/>
      <sheetName val="Index_List14"/>
      <sheetName val="Type_List14"/>
      <sheetName val="File_Types14"/>
      <sheetName val="Chiet_t14"/>
      <sheetName val="Staffing_and_Rates_IA14"/>
      <sheetName val="입찰내역_발주처_양식14"/>
      <sheetName val="Summary_of_Work12"/>
      <sheetName val="LIST_DO_NOT_REMOVE13"/>
      <sheetName val="Material_List_14"/>
      <sheetName val="PRECAST_lightconc-II16"/>
      <sheetName val="final_abstract16"/>
      <sheetName val="B6_2_13"/>
      <sheetName val="Staff_Acco_12"/>
      <sheetName val="TBAL9697_-group_wise__sdpl12"/>
      <sheetName val="Project_Cost_Breakdown12"/>
      <sheetName val="Item-_Compact12"/>
      <sheetName val="E_&amp;_R12"/>
      <sheetName val="Рабочий_лист11"/>
      <sheetName val="Annex_1_Sect_3a12"/>
      <sheetName val="Annex_1_Sect_3a_112"/>
      <sheetName val="Annex_1_Sect_3b12"/>
      <sheetName val="Annex_1_Sect_3c12"/>
      <sheetName val="HOURLY_RATES12"/>
      <sheetName val="PT_141-_Site_A_Landscape11"/>
      <sheetName val="SITE_WORK11"/>
      <sheetName val="Rate_summary11"/>
      <sheetName val="d-safe_DELUXE11"/>
      <sheetName val="Back_up11"/>
      <sheetName val="RAB_AR&amp;STR11"/>
      <sheetName val="Duct_Accesories11"/>
      <sheetName val="train_cash11"/>
      <sheetName val="accom_cash11"/>
      <sheetName val="INDIGINEOUS_ITEMS_11"/>
      <sheetName val="Common_Variables11"/>
      <sheetName val="Mall_waterproofing11"/>
      <sheetName val="MSCP_waterproofing11"/>
      <sheetName val="[SHOPLIST_xls]70,/0s«iÆøí¬i11"/>
      <sheetName val="GPL_Revenu_Update11"/>
      <sheetName val="DO_NOT_TOUCH11"/>
      <sheetName val="Work_Type11"/>
      <sheetName val="????_???_??11"/>
      <sheetName val="Labour_&amp;_Plant11"/>
      <sheetName val="Ave_wtd_rates11"/>
      <sheetName val="Debits_as_on_12_04_0811"/>
      <sheetName val="STAFFSCHED_11"/>
      <sheetName val="TRIAL_BALANCE11"/>
      <sheetName val="[SHOPLIST_xls][SHOPLIST_xls]716"/>
      <sheetName val="PROJECT_BRIEF(EX_NEW)11"/>
      <sheetName val="PPA_Summary7"/>
      <sheetName val="Mix_Design7"/>
      <sheetName val="AREA_OF_APPLICATION10"/>
      <sheetName val="Risk_Breakdown_Structure10"/>
      <sheetName val="Geneí¬_i10"/>
      <sheetName val="steel_total10"/>
      <sheetName val="ELE_BOQ10"/>
      <sheetName val="Z-_GENERAL_PRICE_SUMMARY7"/>
      <sheetName val="Resumo_Empreitadas7"/>
      <sheetName val="%_prog_figs_-u5_and_total7"/>
      <sheetName val="_VWVU))tÏØ0__8"/>
      <sheetName val="Floor_Box_8"/>
      <sheetName val="[SHOPLIST_xls]/VW6"/>
      <sheetName val="[SHOPLIST_xls]/VWVU))tÏØ0__20"/>
      <sheetName val="[SHOPLIST_xls]/VWVU))tÏØ0__26"/>
      <sheetName val="Equipment_Rates6"/>
      <sheetName val="Cashflow_projection6"/>
      <sheetName val="[SHOPLIST_xls][SHOPLIST_xls]717"/>
      <sheetName val="E_H_-_H__W_P_6"/>
      <sheetName val="E__H__Treatment_for_pile_cap6"/>
      <sheetName val="[SHOPLIST_xls][SHOPLIST_xls][S6"/>
      <sheetName val="Materials_6"/>
      <sheetName val="Form_66"/>
      <sheetName val="Risk_Register6"/>
      <sheetName val="Revised_Front_Page6"/>
      <sheetName val="Diff_Run01&amp;Run026"/>
      <sheetName val="CCS_Summary6"/>
      <sheetName val="1_Carillion_Staff6"/>
      <sheetName val="_2_Staff_&amp;_Gen_labour6"/>
      <sheetName val="3_Offices6"/>
      <sheetName val="4_TempServ6"/>
      <sheetName val="__5_Temp_Wks6"/>
      <sheetName val="_6_Addn_Plant6"/>
      <sheetName val="_7__Transport6"/>
      <sheetName val="_8_Testing6"/>
      <sheetName val="9__Miscellaneous6"/>
      <sheetName val="10__Design6"/>
      <sheetName val="_11_Insurances6"/>
      <sheetName val="_12_Client_Req_6"/>
      <sheetName val="Risk_List6"/>
      <sheetName val="Track_of_Changes6"/>
      <sheetName val="Bill_8_Doors_&amp;_Windows6"/>
      <sheetName val="Bill_9_Finishes_6"/>
      <sheetName val="Bill_10_Specialities6"/>
      <sheetName val="Dash_board6"/>
      <sheetName val="[SHOPLIST_xls]706"/>
      <sheetName val="[SHOPLIST_xls]70,6"/>
      <sheetName val="Site_Dev_BOQ6"/>
      <sheetName val="1_2_Staff_Schedule7"/>
      <sheetName val="[SHOPLIST_xls]/VWVU))tÏØ0__27"/>
      <sheetName val="[SHOPLIST_xls]/VWVU))tÏØ0__28"/>
      <sheetName val="Cost_Heading3"/>
      <sheetName val="D_&amp;_W_sizes3"/>
      <sheetName val="SOPMA_DD3"/>
      <sheetName val="PRICE_INFO3"/>
      <sheetName val="RC_SUMMARY3"/>
      <sheetName val="LABOUR_PRODUCTIVITY-TAV3"/>
      <sheetName val="MATERIAL_PRICES3"/>
      <sheetName val="P-100_MRF_DB_R13"/>
      <sheetName val="Base_BM-rebar6"/>
      <sheetName val="Contract_Division4"/>
      <sheetName val="SubContract_Type4"/>
      <sheetName val="Service_Type4"/>
      <sheetName val="Attach_4-183"/>
      <sheetName val="Area_Breakdown_PER_LEVEL_LINK6"/>
      <sheetName val="CF_Input6"/>
      <sheetName val="DATA_INPUT6"/>
      <sheetName val="Vordruck-Nr__7_1_3_D6"/>
      <sheetName val="M&amp;A_D6"/>
      <sheetName val="M&amp;A_E6"/>
      <sheetName val="M&amp;A_G6"/>
      <sheetName val="_SHOPLIST_xls_703"/>
      <sheetName val="_SHOPLIST_xls_70,_0s«iÆøí¬i3"/>
      <sheetName val="Data_Sheet6"/>
      <sheetName val="tender_allowances6"/>
      <sheetName val="_Summary_BKG_0346"/>
      <sheetName val="BILL_3R6"/>
      <sheetName val="BLOCK-A_(MEA_SHEET)6"/>
      <sheetName val="Bill_106"/>
      <sheetName val="Labour_Costs6"/>
      <sheetName val="Ewaan_Show_Kitchen_(2)3"/>
      <sheetName val="Cash_Flow_Working3"/>
      <sheetName val="MN_T_B_3"/>
      <sheetName val="Data_I_(2)3"/>
      <sheetName val="rEFERENCES_3"/>
      <sheetName val="Qtys_ZamZam_(Del__before)3"/>
      <sheetName val="Qtys_Relocation_(Del_before)3"/>
      <sheetName val="_Qtys_Sub_&amp;_Tents_(Del__before3"/>
      <sheetName val="Qtys__Signages_(Del__before)3"/>
      <sheetName val="Qtys_Temporary_Passages_(Del)3"/>
      <sheetName val="_Qtys_Ser__Rooms_(Del_before)3"/>
      <sheetName val="Labour_Rate_3"/>
      <sheetName val="[SHOPLIST_xls]/VWVU))tÏØ0__36"/>
      <sheetName val="[SHOPLIST_xls]70,/0s«_iÆø_í¬_i6"/>
      <sheetName val="[SHOPLIST_xls]70?,/0?s«i?Æøí¬i6"/>
      <sheetName val="C-A"/>
      <sheetName val="Sec. A-PQ"/>
      <sheetName val="C-B"/>
      <sheetName val="Preamble B"/>
      <sheetName val="C-C"/>
      <sheetName val="Sec. C-Dayworks"/>
      <sheetName val="C-D"/>
      <sheetName val="d1-OPT1"/>
      <sheetName val="d1-OPT2"/>
      <sheetName val="d2"/>
      <sheetName val="d3"/>
      <sheetName val="d4"/>
      <sheetName val="d5 "/>
      <sheetName val="D6"/>
      <sheetName val="D7"/>
      <sheetName val="d8"/>
      <sheetName val="d9"/>
      <sheetName val="d10"/>
      <sheetName val="d11"/>
      <sheetName val="d12"/>
      <sheetName val="d13"/>
      <sheetName val="d14"/>
      <sheetName val="d15"/>
      <sheetName val="d16"/>
      <sheetName val="D17"/>
      <sheetName val="d18"/>
      <sheetName val="C-E"/>
      <sheetName val="e-OPT1"/>
      <sheetName val="e-OPT2"/>
      <sheetName val="C-F"/>
      <sheetName val="f"/>
      <sheetName val="d14(ss)"/>
      <sheetName val="主材价格"/>
      <sheetName val="各楼量单项组价及与DAR单价对比"/>
      <sheetName val="공문"/>
      <sheetName val="____ ___ __"/>
      <sheetName val="AOP_Summary-2"/>
      <sheetName val="May_05"/>
      <sheetName val="April_05"/>
      <sheetName val="Aug_05"/>
      <sheetName val="July_05"/>
      <sheetName val="June_05"/>
      <sheetName val="Nov_05"/>
      <sheetName val="Oct_05"/>
      <sheetName val="Sep_05"/>
      <sheetName val="May_051"/>
      <sheetName val="April_051"/>
      <sheetName val="Aug_051"/>
      <sheetName val="July_051"/>
      <sheetName val="June_051"/>
      <sheetName val="Nov_051"/>
      <sheetName val="Oct_051"/>
      <sheetName val="Sep_051"/>
      <sheetName val="___________"/>
      <sheetName val="precast_RC_element"/>
      <sheetName val="pile_Fabrication"/>
      <sheetName val="New_Bld"/>
      <sheetName val="Sec__A-PQ"/>
      <sheetName val="Preamble_B"/>
      <sheetName val="Sec__C-Dayworks"/>
      <sheetName val="d5_"/>
      <sheetName val="Finansal_tamamlanma_Eğrisi"/>
      <sheetName val="AOP_Summary-21"/>
      <sheetName val="[SHOPLIST_xls]/VWVU))tÏØ0__51"/>
      <sheetName val="2_Plex"/>
      <sheetName val="Sheet1_(2)"/>
      <sheetName val="4_Plex"/>
      <sheetName val="6_Plex_"/>
      <sheetName val="Detailed_Summary"/>
      <sheetName val="Sheet1_(3)"/>
      <sheetName val="Sheet1_(4)"/>
      <sheetName val="HB_CEC_schd_4_2"/>
      <sheetName val="HB_CEC_schd_4_3"/>
      <sheetName val="HB_CEC_schd_5_2"/>
      <sheetName val="HB_CEC_schd_6_2"/>
      <sheetName val="HB_CEC_schd_7_2"/>
      <sheetName val="HB_CEC_schd_9_2"/>
      <sheetName val="Doha_Farm"/>
      <sheetName val="Dropdown_List"/>
      <sheetName val="BOQ_(2)"/>
      <sheetName val="LABOUR_RATE"/>
      <sheetName val="Material_Rate"/>
      <sheetName val="Labor_abs-PW"/>
      <sheetName val="Labor_abs-NMR"/>
      <sheetName val="kppl_pl"/>
      <sheetName val="Basic_Rates"/>
      <sheetName val="Combined_Results_"/>
      <sheetName val="Asset_Allocation_(CR)"/>
      <sheetName val="Project_Benchmarking"/>
      <sheetName val="1_-_Main_Building"/>
      <sheetName val="1_-_Summary"/>
      <sheetName val="2_-_Landscaping_Works"/>
      <sheetName val="2_-_Summary"/>
      <sheetName val="4_-_Bldg_Infra"/>
      <sheetName val="4_-_Summary"/>
      <sheetName val="Dashboard_(1)"/>
      <sheetName val="VO_Agreed_to_Unifier_Sum"/>
      <sheetName val="VO_Not_yet_Agreed_to_Unifier"/>
      <sheetName val="VO_Anticipated_to_Unifier"/>
      <sheetName val="EW_to_Unifier"/>
      <sheetName val="Prov_Sums"/>
      <sheetName val="Other_Amounts"/>
      <sheetName val="Div_07_Thermal_&amp;_Moisture"/>
      <sheetName val="Status_Summary"/>
      <sheetName val="GFA_HQ_Building29"/>
      <sheetName val="GFA_Conference28"/>
      <sheetName val="Chiet_tinh_dz2227"/>
      <sheetName val="Chiet_tinh_dz3527"/>
      <sheetName val="BQ_External28"/>
      <sheetName val="StattCo_yCharges27"/>
      <sheetName val="CT_Thang_Mo27"/>
      <sheetName val="Raw_Data27"/>
      <sheetName val="Penthouse_Apartment27"/>
      <sheetName val="LABOUR_HISTOGRAM28"/>
      <sheetName val="@risk_rents_and_incentives27"/>
      <sheetName val="Car_park_lease27"/>
      <sheetName val="Net_rent_analysis27"/>
      <sheetName val="Poz-1_27"/>
      <sheetName val="Lab_Cum_Hist27"/>
      <sheetName val="Graph_Data_(DO_NOT_PRINT)27"/>
      <sheetName val="CT__PL26"/>
      <sheetName val="Projet,_methodes_&amp;_couts26"/>
      <sheetName val="Risques_majeurs_&amp;_Frais_Ind_26"/>
      <sheetName val="LEVEL_SHEET27"/>
      <sheetName val="SPT_vs_PHI27"/>
      <sheetName val="Bill_No__227"/>
      <sheetName val="budget_summary_(2)26"/>
      <sheetName val="Budget_Analysis_Summary26"/>
      <sheetName val="Customize_Your_Invoice27"/>
      <sheetName val="HVAC_BoQ27"/>
      <sheetName val="FOL_-_Bar27"/>
      <sheetName val="Tender_Summary27"/>
      <sheetName val="Insurance_Ext27"/>
      <sheetName val="intr_stool_brkup26"/>
      <sheetName val="Top_sheet26"/>
      <sheetName val="Body_Sheet26"/>
      <sheetName val="1_0_Executive_Summary26"/>
      <sheetName val="Bill_124"/>
      <sheetName val="Bill_225"/>
      <sheetName val="Bill_324"/>
      <sheetName val="Bill_424"/>
      <sheetName val="Bill_524"/>
      <sheetName val="Bill_624"/>
      <sheetName val="Bill_724"/>
      <sheetName val="2_Div_14_24"/>
      <sheetName val="Ap_A24"/>
      <sheetName val="SHOPLIST_xls23"/>
      <sheetName val="Dubai_golf23"/>
      <sheetName val="beam-reinft-IIInd_floor23"/>
      <sheetName val="beam-reinft-machine_rm23"/>
      <sheetName val="POWER_ASSUMPTIONS23"/>
      <sheetName val="Invoice_Summary23"/>
      <sheetName val="PROJECT_BRIEF24"/>
      <sheetName val="C_(3)24"/>
      <sheetName val="Civil_Boq22"/>
      <sheetName val="WITHOUT_C&amp;I_PROFIT_(3)22"/>
      <sheetName val="VALVE_CHAMBERS19"/>
      <sheetName val="Fire_Hydrants19"/>
      <sheetName val="B_GATE_VALVE19"/>
      <sheetName val="Sub_G1_Fire19"/>
      <sheetName val="Sub_G12_Fire19"/>
      <sheetName val="BILL_COV20"/>
      <sheetName val="Activity_List22"/>
      <sheetName val="DETAILED__BOQ20"/>
      <sheetName val="M-Book_for_Conc20"/>
      <sheetName val="M-Book_for_FW20"/>
      <sheetName val="HIRED_LABOUR_CODE20"/>
      <sheetName val="PA-_Consutant_20"/>
      <sheetName val="foot-slab_reinft20"/>
      <sheetName val="Softscape_Buildup22"/>
      <sheetName val="Mat'l_Rate22"/>
      <sheetName val="Ra__stair20"/>
      <sheetName val="Materials_Cost(PCC)19"/>
      <sheetName val="India_F&amp;S_Template19"/>
      <sheetName val="IO_LIST19"/>
      <sheetName val="Material_19"/>
      <sheetName val="Quote_Sheet19"/>
      <sheetName val="Day_work19"/>
      <sheetName val="Div__0218"/>
      <sheetName val="Div__0318"/>
      <sheetName val="Div__0418"/>
      <sheetName val="Div__0518"/>
      <sheetName val="Div__0618"/>
      <sheetName val="Div__0718"/>
      <sheetName val="Div__0818"/>
      <sheetName val="Div__0918"/>
      <sheetName val="Div__1018"/>
      <sheetName val="Div__1118"/>
      <sheetName val="Div__1218"/>
      <sheetName val="Div_1318"/>
      <sheetName val="EXTERNAL_WORKS18"/>
      <sheetName val="PRODUCTIVITY_RATE18"/>
      <sheetName val="U_R_A_-_MASONRY18"/>
      <sheetName val="U_R_A_-_PLASTERING18"/>
      <sheetName val="U_R_A_-_TILING18"/>
      <sheetName val="U_R_A_-_GRANITE18"/>
      <sheetName val="V_C_2_-_EARTHWORK18"/>
      <sheetName val="V_C_9_-_CERAMIC18"/>
      <sheetName val="V_C_9_-_FINISHES18"/>
      <sheetName val="Working_for_RCC18"/>
      <sheetName val="Elemental_Buildup17"/>
      <sheetName val="Eq__Mobilization18"/>
      <sheetName val="w't_table17"/>
      <sheetName val="bill_nb2-Plumbing_&amp;_Drainag17"/>
      <sheetName val="Pl_&amp;_Dr_B17"/>
      <sheetName val="Pl_&amp;_Dr_G17"/>
      <sheetName val="Pl_&amp;_Dr_M17"/>
      <sheetName val="Pl_&amp;_Dr_117"/>
      <sheetName val="Pl_&amp;_Dr_217"/>
      <sheetName val="Pl_&amp;_Dr_317"/>
      <sheetName val="Pl_&amp;_Dr_417"/>
      <sheetName val="Pl_&amp;_Dr_517"/>
      <sheetName val="Pl_&amp;_Dr_617"/>
      <sheetName val="Pl_&amp;_Dr_717"/>
      <sheetName val="Pl_&amp;_Dr_817"/>
      <sheetName val="Pl_&amp;_Dr_R17"/>
      <sheetName val="FF_B17"/>
      <sheetName val="FF_G17"/>
      <sheetName val="FF_M17"/>
      <sheetName val="FF_117"/>
      <sheetName val="FF_2_17"/>
      <sheetName val="FF_317"/>
      <sheetName val="FF_417"/>
      <sheetName val="FF_517"/>
      <sheetName val="FF_6_17"/>
      <sheetName val="FF_717"/>
      <sheetName val="FF_817"/>
      <sheetName val="FF_R17"/>
      <sheetName val="bill_nb3-FF17"/>
      <sheetName val="HVAC_B17"/>
      <sheetName val="HVAC_G17"/>
      <sheetName val="HVAC_M17"/>
      <sheetName val="HVAC_117"/>
      <sheetName val="HVAC_217"/>
      <sheetName val="HVAC_317"/>
      <sheetName val="HVAC_417"/>
      <sheetName val="HVAC_517"/>
      <sheetName val="HVAC_617"/>
      <sheetName val="HVAC_717"/>
      <sheetName val="HVAC_817"/>
      <sheetName val="HVAC_R17"/>
      <sheetName val="bill_nb4-HVAC17"/>
      <sheetName val="SC_B17"/>
      <sheetName val="SC_G17"/>
      <sheetName val="SC_M17"/>
      <sheetName val="SC_117"/>
      <sheetName val="SC_217"/>
      <sheetName val="SC_317"/>
      <sheetName val="SC_417"/>
      <sheetName val="SC_517"/>
      <sheetName val="SC_617"/>
      <sheetName val="SC_717"/>
      <sheetName val="SC_817"/>
      <sheetName val="SC_R17"/>
      <sheetName val="AV_B17"/>
      <sheetName val="AV_G17"/>
      <sheetName val="AV_M17"/>
      <sheetName val="AV_117"/>
      <sheetName val="AV_217"/>
      <sheetName val="AV_317"/>
      <sheetName val="AV_417"/>
      <sheetName val="AV_517"/>
      <sheetName val="AV_617"/>
      <sheetName val="AV_717"/>
      <sheetName val="AV_817"/>
      <sheetName val="EL_B17"/>
      <sheetName val="EL_M17"/>
      <sheetName val="EL_117"/>
      <sheetName val="EL_217"/>
      <sheetName val="EL_317"/>
      <sheetName val="EL_417"/>
      <sheetName val="EL_517"/>
      <sheetName val="EL_617"/>
      <sheetName val="EL_717"/>
      <sheetName val="EL_817"/>
      <sheetName val="EL_R17"/>
      <sheetName val="EL_TR17"/>
      <sheetName val="8-_EL17"/>
      <sheetName val="FA_B17"/>
      <sheetName val="FA_G17"/>
      <sheetName val="FA_M17"/>
      <sheetName val="FA_117"/>
      <sheetName val="FA_217"/>
      <sheetName val="FA_317"/>
      <sheetName val="FA_417"/>
      <sheetName val="FA_517"/>
      <sheetName val="FA_617"/>
      <sheetName val="FA_717"/>
      <sheetName val="FA_817"/>
      <sheetName val="FA_R17"/>
      <sheetName val="9-_FA17"/>
      <sheetName val="BOQ_Direct_selling_cost19"/>
      <sheetName val="CHART_OF_ACCOUNTS18"/>
      <sheetName val="B185-B-9_118"/>
      <sheetName val="B185-B-9_218"/>
      <sheetName val="Material_List_17"/>
      <sheetName val="E-Bill_No_6_A-O18"/>
      <sheetName val="B09_118"/>
      <sheetName val="Division_246"/>
      <sheetName val="Division_417"/>
      <sheetName val="Division_517"/>
      <sheetName val="Division_617"/>
      <sheetName val="Division_717"/>
      <sheetName val="Division_817"/>
      <sheetName val="Division_917"/>
      <sheetName val="Division_1017"/>
      <sheetName val="Division_1217"/>
      <sheetName val="Division_1417"/>
      <sheetName val="Division_2120"/>
      <sheetName val="Division_2218"/>
      <sheetName val="Division_2317"/>
      <sheetName val="Division_2617"/>
      <sheetName val="Division_2717"/>
      <sheetName val="Division_2817"/>
      <sheetName val="Division_3117"/>
      <sheetName val="Division_3217"/>
      <sheetName val="Division_3317"/>
      <sheetName val="PMWeb_data18"/>
      <sheetName val="PointNo_517"/>
      <sheetName val="SS_MH18"/>
      <sheetName val="2_2)Revised_Cash_Flow17"/>
      <sheetName val="입찰내역_발주처_양식17"/>
      <sheetName val="/VWVU))tÏØ0__18"/>
      <sheetName val="LIST_DO_NOT_REMOVE16"/>
      <sheetName val="Index_List17"/>
      <sheetName val="Type_List17"/>
      <sheetName val="File_Types17"/>
      <sheetName val="Chiet_t17"/>
      <sheetName val="Staffing_and_Rates_IA17"/>
      <sheetName val="Summary_of_Work15"/>
      <sheetName val="PRECAST_lightconc-II19"/>
      <sheetName val="final_abstract19"/>
      <sheetName val="Staff_Acco_15"/>
      <sheetName val="TBAL9697_-group_wise__sdpl15"/>
      <sheetName val="Employee_List15"/>
      <sheetName val="Project_Cost_Breakdown15"/>
      <sheetName val="B6_2_16"/>
      <sheetName val="Item-_Compact15"/>
      <sheetName val="E_&amp;_R15"/>
      <sheetName val="Рабочий_лист14"/>
      <sheetName val="SITE_WORK14"/>
      <sheetName val="Annex_1_Sect_3a15"/>
      <sheetName val="Annex_1_Sect_3a_115"/>
      <sheetName val="Annex_1_Sect_3b15"/>
      <sheetName val="Annex_1_Sect_3c15"/>
      <sheetName val="HOURLY_RATES15"/>
      <sheetName val="Rate_summary14"/>
      <sheetName val="RAB_AR&amp;STR14"/>
      <sheetName val="d-safe_DELUXE14"/>
      <sheetName val="Back_up14"/>
      <sheetName val="PT_141-_Site_A_Landscape14"/>
      <sheetName val="train_cash14"/>
      <sheetName val="accom_cash14"/>
      <sheetName val="INDIGINEOUS_ITEMS_14"/>
      <sheetName val="Duct_Accesories14"/>
      <sheetName val="Mall_waterproofing14"/>
      <sheetName val="MSCP_waterproofing14"/>
      <sheetName val="????_???_??14"/>
      <sheetName val="Labour_&amp;_Plant14"/>
      <sheetName val="Ave_wtd_rates14"/>
      <sheetName val="Debits_as_on_12_04_0814"/>
      <sheetName val="STAFFSCHED_14"/>
      <sheetName val="TRIAL_BALANCE14"/>
      <sheetName val="[SHOPLIST_xls][SHOPLIST_xls]722"/>
      <sheetName val="Common_Variables14"/>
      <sheetName val="[SHOPLIST_xls]70,/0s«iÆøí¬i14"/>
      <sheetName val="GPL_Revenu_Update14"/>
      <sheetName val="DO_NOT_TOUCH14"/>
      <sheetName val="Work_Type14"/>
      <sheetName val="PROJECT_BRIEF(EX_NEW)14"/>
      <sheetName val="AREA_OF_APPLICATION13"/>
      <sheetName val="Risk_Breakdown_Structure13"/>
      <sheetName val="Geneí¬_i13"/>
      <sheetName val="steel_total13"/>
      <sheetName val="ELE_BOQ13"/>
      <sheetName val="Z-_GENERAL_PRICE_SUMMARY10"/>
      <sheetName val="Resumo_Empreitadas10"/>
      <sheetName val="PPA_Summary10"/>
      <sheetName val="Mix_Design10"/>
      <sheetName val="%_prog_figs_-u5_and_total10"/>
      <sheetName val="_VWVU))tÏØ0__11"/>
      <sheetName val="Floor_Box_11"/>
      <sheetName val="Equipment_Rates9"/>
      <sheetName val="[SHOPLIST_xls]/VW9"/>
      <sheetName val="[SHOPLIST_xls]/VWVU))tÏØ0__45"/>
      <sheetName val="[SHOPLIST_xls]/VWVU))tÏØ0__46"/>
      <sheetName val="Cashflow_projection9"/>
      <sheetName val="[SHOPLIST_xls][SHOPLIST_xls]723"/>
      <sheetName val="E_H_-_H__W_P_9"/>
      <sheetName val="E__H__Treatment_for_pile_cap9"/>
      <sheetName val="[SHOPLIST_xls][SHOPLIST_xls][S9"/>
      <sheetName val="Form_69"/>
      <sheetName val="Risk_Register9"/>
      <sheetName val="Revised_Front_Page9"/>
      <sheetName val="Diff_Run01&amp;Run029"/>
      <sheetName val="CCS_Summary9"/>
      <sheetName val="1_Carillion_Staff9"/>
      <sheetName val="_2_Staff_&amp;_Gen_labour9"/>
      <sheetName val="3_Offices9"/>
      <sheetName val="4_TempServ9"/>
      <sheetName val="__5_Temp_Wks9"/>
      <sheetName val="_6_Addn_Plant9"/>
      <sheetName val="_7__Transport9"/>
      <sheetName val="_8_Testing9"/>
      <sheetName val="9__Miscellaneous9"/>
      <sheetName val="10__Design9"/>
      <sheetName val="_11_Insurances9"/>
      <sheetName val="_12_Client_Req_9"/>
      <sheetName val="Risk_List9"/>
      <sheetName val="Track_of_Changes9"/>
      <sheetName val="Bill_8_Doors_&amp;_Windows9"/>
      <sheetName val="Bill_9_Finishes_9"/>
      <sheetName val="Bill_10_Specialities9"/>
      <sheetName val="Dash_board9"/>
      <sheetName val="[SHOPLIST_xls]709"/>
      <sheetName val="[SHOPLIST_xls]70,9"/>
      <sheetName val="Base_BM-rebar9"/>
      <sheetName val="Materials_9"/>
      <sheetName val="Site_Dev_BOQ9"/>
      <sheetName val="Data_Sheet9"/>
      <sheetName val="tender_allowances9"/>
      <sheetName val="_Summary_BKG_0349"/>
      <sheetName val="BILL_3R9"/>
      <sheetName val="Area_Breakdown_PER_LEVEL_LINK9"/>
      <sheetName val="CF_Input9"/>
      <sheetName val="DATA_INPUT9"/>
      <sheetName val="Vordruck-Nr__7_1_3_D9"/>
      <sheetName val="M&amp;A_D9"/>
      <sheetName val="M&amp;A_E9"/>
      <sheetName val="M&amp;A_G9"/>
      <sheetName val="1_2_Staff_Schedule10"/>
      <sheetName val="Bill_109"/>
      <sheetName val="[SHOPLIST_xls]/VWVU))tÏØ0__47"/>
      <sheetName val="[SHOPLIST_xls]/VWVU))tÏØ0__48"/>
      <sheetName val="[SHOPLIST_xls]/VWVU))tÏØ0__49"/>
      <sheetName val="[SHOPLIST_xls]70,/0s«_iÆø_í¬_i9"/>
      <sheetName val="[SHOPLIST_xls]70?,/0?s«i?Æøí¬i9"/>
      <sheetName val="Labour_Costs9"/>
      <sheetName val="BLOCK-A_(MEA_SHEET)9"/>
      <sheetName val="Contract_Division7"/>
      <sheetName val="SubContract_Type7"/>
      <sheetName val="Service_Type7"/>
      <sheetName val="Cost_Heading6"/>
      <sheetName val="D_&amp;_W_sizes6"/>
      <sheetName val="SOPMA_DD6"/>
      <sheetName val="PRICE_INFO6"/>
      <sheetName val="RC_SUMMARY6"/>
      <sheetName val="LABOUR_PRODUCTIVITY-TAV6"/>
      <sheetName val="MATERIAL_PRICES6"/>
      <sheetName val="P-100_MRF_DB_R16"/>
      <sheetName val="Attach_4-186"/>
      <sheetName val="_SHOPLIST_xls_706"/>
      <sheetName val="_SHOPLIST_xls_70,_0s«iÆøí¬i6"/>
      <sheetName val="Ewaan_Show_Kitchen_(2)6"/>
      <sheetName val="Cash_Flow_Working6"/>
      <sheetName val="MN_T_B_6"/>
      <sheetName val="Data_I_(2)6"/>
      <sheetName val="rEFERENCES_6"/>
      <sheetName val="Qtys_ZamZam_(Del__before)6"/>
      <sheetName val="Qtys_Relocation_(Del_before)6"/>
      <sheetName val="_Qtys_Sub_&amp;_Tents_(Del__before6"/>
      <sheetName val="Qtys__Signages_(Del__before)6"/>
      <sheetName val="Qtys_Temporary_Passages_(Del)6"/>
      <sheetName val="_Qtys_Ser__Rooms_(Del_before)6"/>
      <sheetName val="Labour_Rate_6"/>
      <sheetName val="2F_회의실견적(5_14_일대)2"/>
      <sheetName val="_HIT-&gt;HMC_견적(3900)2"/>
      <sheetName val="Appendix_B2"/>
      <sheetName val="GFA_HQ_Building30"/>
      <sheetName val="GFA_Conference29"/>
      <sheetName val="Chiet_tinh_dz2228"/>
      <sheetName val="Chiet_tinh_dz3528"/>
      <sheetName val="BQ_External29"/>
      <sheetName val="StattCo_yCharges28"/>
      <sheetName val="CT_Thang_Mo28"/>
      <sheetName val="Raw_Data28"/>
      <sheetName val="Penthouse_Apartment28"/>
      <sheetName val="LABOUR_HISTOGRAM29"/>
      <sheetName val="@risk_rents_and_incentives28"/>
      <sheetName val="Car_park_lease28"/>
      <sheetName val="Net_rent_analysis28"/>
      <sheetName val="Poz-1_28"/>
      <sheetName val="Lab_Cum_Hist28"/>
      <sheetName val="Graph_Data_(DO_NOT_PRINT)28"/>
      <sheetName val="CT__PL27"/>
      <sheetName val="Projet,_methodes_&amp;_couts27"/>
      <sheetName val="Risques_majeurs_&amp;_Frais_Ind_27"/>
      <sheetName val="LEVEL_SHEET28"/>
      <sheetName val="SPT_vs_PHI28"/>
      <sheetName val="Bill_No__228"/>
      <sheetName val="budget_summary_(2)27"/>
      <sheetName val="Budget_Analysis_Summary27"/>
      <sheetName val="Customize_Your_Invoice28"/>
      <sheetName val="HVAC_BoQ28"/>
      <sheetName val="FOL_-_Bar28"/>
      <sheetName val="Tender_Summary28"/>
      <sheetName val="Insurance_Ext28"/>
      <sheetName val="intr_stool_brkup27"/>
      <sheetName val="Top_sheet27"/>
      <sheetName val="Body_Sheet27"/>
      <sheetName val="1_0_Executive_Summary27"/>
      <sheetName val="Bill_125"/>
      <sheetName val="Bill_226"/>
      <sheetName val="Bill_325"/>
      <sheetName val="Bill_425"/>
      <sheetName val="Bill_525"/>
      <sheetName val="Bill_625"/>
      <sheetName val="Bill_725"/>
      <sheetName val="2_Div_14_25"/>
      <sheetName val="Ap_A25"/>
      <sheetName val="SHOPLIST_xls24"/>
      <sheetName val="Dubai_golf24"/>
      <sheetName val="beam-reinft-IIInd_floor24"/>
      <sheetName val="beam-reinft-machine_rm24"/>
      <sheetName val="POWER_ASSUMPTIONS24"/>
      <sheetName val="Invoice_Summary24"/>
      <sheetName val="PROJECT_BRIEF25"/>
      <sheetName val="C_(3)25"/>
      <sheetName val="Civil_Boq23"/>
      <sheetName val="WITHOUT_C&amp;I_PROFIT_(3)23"/>
      <sheetName val="VALVE_CHAMBERS20"/>
      <sheetName val="Fire_Hydrants20"/>
      <sheetName val="B_GATE_VALVE20"/>
      <sheetName val="Sub_G1_Fire20"/>
      <sheetName val="Sub_G12_Fire20"/>
      <sheetName val="BILL_COV21"/>
      <sheetName val="Activity_List23"/>
      <sheetName val="DETAILED__BOQ21"/>
      <sheetName val="M-Book_for_Conc21"/>
      <sheetName val="M-Book_for_FW21"/>
      <sheetName val="HIRED_LABOUR_CODE21"/>
      <sheetName val="PA-_Consutant_21"/>
      <sheetName val="foot-slab_reinft21"/>
      <sheetName val="Softscape_Buildup23"/>
      <sheetName val="Mat'l_Rate23"/>
      <sheetName val="Ra__stair21"/>
      <sheetName val="Materials_Cost(PCC)20"/>
      <sheetName val="India_F&amp;S_Template20"/>
      <sheetName val="IO_LIST20"/>
      <sheetName val="Material_20"/>
      <sheetName val="Quote_Sheet20"/>
      <sheetName val="Day_work20"/>
      <sheetName val="Div__0219"/>
      <sheetName val="Div__0319"/>
      <sheetName val="Div__0419"/>
      <sheetName val="Div__0519"/>
      <sheetName val="Div__0619"/>
      <sheetName val="Div__0719"/>
      <sheetName val="Div__0819"/>
      <sheetName val="Div__0919"/>
      <sheetName val="Div__1019"/>
      <sheetName val="Div__1119"/>
      <sheetName val="Div__1219"/>
      <sheetName val="Div_1319"/>
      <sheetName val="EXTERNAL_WORKS19"/>
      <sheetName val="PRODUCTIVITY_RATE19"/>
      <sheetName val="U_R_A_-_MASONRY19"/>
      <sheetName val="U_R_A_-_PLASTERING19"/>
      <sheetName val="U_R_A_-_TILING19"/>
      <sheetName val="U_R_A_-_GRANITE19"/>
      <sheetName val="V_C_2_-_EARTHWORK19"/>
      <sheetName val="V_C_9_-_CERAMIC19"/>
      <sheetName val="V_C_9_-_FINISHES19"/>
      <sheetName val="Working_for_RCC19"/>
      <sheetName val="Elemental_Buildup18"/>
      <sheetName val="Eq__Mobilization19"/>
      <sheetName val="w't_table18"/>
      <sheetName val="bill_nb2-Plumbing_&amp;_Drainag18"/>
      <sheetName val="Pl_&amp;_Dr_B18"/>
      <sheetName val="Pl_&amp;_Dr_G18"/>
      <sheetName val="Pl_&amp;_Dr_M18"/>
      <sheetName val="Pl_&amp;_Dr_118"/>
      <sheetName val="Pl_&amp;_Dr_218"/>
      <sheetName val="Pl_&amp;_Dr_318"/>
      <sheetName val="Pl_&amp;_Dr_418"/>
      <sheetName val="Pl_&amp;_Dr_518"/>
      <sheetName val="Pl_&amp;_Dr_618"/>
      <sheetName val="Pl_&amp;_Dr_718"/>
      <sheetName val="Pl_&amp;_Dr_818"/>
      <sheetName val="Pl_&amp;_Dr_R18"/>
      <sheetName val="FF_B18"/>
      <sheetName val="FF_G18"/>
      <sheetName val="FF_M18"/>
      <sheetName val="FF_118"/>
      <sheetName val="FF_2_18"/>
      <sheetName val="FF_318"/>
      <sheetName val="FF_418"/>
      <sheetName val="FF_518"/>
      <sheetName val="FF_6_18"/>
      <sheetName val="FF_718"/>
      <sheetName val="FF_818"/>
      <sheetName val="FF_R18"/>
      <sheetName val="bill_nb3-FF18"/>
      <sheetName val="HVAC_B18"/>
      <sheetName val="HVAC_G18"/>
      <sheetName val="HVAC_M18"/>
      <sheetName val="HVAC_118"/>
      <sheetName val="HVAC_218"/>
      <sheetName val="HVAC_318"/>
      <sheetName val="HVAC_418"/>
      <sheetName val="HVAC_518"/>
      <sheetName val="HVAC_618"/>
      <sheetName val="HVAC_718"/>
      <sheetName val="HVAC_818"/>
      <sheetName val="HVAC_R18"/>
      <sheetName val="bill_nb4-HVAC18"/>
      <sheetName val="SC_B18"/>
      <sheetName val="SC_G18"/>
      <sheetName val="SC_M18"/>
      <sheetName val="SC_118"/>
      <sheetName val="SC_218"/>
      <sheetName val="SC_318"/>
      <sheetName val="SC_418"/>
      <sheetName val="SC_518"/>
      <sheetName val="SC_618"/>
      <sheetName val="SC_718"/>
      <sheetName val="SC_818"/>
      <sheetName val="SC_R18"/>
      <sheetName val="AV_B18"/>
      <sheetName val="AV_G18"/>
      <sheetName val="AV_M18"/>
      <sheetName val="AV_118"/>
      <sheetName val="AV_218"/>
      <sheetName val="AV_318"/>
      <sheetName val="AV_418"/>
      <sheetName val="AV_518"/>
      <sheetName val="AV_618"/>
      <sheetName val="AV_718"/>
      <sheetName val="AV_818"/>
      <sheetName val="EL_B18"/>
      <sheetName val="EL_M18"/>
      <sheetName val="EL_118"/>
      <sheetName val="EL_218"/>
      <sheetName val="EL_318"/>
      <sheetName val="EL_418"/>
      <sheetName val="EL_518"/>
      <sheetName val="EL_618"/>
      <sheetName val="EL_718"/>
      <sheetName val="EL_818"/>
      <sheetName val="EL_R18"/>
      <sheetName val="EL_TR18"/>
      <sheetName val="8-_EL18"/>
      <sheetName val="FA_B18"/>
      <sheetName val="FA_G18"/>
      <sheetName val="FA_M18"/>
      <sheetName val="FA_118"/>
      <sheetName val="FA_218"/>
      <sheetName val="FA_318"/>
      <sheetName val="FA_418"/>
      <sheetName val="FA_518"/>
      <sheetName val="FA_618"/>
      <sheetName val="FA_718"/>
      <sheetName val="FA_818"/>
      <sheetName val="FA_R18"/>
      <sheetName val="9-_FA18"/>
      <sheetName val="BOQ_Direct_selling_cost20"/>
      <sheetName val="CHART_OF_ACCOUNTS19"/>
      <sheetName val="B185-B-9_119"/>
      <sheetName val="B185-B-9_219"/>
      <sheetName val="Material_List_18"/>
      <sheetName val="E-Bill_No_6_A-O19"/>
      <sheetName val="B09_119"/>
      <sheetName val="Division_247"/>
      <sheetName val="Division_418"/>
      <sheetName val="Division_518"/>
      <sheetName val="Division_618"/>
      <sheetName val="Division_718"/>
      <sheetName val="Division_818"/>
      <sheetName val="Division_918"/>
      <sheetName val="Division_1018"/>
      <sheetName val="Division_1218"/>
      <sheetName val="Division_1418"/>
      <sheetName val="Division_2121"/>
      <sheetName val="Division_2219"/>
      <sheetName val="Division_2318"/>
      <sheetName val="Division_2618"/>
      <sheetName val="Division_2718"/>
      <sheetName val="Division_2818"/>
      <sheetName val="Division_3118"/>
      <sheetName val="Division_3218"/>
      <sheetName val="Division_3318"/>
      <sheetName val="PMWeb_data19"/>
      <sheetName val="PointNo_518"/>
      <sheetName val="SS_MH19"/>
      <sheetName val="2_2)Revised_Cash_Flow18"/>
      <sheetName val="입찰내역_발주처_양식18"/>
      <sheetName val="/VWVU))tÏØ0__19"/>
      <sheetName val="LIST_DO_NOT_REMOVE17"/>
      <sheetName val="Index_List18"/>
      <sheetName val="Type_List18"/>
      <sheetName val="File_Types18"/>
      <sheetName val="Chiet_t18"/>
      <sheetName val="Staffing_and_Rates_IA18"/>
      <sheetName val="Summary_of_Work16"/>
      <sheetName val="PRECAST_lightconc-II20"/>
      <sheetName val="final_abstract20"/>
      <sheetName val="Staff_Acco_16"/>
      <sheetName val="TBAL9697_-group_wise__sdpl16"/>
      <sheetName val="Employee_List16"/>
      <sheetName val="Project_Cost_Breakdown16"/>
      <sheetName val="B6_2_17"/>
      <sheetName val="Item-_Compact16"/>
      <sheetName val="E_&amp;_R16"/>
      <sheetName val="Рабочий_лист15"/>
      <sheetName val="SITE_WORK15"/>
      <sheetName val="Annex_1_Sect_3a16"/>
      <sheetName val="Annex_1_Sect_3a_116"/>
      <sheetName val="Annex_1_Sect_3b16"/>
      <sheetName val="Annex_1_Sect_3c16"/>
      <sheetName val="HOURLY_RATES16"/>
      <sheetName val="Rate_summary15"/>
      <sheetName val="RAB_AR&amp;STR15"/>
      <sheetName val="d-safe_DELUXE15"/>
      <sheetName val="Back_up15"/>
      <sheetName val="PT_141-_Site_A_Landscape15"/>
      <sheetName val="train_cash15"/>
      <sheetName val="accom_cash15"/>
      <sheetName val="INDIGINEOUS_ITEMS_15"/>
      <sheetName val="Duct_Accesories15"/>
      <sheetName val="Mall_waterproofing15"/>
      <sheetName val="MSCP_waterproofing15"/>
      <sheetName val="????_???_??15"/>
      <sheetName val="Labour_&amp;_Plant15"/>
      <sheetName val="Ave_wtd_rates15"/>
      <sheetName val="Debits_as_on_12_04_0815"/>
      <sheetName val="STAFFSCHED_15"/>
      <sheetName val="TRIAL_BALANCE15"/>
      <sheetName val="[SHOPLIST_xls][SHOPLIST_xls]724"/>
      <sheetName val="Common_Variables15"/>
      <sheetName val="[SHOPLIST_xls]70,/0s«iÆøí¬i15"/>
      <sheetName val="GPL_Revenu_Update15"/>
      <sheetName val="DO_NOT_TOUCH15"/>
      <sheetName val="Work_Type15"/>
      <sheetName val="PROJECT_BRIEF(EX_NEW)15"/>
      <sheetName val="AREA_OF_APPLICATION14"/>
      <sheetName val="Risk_Breakdown_Structure14"/>
      <sheetName val="Geneí¬_i14"/>
      <sheetName val="steel_total14"/>
      <sheetName val="ELE_BOQ14"/>
      <sheetName val="Z-_GENERAL_PRICE_SUMMARY11"/>
      <sheetName val="Resumo_Empreitadas11"/>
      <sheetName val="PPA_Summary11"/>
      <sheetName val="Mix_Design11"/>
      <sheetName val="%_prog_figs_-u5_and_total11"/>
      <sheetName val="_VWVU))tÏØ0__12"/>
      <sheetName val="Floor_Box_12"/>
      <sheetName val="Equipment_Rates10"/>
      <sheetName val="[SHOPLIST_xls]/VW10"/>
      <sheetName val="[SHOPLIST_xls]/VWVU))tÏØ0__50"/>
      <sheetName val="Cashflow_projection10"/>
      <sheetName val="[SHOPLIST_xls][SHOPLIST_xls]725"/>
      <sheetName val="E_H_-_H__W_P_10"/>
      <sheetName val="E__H__Treatment_for_pile_cap10"/>
      <sheetName val="[SHOPLIST_xls][SHOPLIST_xls][10"/>
      <sheetName val="Form_610"/>
      <sheetName val="Risk_Register10"/>
      <sheetName val="Revised_Front_Page10"/>
      <sheetName val="Diff_Run01&amp;Run0210"/>
      <sheetName val="CCS_Summary10"/>
      <sheetName val="1_Carillion_Staff10"/>
      <sheetName val="_2_Staff_&amp;_Gen_labour10"/>
      <sheetName val="3_Offices10"/>
      <sheetName val="4_TempServ10"/>
      <sheetName val="__5_Temp_Wks10"/>
      <sheetName val="_6_Addn_Plant10"/>
      <sheetName val="_7__Transport10"/>
      <sheetName val="_8_Testing10"/>
      <sheetName val="9__Miscellaneous10"/>
      <sheetName val="10__Design10"/>
      <sheetName val="_11_Insurances10"/>
      <sheetName val="_12_Client_Req_10"/>
      <sheetName val="Risk_List10"/>
      <sheetName val="Track_of_Changes10"/>
      <sheetName val="Bill_8_Doors_&amp;_Windows10"/>
      <sheetName val="Bill_9_Finishes_10"/>
      <sheetName val="Bill_10_Specialities10"/>
      <sheetName val="Dash_board10"/>
      <sheetName val="[SHOPLIST_xls]7010"/>
      <sheetName val="[SHOPLIST_xls]70,10"/>
      <sheetName val="Base_BM-rebar10"/>
      <sheetName val="Materials_10"/>
      <sheetName val="Site_Dev_BOQ10"/>
      <sheetName val="Data_Sheet10"/>
      <sheetName val="tender_allowances10"/>
      <sheetName val="_Summary_BKG_03410"/>
      <sheetName val="BILL_3R10"/>
      <sheetName val="Area_Breakdown_PER_LEVEL_LINK10"/>
      <sheetName val="CF_Input10"/>
      <sheetName val="DATA_INPUT10"/>
      <sheetName val="Vordruck-Nr__7_1_3_D10"/>
      <sheetName val="M&amp;A_D10"/>
      <sheetName val="M&amp;A_E10"/>
      <sheetName val="M&amp;A_G10"/>
      <sheetName val="1_2_Staff_Schedule11"/>
      <sheetName val="Bill_1010"/>
      <sheetName val="[SHOPLIST_xls]/VWVU))tÏØ0__52"/>
      <sheetName val="[SHOPLIST_xls]/VWVU))tÏØ0__53"/>
      <sheetName val="[SHOPLIST_xls]/VWVU))tÏØ0__54"/>
      <sheetName val="[SHOPLIST_xls]70,/0s«_iÆø_í¬_10"/>
      <sheetName val="[SHOPLIST_xls]70?,/0?s«i?Æøí¬10"/>
      <sheetName val="Labour_Costs10"/>
      <sheetName val="BLOCK-A_(MEA_SHEET)10"/>
      <sheetName val="Contract_Division8"/>
      <sheetName val="SubContract_Type8"/>
      <sheetName val="Service_Type8"/>
      <sheetName val="Cost_Heading7"/>
      <sheetName val="D_&amp;_W_sizes7"/>
      <sheetName val="SOPMA_DD7"/>
      <sheetName val="PRICE_INFO7"/>
      <sheetName val="RC_SUMMARY7"/>
      <sheetName val="LABOUR_PRODUCTIVITY-TAV7"/>
      <sheetName val="MATERIAL_PRICES7"/>
      <sheetName val="P-100_MRF_DB_R17"/>
      <sheetName val="Attach_4-187"/>
      <sheetName val="_SHOPLIST_xls_707"/>
      <sheetName val="_SHOPLIST_xls_70,_0s«iÆøí¬i7"/>
      <sheetName val="Ewaan_Show_Kitchen_(2)7"/>
      <sheetName val="Cash_Flow_Working7"/>
      <sheetName val="MN_T_B_7"/>
      <sheetName val="Data_I_(2)7"/>
      <sheetName val="rEFERENCES_7"/>
      <sheetName val="Qtys_ZamZam_(Del__before)7"/>
      <sheetName val="Qtys_Relocation_(Del_before)7"/>
      <sheetName val="_Qtys_Sub_&amp;_Tents_(Del__before7"/>
      <sheetName val="Qtys__Signages_(Del__before)7"/>
      <sheetName val="Qtys_Temporary_Passages_(Del)7"/>
      <sheetName val="_Qtys_Ser__Rooms_(Del_before)7"/>
      <sheetName val="Labour_Rate_7"/>
      <sheetName val="2F_회의실견적(5_14_일대)3"/>
      <sheetName val="_HIT-&gt;HMC_견적(3900)3"/>
      <sheetName val="Appendix_B3"/>
      <sheetName val="BOQ_(2)1"/>
      <sheetName val="LABOUR_RATE1"/>
      <sheetName val="Material_Rate1"/>
      <sheetName val="Labor_abs-PW1"/>
      <sheetName val="Labor_abs-NMR1"/>
      <sheetName val="kppl_pl1"/>
      <sheetName val="Basic_Rates1"/>
      <sheetName val="Combined_Results_1"/>
      <sheetName val="Div_07_Thermal_&amp;_Moisture1"/>
      <sheetName val="precast_RC_element1"/>
      <sheetName val="pile_Fabrication1"/>
      <sheetName val="Cost_any"/>
      <sheetName val="Set"/>
      <sheetName val="PDT(L)1"/>
      <sheetName val="[SHOPLIST_xls][SH"/>
      <sheetName val="[SHOPLIST.xls]/VWVU))tÏØ0__8"/>
      <sheetName val="[SHOPLIST.xls]/VWVU))tÏØ0__9"/>
      <sheetName val="slipsumpR"/>
      <sheetName val="ARBQ"/>
      <sheetName val="DDL"/>
      <sheetName val="P1926-H2B Pkg 2A&amp;2B"/>
      <sheetName val="P1940-H2B Pkg 1 Guestrooms"/>
      <sheetName val="P1929-DHCT"/>
      <sheetName val="P-Sum-Cab"/>
      <sheetName val="[SHOPLIST.xls]/VWVU))tÏØ0__10"/>
      <sheetName val="[SHOPLIST.xls]/VWVU))tÏØ0__11"/>
      <sheetName val="FP-Labour_M"/>
      <sheetName val="Chi tiet gia DT"/>
      <sheetName val="Gia DT bo Sung"/>
      <sheetName val="PT gia DT"/>
      <sheetName val="Phan tich vat tu"/>
      <sheetName val="PTgia DT BS"/>
      <sheetName val="_x005f_x005f_x005f_x0000__x005f_x005f_x005f_x0000__x005"/>
      <sheetName val="Gra¦_x005f_x0004_)_x005f_x0000__x005f_x0000__x0"/>
      <sheetName val="_VW_x005f_x0000_VU_x005f_x0000_)_x005f_x0000__x"/>
      <sheetName val="Gra¦_x005f_x0004_)"/>
      <sheetName val="_SHOPLIST.xls_70_x005f_x0000_,_0_x000"/>
      <sheetName val="Geneí¬_x005f_x005f_x005f_x0008_i_x000"/>
      <sheetName val="Geneí¬_x005f_x0008_i___x005f_x0014__0."/>
      <sheetName val="70_,_0_s«_x005f_x0008_i_Æø_x005f_x0003_í¬_x"/>
      <sheetName val="Cac HS hieu chinh"/>
      <sheetName val="Cước CG"/>
      <sheetName val="gia tri theo phong"/>
      <sheetName val="DMCP"/>
      <sheetName val="BocXep"/>
      <sheetName val="TinhGiaMTC"/>
      <sheetName val="Truot_nen"/>
      <sheetName val="집계표"/>
      <sheetName val="Bill 3- Restaurant 1"/>
      <sheetName val="PEBBill 2- Food Court"/>
      <sheetName val="PEBBill 3- Restaurant 1"/>
      <sheetName val="PEBBill 4- Restaurant 2 &amp;3"/>
      <sheetName val="Steeldoor"/>
      <sheetName val="Du toan"/>
      <sheetName val="Keothep"/>
      <sheetName val="TEMP"/>
      <sheetName val="PTdam"/>
      <sheetName val="諸経費"/>
      <sheetName val="清水計算営業税率関連"/>
      <sheetName val="SCHEDULE"/>
      <sheetName val="Recon Template"/>
      <sheetName val="L3-WBS Mapping"/>
      <sheetName val="BAFO CCL Submission"/>
      <sheetName val="GAE8'97"/>
      <sheetName val="Overall"/>
      <sheetName val="税费"/>
      <sheetName val="Det_Des"/>
      <sheetName val="DRUM"/>
      <sheetName val="GENERAL SUMMARY"/>
      <sheetName val="PRELIMINARIES"/>
      <sheetName val="SITE WORKS"/>
      <sheetName val="MASONRY"/>
      <sheetName val="METAL"/>
      <sheetName val="WOOD WORK"/>
      <sheetName val="THERMAL &amp; MOISTURE "/>
      <sheetName val="DOORS &amp; WINDOWS"/>
      <sheetName val="FINISHES"/>
      <sheetName val="SPECIALITIES"/>
      <sheetName val="ELECTRICAL"/>
      <sheetName val="MECHANICAL"/>
      <sheetName val="Additional Items"/>
      <sheetName val="Démol."/>
      <sheetName val="Ravalement"/>
      <sheetName val="P-Ins &amp; Bonds"/>
      <sheetName val="Pivots"/>
      <sheetName val="Sheet"/>
      <sheetName val="Section_by_layers_old"/>
      <sheetName val="FLOOR AND CEILING"/>
      <sheetName val="area comp 2011 01 18 (2)"/>
      <sheetName val="Bill3-Basement"/>
      <sheetName val="PH 5"/>
      <sheetName val="drop down lists"/>
      <sheetName val="Product Sheet40"/>
      <sheetName val="09. DATABASE"/>
      <sheetName val="Geneí¬_x0008_i_x0014_0."/>
      <sheetName val="70,/0s«_x0008_iÆø_x0003_í¬_x0008_i"/>
      <sheetName val="Gra¦_x0004_)VW U"/>
      <sheetName val="/VWVU))_x0001_tÏØ0 _x0008_ _x0008_"/>
      <sheetName val="[SHOPLIST.xls][SHOPLIST.xls]70"/>
      <sheetName val="[SHOPLIST.xls]70,/0s«_x0008_iÆø_x0003_í¬"/>
      <sheetName val="Geneí¬_x0008_i_x0"/>
      <sheetName val="70,_0s«_x0008_i_x"/>
      <sheetName val="Gra¦_x0004_)_x0"/>
      <sheetName val="_VWVU)_x"/>
      <sheetName val="_SHOPLIST.xls_70,_0_x000"/>
      <sheetName val="_x0"/>
      <sheetName val="70,/0s«_x0008_i_x"/>
      <sheetName val="70,_0"/>
      <sheetName val="_x005"/>
      <sheetName val="[SHOPLIST.xls]70,/0s«_x0008_i_x"/>
      <sheetName val="70,_0_"/>
      <sheetName val="70,/0"/>
      <sheetName val="Geneí¬ i 0."/>
      <sheetName val="70,/0s« iÆø í¬ i"/>
      <sheetName val="[SHOPLIST.xls]70,/0s« iÆø í¬"/>
      <sheetName val="ConferenceCentre?옰ʒ䄂ʒ鵠ʐ䄂ʒ閐̐脭め_x0005_"/>
      <sheetName val="[SHOPLIST.xls]/VWVU))"/>
      <sheetName val="[SHOPLIST.xls]7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sheetData sheetId="143"/>
      <sheetData sheetId="144"/>
      <sheetData sheetId="145"/>
      <sheetData sheetId="146"/>
      <sheetData sheetId="147"/>
      <sheetData sheetId="148"/>
      <sheetData sheetId="149"/>
      <sheetData sheetId="150"/>
      <sheetData sheetId="151"/>
      <sheetData sheetId="152"/>
      <sheetData sheetId="153"/>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sheetData sheetId="185" refreshError="1"/>
      <sheetData sheetId="186" refreshError="1"/>
      <sheetData sheetId="187" refreshError="1"/>
      <sheetData sheetId="188" refreshError="1"/>
      <sheetData sheetId="189"/>
      <sheetData sheetId="190" refreshError="1"/>
      <sheetData sheetId="191"/>
      <sheetData sheetId="192" refreshError="1"/>
      <sheetData sheetId="193" refreshError="1"/>
      <sheetData sheetId="194" refreshError="1"/>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refreshError="1"/>
      <sheetData sheetId="216" refreshError="1"/>
      <sheetData sheetId="217" refreshError="1"/>
      <sheetData sheetId="218" refreshError="1"/>
      <sheetData sheetId="219" refreshError="1"/>
      <sheetData sheetId="220"/>
      <sheetData sheetId="221"/>
      <sheetData sheetId="222"/>
      <sheetData sheetId="223"/>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sheetData sheetId="253"/>
      <sheetData sheetId="254"/>
      <sheetData sheetId="255"/>
      <sheetData sheetId="256"/>
      <sheetData sheetId="257"/>
      <sheetData sheetId="258"/>
      <sheetData sheetId="259"/>
      <sheetData sheetId="260" refreshError="1"/>
      <sheetData sheetId="261" refreshError="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sheetData sheetId="469" refreshError="1"/>
      <sheetData sheetId="470" refreshError="1"/>
      <sheetData sheetId="471" refreshError="1"/>
      <sheetData sheetId="472"/>
      <sheetData sheetId="473" refreshError="1"/>
      <sheetData sheetId="474" refreshError="1"/>
      <sheetData sheetId="475" refreshError="1"/>
      <sheetData sheetId="476" refreshError="1"/>
      <sheetData sheetId="477" refreshError="1"/>
      <sheetData sheetId="478"/>
      <sheetData sheetId="479"/>
      <sheetData sheetId="480"/>
      <sheetData sheetId="481"/>
      <sheetData sheetId="482"/>
      <sheetData sheetId="483" refreshError="1"/>
      <sheetData sheetId="484" refreshError="1"/>
      <sheetData sheetId="485"/>
      <sheetData sheetId="486" refreshError="1"/>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row r="9">
          <cell r="A9" t="str">
            <v>A</v>
          </cell>
        </row>
      </sheetData>
      <sheetData sheetId="519">
        <row r="9">
          <cell r="A9" t="str">
            <v>A</v>
          </cell>
        </row>
      </sheetData>
      <sheetData sheetId="520">
        <row r="9">
          <cell r="A9" t="str">
            <v>A</v>
          </cell>
        </row>
      </sheetData>
      <sheetData sheetId="521">
        <row r="9">
          <cell r="A9" t="str">
            <v>A</v>
          </cell>
        </row>
      </sheetData>
      <sheetData sheetId="522">
        <row r="9">
          <cell r="A9" t="str">
            <v>A</v>
          </cell>
        </row>
      </sheetData>
      <sheetData sheetId="523">
        <row r="9">
          <cell r="A9" t="str">
            <v>A</v>
          </cell>
        </row>
      </sheetData>
      <sheetData sheetId="524">
        <row r="9">
          <cell r="A9" t="str">
            <v>A</v>
          </cell>
        </row>
      </sheetData>
      <sheetData sheetId="525">
        <row r="9">
          <cell r="A9" t="str">
            <v>A</v>
          </cell>
        </row>
      </sheetData>
      <sheetData sheetId="526" refreshError="1"/>
      <sheetData sheetId="527">
        <row r="9">
          <cell r="A9" t="str">
            <v>A</v>
          </cell>
        </row>
      </sheetData>
      <sheetData sheetId="528">
        <row r="9">
          <cell r="A9" t="str">
            <v>A</v>
          </cell>
        </row>
      </sheetData>
      <sheetData sheetId="529">
        <row r="9">
          <cell r="A9" t="str">
            <v>A</v>
          </cell>
        </row>
      </sheetData>
      <sheetData sheetId="530">
        <row r="9">
          <cell r="A9" t="str">
            <v>A</v>
          </cell>
        </row>
      </sheetData>
      <sheetData sheetId="531">
        <row r="9">
          <cell r="A9" t="str">
            <v>A</v>
          </cell>
        </row>
      </sheetData>
      <sheetData sheetId="532">
        <row r="9">
          <cell r="A9" t="str">
            <v>A</v>
          </cell>
        </row>
      </sheetData>
      <sheetData sheetId="533">
        <row r="9">
          <cell r="A9" t="str">
            <v>A</v>
          </cell>
        </row>
      </sheetData>
      <sheetData sheetId="534">
        <row r="9">
          <cell r="A9" t="str">
            <v>A</v>
          </cell>
        </row>
      </sheetData>
      <sheetData sheetId="535">
        <row r="9">
          <cell r="A9" t="str">
            <v>A</v>
          </cell>
        </row>
      </sheetData>
      <sheetData sheetId="536">
        <row r="9">
          <cell r="A9" t="str">
            <v>A</v>
          </cell>
        </row>
      </sheetData>
      <sheetData sheetId="537">
        <row r="9">
          <cell r="A9" t="str">
            <v>A</v>
          </cell>
        </row>
      </sheetData>
      <sheetData sheetId="538">
        <row r="9">
          <cell r="A9" t="str">
            <v>A</v>
          </cell>
        </row>
      </sheetData>
      <sheetData sheetId="539">
        <row r="9">
          <cell r="A9" t="str">
            <v>A</v>
          </cell>
        </row>
      </sheetData>
      <sheetData sheetId="540">
        <row r="9">
          <cell r="A9" t="str">
            <v>A</v>
          </cell>
        </row>
      </sheetData>
      <sheetData sheetId="541">
        <row r="9">
          <cell r="A9" t="str">
            <v>A</v>
          </cell>
        </row>
      </sheetData>
      <sheetData sheetId="542">
        <row r="9">
          <cell r="A9" t="str">
            <v>A</v>
          </cell>
        </row>
      </sheetData>
      <sheetData sheetId="543">
        <row r="9">
          <cell r="A9" t="str">
            <v>A</v>
          </cell>
        </row>
      </sheetData>
      <sheetData sheetId="544">
        <row r="9">
          <cell r="A9" t="str">
            <v>A</v>
          </cell>
        </row>
      </sheetData>
      <sheetData sheetId="545">
        <row r="9">
          <cell r="A9" t="str">
            <v>A</v>
          </cell>
        </row>
      </sheetData>
      <sheetData sheetId="546">
        <row r="9">
          <cell r="A9" t="str">
            <v>A</v>
          </cell>
        </row>
      </sheetData>
      <sheetData sheetId="547">
        <row r="9">
          <cell r="A9" t="str">
            <v>A</v>
          </cell>
        </row>
      </sheetData>
      <sheetData sheetId="548">
        <row r="9">
          <cell r="A9" t="str">
            <v>A</v>
          </cell>
        </row>
      </sheetData>
      <sheetData sheetId="549">
        <row r="9">
          <cell r="A9" t="str">
            <v>A</v>
          </cell>
        </row>
      </sheetData>
      <sheetData sheetId="550">
        <row r="9">
          <cell r="A9" t="str">
            <v>A</v>
          </cell>
        </row>
      </sheetData>
      <sheetData sheetId="551" refreshError="1"/>
      <sheetData sheetId="552">
        <row r="9">
          <cell r="A9" t="str">
            <v>A</v>
          </cell>
        </row>
      </sheetData>
      <sheetData sheetId="553">
        <row r="9">
          <cell r="A9" t="str">
            <v>A</v>
          </cell>
        </row>
      </sheetData>
      <sheetData sheetId="554">
        <row r="9">
          <cell r="A9" t="str">
            <v>A</v>
          </cell>
        </row>
      </sheetData>
      <sheetData sheetId="555">
        <row r="9">
          <cell r="A9" t="str">
            <v>A</v>
          </cell>
        </row>
      </sheetData>
      <sheetData sheetId="556">
        <row r="9">
          <cell r="A9" t="str">
            <v>A</v>
          </cell>
        </row>
      </sheetData>
      <sheetData sheetId="557">
        <row r="9">
          <cell r="A9" t="str">
            <v>A</v>
          </cell>
        </row>
      </sheetData>
      <sheetData sheetId="558">
        <row r="9">
          <cell r="A9" t="str">
            <v>A</v>
          </cell>
        </row>
      </sheetData>
      <sheetData sheetId="559">
        <row r="9">
          <cell r="A9" t="str">
            <v>A</v>
          </cell>
        </row>
      </sheetData>
      <sheetData sheetId="560">
        <row r="9">
          <cell r="A9" t="str">
            <v>A</v>
          </cell>
        </row>
      </sheetData>
      <sheetData sheetId="561">
        <row r="9">
          <cell r="A9" t="str">
            <v>A</v>
          </cell>
        </row>
      </sheetData>
      <sheetData sheetId="562">
        <row r="9">
          <cell r="A9" t="str">
            <v>A</v>
          </cell>
        </row>
      </sheetData>
      <sheetData sheetId="563">
        <row r="9">
          <cell r="A9" t="str">
            <v>A</v>
          </cell>
        </row>
      </sheetData>
      <sheetData sheetId="564">
        <row r="9">
          <cell r="A9" t="str">
            <v>A</v>
          </cell>
        </row>
      </sheetData>
      <sheetData sheetId="565">
        <row r="9">
          <cell r="A9" t="str">
            <v>A</v>
          </cell>
        </row>
      </sheetData>
      <sheetData sheetId="566">
        <row r="9">
          <cell r="A9" t="str">
            <v>A</v>
          </cell>
        </row>
      </sheetData>
      <sheetData sheetId="567">
        <row r="9">
          <cell r="A9" t="str">
            <v>A</v>
          </cell>
        </row>
      </sheetData>
      <sheetData sheetId="568">
        <row r="9">
          <cell r="A9" t="str">
            <v>A</v>
          </cell>
        </row>
      </sheetData>
      <sheetData sheetId="569">
        <row r="9">
          <cell r="A9" t="str">
            <v>A</v>
          </cell>
        </row>
      </sheetData>
      <sheetData sheetId="570">
        <row r="9">
          <cell r="A9" t="str">
            <v>A</v>
          </cell>
        </row>
      </sheetData>
      <sheetData sheetId="571">
        <row r="9">
          <cell r="A9" t="str">
            <v>A</v>
          </cell>
        </row>
      </sheetData>
      <sheetData sheetId="572">
        <row r="9">
          <cell r="A9" t="str">
            <v>A</v>
          </cell>
        </row>
      </sheetData>
      <sheetData sheetId="573">
        <row r="9">
          <cell r="A9" t="str">
            <v>A</v>
          </cell>
        </row>
      </sheetData>
      <sheetData sheetId="574">
        <row r="9">
          <cell r="A9" t="str">
            <v>A</v>
          </cell>
        </row>
      </sheetData>
      <sheetData sheetId="575">
        <row r="9">
          <cell r="A9" t="str">
            <v>A</v>
          </cell>
        </row>
      </sheetData>
      <sheetData sheetId="576">
        <row r="9">
          <cell r="A9" t="str">
            <v>A</v>
          </cell>
        </row>
      </sheetData>
      <sheetData sheetId="577">
        <row r="9">
          <cell r="A9" t="str">
            <v>A</v>
          </cell>
        </row>
      </sheetData>
      <sheetData sheetId="578">
        <row r="9">
          <cell r="A9" t="str">
            <v>A</v>
          </cell>
        </row>
      </sheetData>
      <sheetData sheetId="579">
        <row r="9">
          <cell r="A9" t="str">
            <v>A</v>
          </cell>
        </row>
      </sheetData>
      <sheetData sheetId="580">
        <row r="9">
          <cell r="A9" t="str">
            <v>A</v>
          </cell>
        </row>
      </sheetData>
      <sheetData sheetId="581">
        <row r="9">
          <cell r="A9" t="str">
            <v>A</v>
          </cell>
        </row>
      </sheetData>
      <sheetData sheetId="582">
        <row r="9">
          <cell r="A9" t="str">
            <v>A</v>
          </cell>
        </row>
      </sheetData>
      <sheetData sheetId="583">
        <row r="9">
          <cell r="A9" t="str">
            <v>A</v>
          </cell>
        </row>
      </sheetData>
      <sheetData sheetId="584">
        <row r="9">
          <cell r="A9" t="str">
            <v>A</v>
          </cell>
        </row>
      </sheetData>
      <sheetData sheetId="585">
        <row r="9">
          <cell r="A9" t="str">
            <v>A</v>
          </cell>
        </row>
      </sheetData>
      <sheetData sheetId="586">
        <row r="9">
          <cell r="A9" t="str">
            <v>A</v>
          </cell>
        </row>
      </sheetData>
      <sheetData sheetId="587">
        <row r="9">
          <cell r="A9" t="str">
            <v>A</v>
          </cell>
        </row>
      </sheetData>
      <sheetData sheetId="588">
        <row r="9">
          <cell r="A9" t="str">
            <v>A</v>
          </cell>
        </row>
      </sheetData>
      <sheetData sheetId="589">
        <row r="9">
          <cell r="A9" t="str">
            <v>A</v>
          </cell>
        </row>
      </sheetData>
      <sheetData sheetId="590">
        <row r="9">
          <cell r="A9" t="str">
            <v>A</v>
          </cell>
        </row>
      </sheetData>
      <sheetData sheetId="591">
        <row r="9">
          <cell r="A9" t="str">
            <v>A</v>
          </cell>
        </row>
      </sheetData>
      <sheetData sheetId="592">
        <row r="9">
          <cell r="A9" t="str">
            <v>A</v>
          </cell>
        </row>
      </sheetData>
      <sheetData sheetId="593">
        <row r="9">
          <cell r="A9" t="str">
            <v>A</v>
          </cell>
        </row>
      </sheetData>
      <sheetData sheetId="594">
        <row r="9">
          <cell r="A9" t="str">
            <v>A</v>
          </cell>
        </row>
      </sheetData>
      <sheetData sheetId="595">
        <row r="9">
          <cell r="A9" t="str">
            <v>A</v>
          </cell>
        </row>
      </sheetData>
      <sheetData sheetId="596">
        <row r="9">
          <cell r="A9" t="str">
            <v>A</v>
          </cell>
        </row>
      </sheetData>
      <sheetData sheetId="597">
        <row r="9">
          <cell r="A9" t="str">
            <v>A</v>
          </cell>
        </row>
      </sheetData>
      <sheetData sheetId="598">
        <row r="9">
          <cell r="A9" t="str">
            <v>A</v>
          </cell>
        </row>
      </sheetData>
      <sheetData sheetId="599">
        <row r="9">
          <cell r="A9" t="str">
            <v>A</v>
          </cell>
        </row>
      </sheetData>
      <sheetData sheetId="600">
        <row r="9">
          <cell r="A9" t="str">
            <v>A</v>
          </cell>
        </row>
      </sheetData>
      <sheetData sheetId="601">
        <row r="9">
          <cell r="A9" t="str">
            <v>A</v>
          </cell>
        </row>
      </sheetData>
      <sheetData sheetId="602">
        <row r="9">
          <cell r="A9" t="str">
            <v>A</v>
          </cell>
        </row>
      </sheetData>
      <sheetData sheetId="603">
        <row r="9">
          <cell r="A9" t="str">
            <v>A</v>
          </cell>
        </row>
      </sheetData>
      <sheetData sheetId="604">
        <row r="9">
          <cell r="A9" t="str">
            <v>A</v>
          </cell>
        </row>
      </sheetData>
      <sheetData sheetId="605">
        <row r="9">
          <cell r="A9" t="str">
            <v>A</v>
          </cell>
        </row>
      </sheetData>
      <sheetData sheetId="606">
        <row r="9">
          <cell r="A9" t="str">
            <v>A</v>
          </cell>
        </row>
      </sheetData>
      <sheetData sheetId="607">
        <row r="9">
          <cell r="A9" t="str">
            <v>A</v>
          </cell>
        </row>
      </sheetData>
      <sheetData sheetId="608">
        <row r="9">
          <cell r="A9" t="str">
            <v>A</v>
          </cell>
        </row>
      </sheetData>
      <sheetData sheetId="609">
        <row r="9">
          <cell r="A9" t="str">
            <v>A</v>
          </cell>
        </row>
      </sheetData>
      <sheetData sheetId="610">
        <row r="9">
          <cell r="A9" t="str">
            <v>A</v>
          </cell>
        </row>
      </sheetData>
      <sheetData sheetId="611">
        <row r="9">
          <cell r="A9" t="str">
            <v>A</v>
          </cell>
        </row>
      </sheetData>
      <sheetData sheetId="612">
        <row r="9">
          <cell r="A9" t="str">
            <v>A</v>
          </cell>
        </row>
      </sheetData>
      <sheetData sheetId="613">
        <row r="9">
          <cell r="A9" t="str">
            <v>A</v>
          </cell>
        </row>
      </sheetData>
      <sheetData sheetId="614">
        <row r="9">
          <cell r="A9" t="str">
            <v>A</v>
          </cell>
        </row>
      </sheetData>
      <sheetData sheetId="615">
        <row r="9">
          <cell r="A9" t="str">
            <v>A</v>
          </cell>
        </row>
      </sheetData>
      <sheetData sheetId="616">
        <row r="9">
          <cell r="A9" t="str">
            <v>A</v>
          </cell>
        </row>
      </sheetData>
      <sheetData sheetId="617">
        <row r="9">
          <cell r="A9" t="str">
            <v>A</v>
          </cell>
        </row>
      </sheetData>
      <sheetData sheetId="618">
        <row r="9">
          <cell r="A9" t="str">
            <v>A</v>
          </cell>
        </row>
      </sheetData>
      <sheetData sheetId="619">
        <row r="9">
          <cell r="A9" t="str">
            <v>A</v>
          </cell>
        </row>
      </sheetData>
      <sheetData sheetId="620">
        <row r="9">
          <cell r="A9" t="str">
            <v>A</v>
          </cell>
        </row>
      </sheetData>
      <sheetData sheetId="621">
        <row r="9">
          <cell r="A9" t="str">
            <v>A</v>
          </cell>
        </row>
      </sheetData>
      <sheetData sheetId="622" refreshError="1"/>
      <sheetData sheetId="623" refreshError="1"/>
      <sheetData sheetId="624" refreshError="1"/>
      <sheetData sheetId="625" refreshError="1"/>
      <sheetData sheetId="626" refreshError="1"/>
      <sheetData sheetId="627" refreshError="1"/>
      <sheetData sheetId="628">
        <row r="9">
          <cell r="A9" t="str">
            <v>A</v>
          </cell>
        </row>
      </sheetData>
      <sheetData sheetId="629" refreshError="1"/>
      <sheetData sheetId="630" refreshError="1"/>
      <sheetData sheetId="631">
        <row r="9">
          <cell r="A9" t="str">
            <v>A</v>
          </cell>
        </row>
      </sheetData>
      <sheetData sheetId="632" refreshError="1"/>
      <sheetData sheetId="633" refreshError="1"/>
      <sheetData sheetId="634" refreshError="1"/>
      <sheetData sheetId="635">
        <row r="9">
          <cell r="A9" t="str">
            <v>A</v>
          </cell>
        </row>
      </sheetData>
      <sheetData sheetId="636">
        <row r="9">
          <cell r="A9" t="str">
            <v>A</v>
          </cell>
        </row>
      </sheetData>
      <sheetData sheetId="637">
        <row r="9">
          <cell r="A9" t="str">
            <v>A</v>
          </cell>
        </row>
      </sheetData>
      <sheetData sheetId="638">
        <row r="9">
          <cell r="A9" t="str">
            <v>A</v>
          </cell>
        </row>
      </sheetData>
      <sheetData sheetId="639">
        <row r="9">
          <cell r="A9" t="str">
            <v>A</v>
          </cell>
        </row>
      </sheetData>
      <sheetData sheetId="640">
        <row r="9">
          <cell r="A9" t="str">
            <v>A</v>
          </cell>
        </row>
      </sheetData>
      <sheetData sheetId="641">
        <row r="9">
          <cell r="A9" t="str">
            <v>A</v>
          </cell>
        </row>
      </sheetData>
      <sheetData sheetId="642">
        <row r="9">
          <cell r="A9" t="str">
            <v>A</v>
          </cell>
        </row>
      </sheetData>
      <sheetData sheetId="643">
        <row r="9">
          <cell r="A9" t="str">
            <v>A</v>
          </cell>
        </row>
      </sheetData>
      <sheetData sheetId="644">
        <row r="9">
          <cell r="A9" t="str">
            <v>A</v>
          </cell>
        </row>
      </sheetData>
      <sheetData sheetId="645">
        <row r="9">
          <cell r="A9" t="str">
            <v>A</v>
          </cell>
        </row>
      </sheetData>
      <sheetData sheetId="646">
        <row r="9">
          <cell r="A9" t="str">
            <v>A</v>
          </cell>
        </row>
      </sheetData>
      <sheetData sheetId="647">
        <row r="9">
          <cell r="A9" t="str">
            <v>A</v>
          </cell>
        </row>
      </sheetData>
      <sheetData sheetId="648">
        <row r="9">
          <cell r="A9" t="str">
            <v>A</v>
          </cell>
        </row>
      </sheetData>
      <sheetData sheetId="649">
        <row r="9">
          <cell r="A9" t="str">
            <v>A</v>
          </cell>
        </row>
      </sheetData>
      <sheetData sheetId="650">
        <row r="9">
          <cell r="A9" t="str">
            <v>A</v>
          </cell>
        </row>
      </sheetData>
      <sheetData sheetId="651">
        <row r="9">
          <cell r="A9" t="str">
            <v>A</v>
          </cell>
        </row>
      </sheetData>
      <sheetData sheetId="652">
        <row r="9">
          <cell r="A9" t="str">
            <v>A</v>
          </cell>
        </row>
      </sheetData>
      <sheetData sheetId="653">
        <row r="9">
          <cell r="A9" t="str">
            <v>A</v>
          </cell>
        </row>
      </sheetData>
      <sheetData sheetId="654">
        <row r="9">
          <cell r="A9" t="str">
            <v>A</v>
          </cell>
        </row>
      </sheetData>
      <sheetData sheetId="655">
        <row r="9">
          <cell r="A9" t="str">
            <v>A</v>
          </cell>
        </row>
      </sheetData>
      <sheetData sheetId="656">
        <row r="9">
          <cell r="A9" t="str">
            <v>A</v>
          </cell>
        </row>
      </sheetData>
      <sheetData sheetId="657">
        <row r="9">
          <cell r="A9" t="str">
            <v>A</v>
          </cell>
        </row>
      </sheetData>
      <sheetData sheetId="658">
        <row r="9">
          <cell r="A9" t="str">
            <v>A</v>
          </cell>
        </row>
      </sheetData>
      <sheetData sheetId="659">
        <row r="9">
          <cell r="A9" t="str">
            <v>A</v>
          </cell>
        </row>
      </sheetData>
      <sheetData sheetId="660">
        <row r="9">
          <cell r="A9" t="str">
            <v>A</v>
          </cell>
        </row>
      </sheetData>
      <sheetData sheetId="661">
        <row r="9">
          <cell r="A9" t="str">
            <v>A</v>
          </cell>
        </row>
      </sheetData>
      <sheetData sheetId="662">
        <row r="9">
          <cell r="A9" t="str">
            <v>A</v>
          </cell>
        </row>
      </sheetData>
      <sheetData sheetId="663">
        <row r="9">
          <cell r="A9" t="str">
            <v>A</v>
          </cell>
        </row>
      </sheetData>
      <sheetData sheetId="664">
        <row r="9">
          <cell r="A9" t="str">
            <v>A</v>
          </cell>
        </row>
      </sheetData>
      <sheetData sheetId="665">
        <row r="9">
          <cell r="A9" t="str">
            <v>A</v>
          </cell>
        </row>
      </sheetData>
      <sheetData sheetId="666">
        <row r="9">
          <cell r="A9" t="str">
            <v>A</v>
          </cell>
        </row>
      </sheetData>
      <sheetData sheetId="667">
        <row r="9">
          <cell r="A9" t="str">
            <v>A</v>
          </cell>
        </row>
      </sheetData>
      <sheetData sheetId="668">
        <row r="9">
          <cell r="A9" t="str">
            <v>A</v>
          </cell>
        </row>
      </sheetData>
      <sheetData sheetId="669">
        <row r="9">
          <cell r="A9" t="str">
            <v>A</v>
          </cell>
        </row>
      </sheetData>
      <sheetData sheetId="670">
        <row r="9">
          <cell r="A9" t="str">
            <v>A</v>
          </cell>
        </row>
      </sheetData>
      <sheetData sheetId="671">
        <row r="9">
          <cell r="A9" t="str">
            <v>A</v>
          </cell>
        </row>
      </sheetData>
      <sheetData sheetId="672">
        <row r="9">
          <cell r="A9" t="str">
            <v>A</v>
          </cell>
        </row>
      </sheetData>
      <sheetData sheetId="673">
        <row r="9">
          <cell r="A9" t="str">
            <v>A</v>
          </cell>
        </row>
      </sheetData>
      <sheetData sheetId="674">
        <row r="9">
          <cell r="A9" t="str">
            <v>A</v>
          </cell>
        </row>
      </sheetData>
      <sheetData sheetId="675">
        <row r="9">
          <cell r="A9" t="str">
            <v>A</v>
          </cell>
        </row>
      </sheetData>
      <sheetData sheetId="676">
        <row r="9">
          <cell r="A9" t="str">
            <v>A</v>
          </cell>
        </row>
      </sheetData>
      <sheetData sheetId="677">
        <row r="9">
          <cell r="A9" t="str">
            <v>A</v>
          </cell>
        </row>
      </sheetData>
      <sheetData sheetId="678">
        <row r="9">
          <cell r="A9" t="str">
            <v>A</v>
          </cell>
        </row>
      </sheetData>
      <sheetData sheetId="679">
        <row r="9">
          <cell r="A9" t="str">
            <v>A</v>
          </cell>
        </row>
      </sheetData>
      <sheetData sheetId="680">
        <row r="9">
          <cell r="A9" t="str">
            <v>A</v>
          </cell>
        </row>
      </sheetData>
      <sheetData sheetId="681">
        <row r="9">
          <cell r="A9" t="str">
            <v>A</v>
          </cell>
        </row>
      </sheetData>
      <sheetData sheetId="682">
        <row r="9">
          <cell r="A9" t="str">
            <v>A</v>
          </cell>
        </row>
      </sheetData>
      <sheetData sheetId="683">
        <row r="9">
          <cell r="A9" t="str">
            <v>A</v>
          </cell>
        </row>
      </sheetData>
      <sheetData sheetId="684">
        <row r="9">
          <cell r="A9" t="str">
            <v>A</v>
          </cell>
        </row>
      </sheetData>
      <sheetData sheetId="685">
        <row r="9">
          <cell r="A9" t="str">
            <v>A</v>
          </cell>
        </row>
      </sheetData>
      <sheetData sheetId="686">
        <row r="9">
          <cell r="A9" t="str">
            <v>A</v>
          </cell>
        </row>
      </sheetData>
      <sheetData sheetId="687">
        <row r="9">
          <cell r="A9" t="str">
            <v>A</v>
          </cell>
        </row>
      </sheetData>
      <sheetData sheetId="688">
        <row r="9">
          <cell r="A9" t="str">
            <v>A</v>
          </cell>
        </row>
      </sheetData>
      <sheetData sheetId="689">
        <row r="9">
          <cell r="A9" t="str">
            <v>A</v>
          </cell>
        </row>
      </sheetData>
      <sheetData sheetId="690"/>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ow r="9">
          <cell r="A9" t="str">
            <v>A</v>
          </cell>
        </row>
      </sheetData>
      <sheetData sheetId="703">
        <row r="9">
          <cell r="A9" t="str">
            <v>A</v>
          </cell>
        </row>
      </sheetData>
      <sheetData sheetId="704">
        <row r="9">
          <cell r="A9" t="str">
            <v>A</v>
          </cell>
        </row>
      </sheetData>
      <sheetData sheetId="705">
        <row r="9">
          <cell r="A9" t="str">
            <v>A</v>
          </cell>
        </row>
      </sheetData>
      <sheetData sheetId="706">
        <row r="9">
          <cell r="A9" t="str">
            <v>A</v>
          </cell>
        </row>
      </sheetData>
      <sheetData sheetId="707">
        <row r="9">
          <cell r="A9" t="str">
            <v>A</v>
          </cell>
        </row>
      </sheetData>
      <sheetData sheetId="708">
        <row r="9">
          <cell r="A9" t="str">
            <v>A</v>
          </cell>
        </row>
      </sheetData>
      <sheetData sheetId="709">
        <row r="9">
          <cell r="A9" t="str">
            <v>A</v>
          </cell>
        </row>
      </sheetData>
      <sheetData sheetId="710">
        <row r="9">
          <cell r="A9" t="str">
            <v>A</v>
          </cell>
        </row>
      </sheetData>
      <sheetData sheetId="711">
        <row r="9">
          <cell r="A9" t="str">
            <v>A</v>
          </cell>
        </row>
      </sheetData>
      <sheetData sheetId="712">
        <row r="9">
          <cell r="A9" t="str">
            <v>A</v>
          </cell>
        </row>
      </sheetData>
      <sheetData sheetId="713">
        <row r="9">
          <cell r="A9" t="str">
            <v>A</v>
          </cell>
        </row>
      </sheetData>
      <sheetData sheetId="714">
        <row r="9">
          <cell r="A9" t="str">
            <v>A</v>
          </cell>
        </row>
      </sheetData>
      <sheetData sheetId="715">
        <row r="9">
          <cell r="A9" t="str">
            <v>A</v>
          </cell>
        </row>
      </sheetData>
      <sheetData sheetId="716">
        <row r="9">
          <cell r="A9" t="str">
            <v>A</v>
          </cell>
        </row>
      </sheetData>
      <sheetData sheetId="717">
        <row r="9">
          <cell r="A9" t="str">
            <v>A</v>
          </cell>
        </row>
      </sheetData>
      <sheetData sheetId="718">
        <row r="9">
          <cell r="A9" t="str">
            <v>A</v>
          </cell>
        </row>
      </sheetData>
      <sheetData sheetId="719">
        <row r="9">
          <cell r="A9" t="str">
            <v>A</v>
          </cell>
        </row>
      </sheetData>
      <sheetData sheetId="720">
        <row r="9">
          <cell r="A9" t="str">
            <v>A</v>
          </cell>
        </row>
      </sheetData>
      <sheetData sheetId="721">
        <row r="9">
          <cell r="A9" t="str">
            <v>A</v>
          </cell>
        </row>
      </sheetData>
      <sheetData sheetId="722">
        <row r="9">
          <cell r="A9" t="str">
            <v>A</v>
          </cell>
        </row>
      </sheetData>
      <sheetData sheetId="723">
        <row r="9">
          <cell r="A9" t="str">
            <v>A</v>
          </cell>
        </row>
      </sheetData>
      <sheetData sheetId="724">
        <row r="9">
          <cell r="A9" t="str">
            <v>A</v>
          </cell>
        </row>
      </sheetData>
      <sheetData sheetId="725">
        <row r="9">
          <cell r="A9" t="str">
            <v>A</v>
          </cell>
        </row>
      </sheetData>
      <sheetData sheetId="726">
        <row r="9">
          <cell r="A9" t="str">
            <v>A</v>
          </cell>
        </row>
      </sheetData>
      <sheetData sheetId="727">
        <row r="9">
          <cell r="A9" t="str">
            <v>A</v>
          </cell>
        </row>
      </sheetData>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sheetData sheetId="752"/>
      <sheetData sheetId="753"/>
      <sheetData sheetId="754"/>
      <sheetData sheetId="755"/>
      <sheetData sheetId="756"/>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sheetData sheetId="766"/>
      <sheetData sheetId="767"/>
      <sheetData sheetId="768">
        <row r="9">
          <cell r="A9" t="str">
            <v>A</v>
          </cell>
        </row>
      </sheetData>
      <sheetData sheetId="769">
        <row r="9">
          <cell r="A9" t="str">
            <v>A</v>
          </cell>
        </row>
      </sheetData>
      <sheetData sheetId="770">
        <row r="9">
          <cell r="A9" t="str">
            <v>A</v>
          </cell>
        </row>
      </sheetData>
      <sheetData sheetId="771">
        <row r="9">
          <cell r="A9" t="str">
            <v>A</v>
          </cell>
        </row>
      </sheetData>
      <sheetData sheetId="772">
        <row r="9">
          <cell r="A9" t="str">
            <v>A</v>
          </cell>
        </row>
      </sheetData>
      <sheetData sheetId="773">
        <row r="9">
          <cell r="A9" t="str">
            <v>A</v>
          </cell>
        </row>
      </sheetData>
      <sheetData sheetId="774">
        <row r="9">
          <cell r="A9" t="str">
            <v>A</v>
          </cell>
        </row>
      </sheetData>
      <sheetData sheetId="775">
        <row r="9">
          <cell r="A9" t="str">
            <v>A</v>
          </cell>
        </row>
      </sheetData>
      <sheetData sheetId="776">
        <row r="9">
          <cell r="A9" t="str">
            <v>A</v>
          </cell>
        </row>
      </sheetData>
      <sheetData sheetId="777">
        <row r="9">
          <cell r="A9" t="str">
            <v>A</v>
          </cell>
        </row>
      </sheetData>
      <sheetData sheetId="778">
        <row r="9">
          <cell r="A9" t="str">
            <v>A</v>
          </cell>
        </row>
      </sheetData>
      <sheetData sheetId="779">
        <row r="9">
          <cell r="A9" t="str">
            <v>A</v>
          </cell>
        </row>
      </sheetData>
      <sheetData sheetId="780">
        <row r="9">
          <cell r="A9" t="str">
            <v>A</v>
          </cell>
        </row>
      </sheetData>
      <sheetData sheetId="781">
        <row r="9">
          <cell r="A9" t="str">
            <v>A</v>
          </cell>
        </row>
      </sheetData>
      <sheetData sheetId="782">
        <row r="9">
          <cell r="A9" t="str">
            <v>A</v>
          </cell>
        </row>
      </sheetData>
      <sheetData sheetId="783">
        <row r="9">
          <cell r="A9" t="str">
            <v>A</v>
          </cell>
        </row>
      </sheetData>
      <sheetData sheetId="784">
        <row r="9">
          <cell r="A9" t="str">
            <v>A</v>
          </cell>
        </row>
      </sheetData>
      <sheetData sheetId="785">
        <row r="9">
          <cell r="A9" t="str">
            <v>A</v>
          </cell>
        </row>
      </sheetData>
      <sheetData sheetId="786"/>
      <sheetData sheetId="787"/>
      <sheetData sheetId="788"/>
      <sheetData sheetId="789"/>
      <sheetData sheetId="790"/>
      <sheetData sheetId="791"/>
      <sheetData sheetId="792">
        <row r="9">
          <cell r="A9" t="str">
            <v>A</v>
          </cell>
        </row>
      </sheetData>
      <sheetData sheetId="793">
        <row r="9">
          <cell r="A9" t="str">
            <v>A</v>
          </cell>
        </row>
      </sheetData>
      <sheetData sheetId="794">
        <row r="9">
          <cell r="A9" t="str">
            <v>A</v>
          </cell>
        </row>
      </sheetData>
      <sheetData sheetId="795">
        <row r="9">
          <cell r="A9" t="str">
            <v>A</v>
          </cell>
        </row>
      </sheetData>
      <sheetData sheetId="796">
        <row r="9">
          <cell r="A9" t="str">
            <v>A</v>
          </cell>
        </row>
      </sheetData>
      <sheetData sheetId="797">
        <row r="9">
          <cell r="A9" t="str">
            <v>A</v>
          </cell>
        </row>
      </sheetData>
      <sheetData sheetId="798">
        <row r="9">
          <cell r="A9" t="str">
            <v>A</v>
          </cell>
        </row>
      </sheetData>
      <sheetData sheetId="799">
        <row r="9">
          <cell r="A9" t="str">
            <v>A</v>
          </cell>
        </row>
      </sheetData>
      <sheetData sheetId="800">
        <row r="9">
          <cell r="A9" t="str">
            <v>A</v>
          </cell>
        </row>
      </sheetData>
      <sheetData sheetId="801">
        <row r="9">
          <cell r="A9" t="str">
            <v>A</v>
          </cell>
        </row>
      </sheetData>
      <sheetData sheetId="802">
        <row r="9">
          <cell r="A9" t="str">
            <v>A</v>
          </cell>
        </row>
      </sheetData>
      <sheetData sheetId="803">
        <row r="9">
          <cell r="A9" t="str">
            <v>A</v>
          </cell>
        </row>
      </sheetData>
      <sheetData sheetId="804">
        <row r="9">
          <cell r="A9" t="str">
            <v>A</v>
          </cell>
        </row>
      </sheetData>
      <sheetData sheetId="805">
        <row r="9">
          <cell r="A9" t="str">
            <v>A</v>
          </cell>
        </row>
      </sheetData>
      <sheetData sheetId="806">
        <row r="9">
          <cell r="A9" t="str">
            <v>A</v>
          </cell>
        </row>
      </sheetData>
      <sheetData sheetId="807">
        <row r="9">
          <cell r="A9" t="str">
            <v>A</v>
          </cell>
        </row>
      </sheetData>
      <sheetData sheetId="808">
        <row r="9">
          <cell r="A9" t="str">
            <v>A</v>
          </cell>
        </row>
      </sheetData>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ow r="9">
          <cell r="A9" t="str">
            <v>A</v>
          </cell>
        </row>
      </sheetData>
      <sheetData sheetId="833">
        <row r="9">
          <cell r="A9" t="str">
            <v>A</v>
          </cell>
        </row>
      </sheetData>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ow r="9">
          <cell r="A9" t="str">
            <v>A</v>
          </cell>
        </row>
      </sheetData>
      <sheetData sheetId="846">
        <row r="9">
          <cell r="A9" t="str">
            <v>A</v>
          </cell>
        </row>
      </sheetData>
      <sheetData sheetId="847">
        <row r="9">
          <cell r="A9" t="str">
            <v>A</v>
          </cell>
        </row>
      </sheetData>
      <sheetData sheetId="848">
        <row r="9">
          <cell r="A9" t="str">
            <v>A</v>
          </cell>
        </row>
      </sheetData>
      <sheetData sheetId="849" refreshError="1"/>
      <sheetData sheetId="850">
        <row r="9">
          <cell r="A9" t="str">
            <v>A</v>
          </cell>
        </row>
      </sheetData>
      <sheetData sheetId="851">
        <row r="9">
          <cell r="A9" t="str">
            <v>A</v>
          </cell>
        </row>
      </sheetData>
      <sheetData sheetId="852" refreshError="1"/>
      <sheetData sheetId="853">
        <row r="9">
          <cell r="A9" t="str">
            <v>A</v>
          </cell>
        </row>
      </sheetData>
      <sheetData sheetId="854" refreshError="1"/>
      <sheetData sheetId="855">
        <row r="9">
          <cell r="A9" t="str">
            <v>A</v>
          </cell>
        </row>
      </sheetData>
      <sheetData sheetId="856">
        <row r="9">
          <cell r="A9" t="str">
            <v>A</v>
          </cell>
        </row>
      </sheetData>
      <sheetData sheetId="857">
        <row r="9">
          <cell r="A9" t="str">
            <v>A</v>
          </cell>
        </row>
      </sheetData>
      <sheetData sheetId="858">
        <row r="9">
          <cell r="A9" t="str">
            <v>A</v>
          </cell>
        </row>
      </sheetData>
      <sheetData sheetId="859">
        <row r="9">
          <cell r="A9" t="str">
            <v>A</v>
          </cell>
        </row>
      </sheetData>
      <sheetData sheetId="860">
        <row r="9">
          <cell r="A9" t="str">
            <v>A</v>
          </cell>
        </row>
      </sheetData>
      <sheetData sheetId="861">
        <row r="9">
          <cell r="A9" t="str">
            <v>A</v>
          </cell>
        </row>
      </sheetData>
      <sheetData sheetId="862">
        <row r="9">
          <cell r="A9" t="str">
            <v>A</v>
          </cell>
        </row>
      </sheetData>
      <sheetData sheetId="863">
        <row r="9">
          <cell r="A9" t="str">
            <v>A</v>
          </cell>
        </row>
      </sheetData>
      <sheetData sheetId="864">
        <row r="9">
          <cell r="A9" t="str">
            <v>A</v>
          </cell>
        </row>
      </sheetData>
      <sheetData sheetId="865">
        <row r="9">
          <cell r="A9" t="str">
            <v>A</v>
          </cell>
        </row>
      </sheetData>
      <sheetData sheetId="866">
        <row r="9">
          <cell r="A9" t="str">
            <v>A</v>
          </cell>
        </row>
      </sheetData>
      <sheetData sheetId="867">
        <row r="9">
          <cell r="A9" t="str">
            <v>A</v>
          </cell>
        </row>
      </sheetData>
      <sheetData sheetId="868">
        <row r="9">
          <cell r="A9" t="str">
            <v>A</v>
          </cell>
        </row>
      </sheetData>
      <sheetData sheetId="869">
        <row r="9">
          <cell r="A9" t="str">
            <v>A</v>
          </cell>
        </row>
      </sheetData>
      <sheetData sheetId="870">
        <row r="9">
          <cell r="A9" t="str">
            <v>A</v>
          </cell>
        </row>
      </sheetData>
      <sheetData sheetId="871">
        <row r="9">
          <cell r="A9" t="str">
            <v>A</v>
          </cell>
        </row>
      </sheetData>
      <sheetData sheetId="872">
        <row r="9">
          <cell r="A9" t="str">
            <v>A</v>
          </cell>
        </row>
      </sheetData>
      <sheetData sheetId="873">
        <row r="9">
          <cell r="A9" t="str">
            <v>A</v>
          </cell>
        </row>
      </sheetData>
      <sheetData sheetId="874" refreshError="1"/>
      <sheetData sheetId="875" refreshError="1"/>
      <sheetData sheetId="876" refreshError="1"/>
      <sheetData sheetId="877" refreshError="1"/>
      <sheetData sheetId="878" refreshError="1"/>
      <sheetData sheetId="879" refreshError="1"/>
      <sheetData sheetId="880">
        <row r="9">
          <cell r="A9" t="str">
            <v>A</v>
          </cell>
        </row>
      </sheetData>
      <sheetData sheetId="881">
        <row r="9">
          <cell r="A9" t="str">
            <v>A</v>
          </cell>
        </row>
      </sheetData>
      <sheetData sheetId="882">
        <row r="9">
          <cell r="A9" t="str">
            <v>A</v>
          </cell>
        </row>
      </sheetData>
      <sheetData sheetId="883">
        <row r="9">
          <cell r="A9" t="str">
            <v>A</v>
          </cell>
        </row>
      </sheetData>
      <sheetData sheetId="884">
        <row r="9">
          <cell r="A9" t="str">
            <v>A</v>
          </cell>
        </row>
      </sheetData>
      <sheetData sheetId="885">
        <row r="9">
          <cell r="A9" t="str">
            <v>A</v>
          </cell>
        </row>
      </sheetData>
      <sheetData sheetId="886">
        <row r="9">
          <cell r="A9" t="str">
            <v>A</v>
          </cell>
        </row>
      </sheetData>
      <sheetData sheetId="887">
        <row r="9">
          <cell r="A9" t="str">
            <v>A</v>
          </cell>
        </row>
      </sheetData>
      <sheetData sheetId="888">
        <row r="9">
          <cell r="A9" t="str">
            <v>A</v>
          </cell>
        </row>
      </sheetData>
      <sheetData sheetId="889">
        <row r="9">
          <cell r="A9" t="str">
            <v>A</v>
          </cell>
        </row>
      </sheetData>
      <sheetData sheetId="890">
        <row r="9">
          <cell r="A9" t="str">
            <v>A</v>
          </cell>
        </row>
      </sheetData>
      <sheetData sheetId="891">
        <row r="9">
          <cell r="A9" t="str">
            <v>A</v>
          </cell>
        </row>
      </sheetData>
      <sheetData sheetId="892">
        <row r="9">
          <cell r="A9" t="str">
            <v>A</v>
          </cell>
        </row>
      </sheetData>
      <sheetData sheetId="893">
        <row r="9">
          <cell r="A9" t="str">
            <v>A</v>
          </cell>
        </row>
      </sheetData>
      <sheetData sheetId="894">
        <row r="9">
          <cell r="A9" t="str">
            <v>A</v>
          </cell>
        </row>
      </sheetData>
      <sheetData sheetId="895">
        <row r="9">
          <cell r="A9" t="str">
            <v>A</v>
          </cell>
        </row>
      </sheetData>
      <sheetData sheetId="896">
        <row r="9">
          <cell r="A9" t="str">
            <v>A</v>
          </cell>
        </row>
      </sheetData>
      <sheetData sheetId="897">
        <row r="9">
          <cell r="A9" t="str">
            <v>A</v>
          </cell>
        </row>
      </sheetData>
      <sheetData sheetId="898">
        <row r="9">
          <cell r="A9" t="str">
            <v>A</v>
          </cell>
        </row>
      </sheetData>
      <sheetData sheetId="899">
        <row r="9">
          <cell r="A9" t="str">
            <v>A</v>
          </cell>
        </row>
      </sheetData>
      <sheetData sheetId="900">
        <row r="9">
          <cell r="A9" t="str">
            <v>A</v>
          </cell>
        </row>
      </sheetData>
      <sheetData sheetId="901">
        <row r="9">
          <cell r="A9" t="str">
            <v>A</v>
          </cell>
        </row>
      </sheetData>
      <sheetData sheetId="902">
        <row r="9">
          <cell r="A9" t="str">
            <v>A</v>
          </cell>
        </row>
      </sheetData>
      <sheetData sheetId="903">
        <row r="9">
          <cell r="A9" t="str">
            <v>A</v>
          </cell>
        </row>
      </sheetData>
      <sheetData sheetId="904">
        <row r="9">
          <cell r="A9" t="str">
            <v>A</v>
          </cell>
        </row>
      </sheetData>
      <sheetData sheetId="905">
        <row r="9">
          <cell r="A9" t="str">
            <v>A</v>
          </cell>
        </row>
      </sheetData>
      <sheetData sheetId="906">
        <row r="9">
          <cell r="A9" t="str">
            <v>A</v>
          </cell>
        </row>
      </sheetData>
      <sheetData sheetId="907">
        <row r="9">
          <cell r="A9" t="str">
            <v>A</v>
          </cell>
        </row>
      </sheetData>
      <sheetData sheetId="908">
        <row r="9">
          <cell r="A9" t="str">
            <v>A</v>
          </cell>
        </row>
      </sheetData>
      <sheetData sheetId="909">
        <row r="9">
          <cell r="A9" t="str">
            <v>A</v>
          </cell>
        </row>
      </sheetData>
      <sheetData sheetId="910">
        <row r="9">
          <cell r="A9" t="str">
            <v>A</v>
          </cell>
        </row>
      </sheetData>
      <sheetData sheetId="911">
        <row r="9">
          <cell r="A9" t="str">
            <v>A</v>
          </cell>
        </row>
      </sheetData>
      <sheetData sheetId="912">
        <row r="9">
          <cell r="A9" t="str">
            <v>A</v>
          </cell>
        </row>
      </sheetData>
      <sheetData sheetId="913">
        <row r="9">
          <cell r="A9" t="str">
            <v>A</v>
          </cell>
        </row>
      </sheetData>
      <sheetData sheetId="914">
        <row r="9">
          <cell r="A9" t="str">
            <v>A</v>
          </cell>
        </row>
      </sheetData>
      <sheetData sheetId="915">
        <row r="9">
          <cell r="A9" t="str">
            <v>A</v>
          </cell>
        </row>
      </sheetData>
      <sheetData sheetId="916">
        <row r="9">
          <cell r="A9" t="str">
            <v>A</v>
          </cell>
        </row>
      </sheetData>
      <sheetData sheetId="917">
        <row r="9">
          <cell r="A9" t="str">
            <v>A</v>
          </cell>
        </row>
      </sheetData>
      <sheetData sheetId="918">
        <row r="9">
          <cell r="A9" t="str">
            <v>A</v>
          </cell>
        </row>
      </sheetData>
      <sheetData sheetId="919">
        <row r="9">
          <cell r="A9" t="str">
            <v>A</v>
          </cell>
        </row>
      </sheetData>
      <sheetData sheetId="920">
        <row r="9">
          <cell r="A9" t="str">
            <v>A</v>
          </cell>
        </row>
      </sheetData>
      <sheetData sheetId="921">
        <row r="9">
          <cell r="A9" t="str">
            <v>A</v>
          </cell>
        </row>
      </sheetData>
      <sheetData sheetId="922">
        <row r="9">
          <cell r="A9" t="str">
            <v>A</v>
          </cell>
        </row>
      </sheetData>
      <sheetData sheetId="923">
        <row r="9">
          <cell r="A9" t="str">
            <v>A</v>
          </cell>
        </row>
      </sheetData>
      <sheetData sheetId="924">
        <row r="9">
          <cell r="A9" t="str">
            <v>A</v>
          </cell>
        </row>
      </sheetData>
      <sheetData sheetId="925">
        <row r="9">
          <cell r="A9" t="str">
            <v>A</v>
          </cell>
        </row>
      </sheetData>
      <sheetData sheetId="926">
        <row r="9">
          <cell r="A9" t="str">
            <v>A</v>
          </cell>
        </row>
      </sheetData>
      <sheetData sheetId="927">
        <row r="9">
          <cell r="A9" t="str">
            <v>A</v>
          </cell>
        </row>
      </sheetData>
      <sheetData sheetId="928">
        <row r="9">
          <cell r="A9" t="str">
            <v>A</v>
          </cell>
        </row>
      </sheetData>
      <sheetData sheetId="929">
        <row r="9">
          <cell r="A9" t="str">
            <v>A</v>
          </cell>
        </row>
      </sheetData>
      <sheetData sheetId="930">
        <row r="9">
          <cell r="A9" t="str">
            <v>A</v>
          </cell>
        </row>
      </sheetData>
      <sheetData sheetId="931">
        <row r="9">
          <cell r="A9" t="str">
            <v>A</v>
          </cell>
        </row>
      </sheetData>
      <sheetData sheetId="932">
        <row r="9">
          <cell r="A9" t="str">
            <v>A</v>
          </cell>
        </row>
      </sheetData>
      <sheetData sheetId="933">
        <row r="9">
          <cell r="A9" t="str">
            <v>A</v>
          </cell>
        </row>
      </sheetData>
      <sheetData sheetId="934">
        <row r="9">
          <cell r="A9" t="str">
            <v>A</v>
          </cell>
        </row>
      </sheetData>
      <sheetData sheetId="935">
        <row r="9">
          <cell r="A9" t="str">
            <v>A</v>
          </cell>
        </row>
      </sheetData>
      <sheetData sheetId="936">
        <row r="9">
          <cell r="A9" t="str">
            <v>A</v>
          </cell>
        </row>
      </sheetData>
      <sheetData sheetId="937">
        <row r="9">
          <cell r="A9" t="str">
            <v>A</v>
          </cell>
        </row>
      </sheetData>
      <sheetData sheetId="938">
        <row r="9">
          <cell r="A9" t="str">
            <v>A</v>
          </cell>
        </row>
      </sheetData>
      <sheetData sheetId="939">
        <row r="9">
          <cell r="A9" t="str">
            <v>A</v>
          </cell>
        </row>
      </sheetData>
      <sheetData sheetId="940" refreshError="1"/>
      <sheetData sheetId="941" refreshError="1"/>
      <sheetData sheetId="942" refreshError="1"/>
      <sheetData sheetId="943">
        <row r="9">
          <cell r="A9" t="str">
            <v>A</v>
          </cell>
        </row>
      </sheetData>
      <sheetData sheetId="944">
        <row r="9">
          <cell r="A9" t="str">
            <v>A</v>
          </cell>
        </row>
      </sheetData>
      <sheetData sheetId="945">
        <row r="9">
          <cell r="A9" t="str">
            <v>A</v>
          </cell>
        </row>
      </sheetData>
      <sheetData sheetId="946" refreshError="1"/>
      <sheetData sheetId="947">
        <row r="9">
          <cell r="A9" t="str">
            <v>A</v>
          </cell>
        </row>
      </sheetData>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ow r="9">
          <cell r="A9" t="str">
            <v>A</v>
          </cell>
        </row>
      </sheetData>
      <sheetData sheetId="958">
        <row r="9">
          <cell r="A9" t="str">
            <v>A</v>
          </cell>
        </row>
      </sheetData>
      <sheetData sheetId="959" refreshError="1"/>
      <sheetData sheetId="960" refreshError="1"/>
      <sheetData sheetId="961" refreshError="1"/>
      <sheetData sheetId="962" refreshError="1"/>
      <sheetData sheetId="963" refreshError="1"/>
      <sheetData sheetId="964">
        <row r="9">
          <cell r="A9" t="str">
            <v>A</v>
          </cell>
        </row>
      </sheetData>
      <sheetData sheetId="965" refreshError="1"/>
      <sheetData sheetId="966">
        <row r="9">
          <cell r="A9" t="str">
            <v>A</v>
          </cell>
        </row>
      </sheetData>
      <sheetData sheetId="967"/>
      <sheetData sheetId="968"/>
      <sheetData sheetId="969"/>
      <sheetData sheetId="970"/>
      <sheetData sheetId="971"/>
      <sheetData sheetId="972"/>
      <sheetData sheetId="973"/>
      <sheetData sheetId="974"/>
      <sheetData sheetId="975"/>
      <sheetData sheetId="976"/>
      <sheetData sheetId="977"/>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ow r="9">
          <cell r="A9" t="str">
            <v>A</v>
          </cell>
        </row>
      </sheetData>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refreshError="1"/>
      <sheetData sheetId="1080" refreshError="1"/>
      <sheetData sheetId="1081" refreshError="1"/>
      <sheetData sheetId="1082" refreshError="1"/>
      <sheetData sheetId="1083" refreshError="1"/>
      <sheetData sheetId="1084" refreshError="1"/>
      <sheetData sheetId="1085" refreshError="1"/>
      <sheetData sheetId="1086" refreshError="1"/>
      <sheetData sheetId="1087" refreshError="1"/>
      <sheetData sheetId="1088" refreshError="1"/>
      <sheetData sheetId="1089" refreshError="1"/>
      <sheetData sheetId="1090" refreshError="1"/>
      <sheetData sheetId="1091" refreshError="1"/>
      <sheetData sheetId="1092" refreshError="1"/>
      <sheetData sheetId="1093" refreshError="1"/>
      <sheetData sheetId="1094" refreshError="1"/>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refreshError="1"/>
      <sheetData sheetId="1331" refreshError="1"/>
      <sheetData sheetId="1332" refreshError="1"/>
      <sheetData sheetId="1333" refreshError="1"/>
      <sheetData sheetId="1334" refreshError="1"/>
      <sheetData sheetId="1335" refreshError="1"/>
      <sheetData sheetId="1336" refreshError="1"/>
      <sheetData sheetId="1337" refreshError="1"/>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refreshError="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refreshError="1"/>
      <sheetData sheetId="1376" refreshError="1"/>
      <sheetData sheetId="1377" refreshError="1"/>
      <sheetData sheetId="1378" refreshError="1"/>
      <sheetData sheetId="1379" refreshError="1"/>
      <sheetData sheetId="1380" refreshError="1"/>
      <sheetData sheetId="1381" refreshError="1"/>
      <sheetData sheetId="1382" refreshError="1"/>
      <sheetData sheetId="1383" refreshError="1"/>
      <sheetData sheetId="1384" refreshError="1"/>
      <sheetData sheetId="1385" refreshError="1"/>
      <sheetData sheetId="1386" refreshError="1"/>
      <sheetData sheetId="1387" refreshError="1"/>
      <sheetData sheetId="1388" refreshError="1"/>
      <sheetData sheetId="1389" refreshError="1"/>
      <sheetData sheetId="1390" refreshError="1"/>
      <sheetData sheetId="1391" refreshError="1"/>
      <sheetData sheetId="1392" refreshError="1"/>
      <sheetData sheetId="1393" refreshError="1"/>
      <sheetData sheetId="1394" refreshError="1"/>
      <sheetData sheetId="1395" refreshError="1"/>
      <sheetData sheetId="1396" refreshError="1"/>
      <sheetData sheetId="1397" refreshError="1"/>
      <sheetData sheetId="1398" refreshError="1"/>
      <sheetData sheetId="1399" refreshError="1"/>
      <sheetData sheetId="1400" refreshError="1"/>
      <sheetData sheetId="1401" refreshError="1"/>
      <sheetData sheetId="1402" refreshError="1"/>
      <sheetData sheetId="1403" refreshError="1"/>
      <sheetData sheetId="1404" refreshError="1"/>
      <sheetData sheetId="1405" refreshError="1"/>
      <sheetData sheetId="1406" refreshError="1"/>
      <sheetData sheetId="1407" refreshError="1"/>
      <sheetData sheetId="1408" refreshError="1"/>
      <sheetData sheetId="1409" refreshError="1"/>
      <sheetData sheetId="1410" refreshError="1"/>
      <sheetData sheetId="1411" refreshError="1"/>
      <sheetData sheetId="1412" refreshError="1"/>
      <sheetData sheetId="1413" refreshError="1"/>
      <sheetData sheetId="1414" refreshError="1"/>
      <sheetData sheetId="1415" refreshError="1"/>
      <sheetData sheetId="1416" refreshError="1"/>
      <sheetData sheetId="1417" refreshError="1"/>
      <sheetData sheetId="1418" refreshError="1"/>
      <sheetData sheetId="1419" refreshError="1"/>
      <sheetData sheetId="1420" refreshError="1"/>
      <sheetData sheetId="1421" refreshError="1"/>
      <sheetData sheetId="1422" refreshError="1"/>
      <sheetData sheetId="1423" refreshError="1"/>
      <sheetData sheetId="1424" refreshError="1"/>
      <sheetData sheetId="1425" refreshError="1"/>
      <sheetData sheetId="1426" refreshError="1"/>
      <sheetData sheetId="1427" refreshError="1"/>
      <sheetData sheetId="1428" refreshError="1"/>
      <sheetData sheetId="1429" refreshError="1"/>
      <sheetData sheetId="1430" refreshError="1"/>
      <sheetData sheetId="1431" refreshError="1"/>
      <sheetData sheetId="1432" refreshError="1"/>
      <sheetData sheetId="1433" refreshError="1"/>
      <sheetData sheetId="1434" refreshError="1"/>
      <sheetData sheetId="1435" refreshError="1"/>
      <sheetData sheetId="1436" refreshError="1"/>
      <sheetData sheetId="1437" refreshError="1"/>
      <sheetData sheetId="1438" refreshError="1"/>
      <sheetData sheetId="1439" refreshError="1"/>
      <sheetData sheetId="1440" refreshError="1"/>
      <sheetData sheetId="1441" refreshError="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ow r="9">
          <cell r="A9" t="str">
            <v>A</v>
          </cell>
        </row>
      </sheetData>
      <sheetData sheetId="1480" refreshError="1"/>
      <sheetData sheetId="1481" refreshError="1"/>
      <sheetData sheetId="1482" refreshError="1"/>
      <sheetData sheetId="1483" refreshError="1"/>
      <sheetData sheetId="1484" refreshError="1"/>
      <sheetData sheetId="1485" refreshError="1"/>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ow r="9">
          <cell r="A9" t="str">
            <v>A</v>
          </cell>
        </row>
      </sheetData>
      <sheetData sheetId="1517">
        <row r="9">
          <cell r="A9" t="str">
            <v>A</v>
          </cell>
        </row>
      </sheetData>
      <sheetData sheetId="1518">
        <row r="9">
          <cell r="A9" t="str">
            <v>A</v>
          </cell>
        </row>
      </sheetData>
      <sheetData sheetId="1519">
        <row r="9">
          <cell r="A9" t="str">
            <v>A</v>
          </cell>
        </row>
      </sheetData>
      <sheetData sheetId="1520">
        <row r="9">
          <cell r="A9" t="str">
            <v>A</v>
          </cell>
        </row>
      </sheetData>
      <sheetData sheetId="1521">
        <row r="9">
          <cell r="A9" t="str">
            <v>A</v>
          </cell>
        </row>
      </sheetData>
      <sheetData sheetId="1522">
        <row r="9">
          <cell r="A9" t="str">
            <v>A</v>
          </cell>
        </row>
      </sheetData>
      <sheetData sheetId="1523">
        <row r="9">
          <cell r="A9" t="str">
            <v>A</v>
          </cell>
        </row>
      </sheetData>
      <sheetData sheetId="1524">
        <row r="9">
          <cell r="A9" t="str">
            <v>A</v>
          </cell>
        </row>
      </sheetData>
      <sheetData sheetId="1525">
        <row r="9">
          <cell r="A9" t="str">
            <v>A</v>
          </cell>
        </row>
      </sheetData>
      <sheetData sheetId="1526">
        <row r="9">
          <cell r="A9" t="str">
            <v>A</v>
          </cell>
        </row>
      </sheetData>
      <sheetData sheetId="1527">
        <row r="9">
          <cell r="A9" t="str">
            <v>A</v>
          </cell>
        </row>
      </sheetData>
      <sheetData sheetId="1528">
        <row r="9">
          <cell r="A9" t="str">
            <v>A</v>
          </cell>
        </row>
      </sheetData>
      <sheetData sheetId="1529">
        <row r="9">
          <cell r="A9" t="str">
            <v>A</v>
          </cell>
        </row>
      </sheetData>
      <sheetData sheetId="1530">
        <row r="9">
          <cell r="A9" t="str">
            <v>A</v>
          </cell>
        </row>
      </sheetData>
      <sheetData sheetId="1531">
        <row r="9">
          <cell r="A9" t="str">
            <v>A</v>
          </cell>
        </row>
      </sheetData>
      <sheetData sheetId="1532">
        <row r="9">
          <cell r="A9" t="str">
            <v>A</v>
          </cell>
        </row>
      </sheetData>
      <sheetData sheetId="1533">
        <row r="9">
          <cell r="A9" t="str">
            <v>A</v>
          </cell>
        </row>
      </sheetData>
      <sheetData sheetId="1534">
        <row r="9">
          <cell r="A9" t="str">
            <v>A</v>
          </cell>
        </row>
      </sheetData>
      <sheetData sheetId="1535">
        <row r="9">
          <cell r="A9" t="str">
            <v>A</v>
          </cell>
        </row>
      </sheetData>
      <sheetData sheetId="1536">
        <row r="9">
          <cell r="A9" t="str">
            <v>A</v>
          </cell>
        </row>
      </sheetData>
      <sheetData sheetId="1537">
        <row r="9">
          <cell r="A9" t="str">
            <v>A</v>
          </cell>
        </row>
      </sheetData>
      <sheetData sheetId="1538">
        <row r="9">
          <cell r="A9" t="str">
            <v>A</v>
          </cell>
        </row>
      </sheetData>
      <sheetData sheetId="1539">
        <row r="9">
          <cell r="A9" t="str">
            <v>A</v>
          </cell>
        </row>
      </sheetData>
      <sheetData sheetId="1540">
        <row r="9">
          <cell r="A9" t="str">
            <v>A</v>
          </cell>
        </row>
      </sheetData>
      <sheetData sheetId="1541">
        <row r="9">
          <cell r="A9" t="str">
            <v>A</v>
          </cell>
        </row>
      </sheetData>
      <sheetData sheetId="1542">
        <row r="9">
          <cell r="A9" t="str">
            <v>A</v>
          </cell>
        </row>
      </sheetData>
      <sheetData sheetId="1543">
        <row r="9">
          <cell r="A9" t="str">
            <v>A</v>
          </cell>
        </row>
      </sheetData>
      <sheetData sheetId="1544">
        <row r="9">
          <cell r="A9" t="str">
            <v>A</v>
          </cell>
        </row>
      </sheetData>
      <sheetData sheetId="1545">
        <row r="9">
          <cell r="A9" t="str">
            <v>A</v>
          </cell>
        </row>
      </sheetData>
      <sheetData sheetId="1546">
        <row r="9">
          <cell r="A9" t="str">
            <v>A</v>
          </cell>
        </row>
      </sheetData>
      <sheetData sheetId="1547">
        <row r="9">
          <cell r="A9" t="str">
            <v>A</v>
          </cell>
        </row>
      </sheetData>
      <sheetData sheetId="1548">
        <row r="9">
          <cell r="A9" t="str">
            <v>A</v>
          </cell>
        </row>
      </sheetData>
      <sheetData sheetId="1549">
        <row r="9">
          <cell r="A9" t="str">
            <v>A</v>
          </cell>
        </row>
      </sheetData>
      <sheetData sheetId="1550">
        <row r="9">
          <cell r="A9" t="str">
            <v>A</v>
          </cell>
        </row>
      </sheetData>
      <sheetData sheetId="1551">
        <row r="9">
          <cell r="A9" t="str">
            <v>A</v>
          </cell>
        </row>
      </sheetData>
      <sheetData sheetId="1552">
        <row r="9">
          <cell r="A9" t="str">
            <v>A</v>
          </cell>
        </row>
      </sheetData>
      <sheetData sheetId="1553">
        <row r="9">
          <cell r="A9" t="str">
            <v>A</v>
          </cell>
        </row>
      </sheetData>
      <sheetData sheetId="1554">
        <row r="9">
          <cell r="A9" t="str">
            <v>A</v>
          </cell>
        </row>
      </sheetData>
      <sheetData sheetId="1555">
        <row r="9">
          <cell r="A9" t="str">
            <v>A</v>
          </cell>
        </row>
      </sheetData>
      <sheetData sheetId="1556">
        <row r="9">
          <cell r="A9" t="str">
            <v>A</v>
          </cell>
        </row>
      </sheetData>
      <sheetData sheetId="1557">
        <row r="9">
          <cell r="A9" t="str">
            <v>A</v>
          </cell>
        </row>
      </sheetData>
      <sheetData sheetId="1558">
        <row r="9">
          <cell r="A9" t="str">
            <v>A</v>
          </cell>
        </row>
      </sheetData>
      <sheetData sheetId="1559">
        <row r="9">
          <cell r="A9" t="str">
            <v>A</v>
          </cell>
        </row>
      </sheetData>
      <sheetData sheetId="1560">
        <row r="9">
          <cell r="A9" t="str">
            <v>A</v>
          </cell>
        </row>
      </sheetData>
      <sheetData sheetId="1561">
        <row r="9">
          <cell r="A9" t="str">
            <v>A</v>
          </cell>
        </row>
      </sheetData>
      <sheetData sheetId="1562">
        <row r="9">
          <cell r="A9" t="str">
            <v>A</v>
          </cell>
        </row>
      </sheetData>
      <sheetData sheetId="1563">
        <row r="9">
          <cell r="A9" t="str">
            <v>A</v>
          </cell>
        </row>
      </sheetData>
      <sheetData sheetId="1564">
        <row r="9">
          <cell r="A9" t="str">
            <v>A</v>
          </cell>
        </row>
      </sheetData>
      <sheetData sheetId="1565">
        <row r="9">
          <cell r="A9" t="str">
            <v>A</v>
          </cell>
        </row>
      </sheetData>
      <sheetData sheetId="1566">
        <row r="9">
          <cell r="A9" t="str">
            <v>A</v>
          </cell>
        </row>
      </sheetData>
      <sheetData sheetId="1567">
        <row r="9">
          <cell r="A9" t="str">
            <v>A</v>
          </cell>
        </row>
      </sheetData>
      <sheetData sheetId="1568">
        <row r="9">
          <cell r="A9" t="str">
            <v>A</v>
          </cell>
        </row>
      </sheetData>
      <sheetData sheetId="1569">
        <row r="9">
          <cell r="A9" t="str">
            <v>A</v>
          </cell>
        </row>
      </sheetData>
      <sheetData sheetId="1570">
        <row r="9">
          <cell r="A9" t="str">
            <v>A</v>
          </cell>
        </row>
      </sheetData>
      <sheetData sheetId="1571">
        <row r="9">
          <cell r="A9" t="str">
            <v>A</v>
          </cell>
        </row>
      </sheetData>
      <sheetData sheetId="1572">
        <row r="9">
          <cell r="A9" t="str">
            <v>A</v>
          </cell>
        </row>
      </sheetData>
      <sheetData sheetId="1573">
        <row r="9">
          <cell r="A9" t="str">
            <v>A</v>
          </cell>
        </row>
      </sheetData>
      <sheetData sheetId="1574">
        <row r="9">
          <cell r="A9" t="str">
            <v>A</v>
          </cell>
        </row>
      </sheetData>
      <sheetData sheetId="1575">
        <row r="9">
          <cell r="A9" t="str">
            <v>A</v>
          </cell>
        </row>
      </sheetData>
      <sheetData sheetId="1576">
        <row r="9">
          <cell r="A9" t="str">
            <v>A</v>
          </cell>
        </row>
      </sheetData>
      <sheetData sheetId="1577">
        <row r="9">
          <cell r="A9" t="str">
            <v>A</v>
          </cell>
        </row>
      </sheetData>
      <sheetData sheetId="1578">
        <row r="9">
          <cell r="A9" t="str">
            <v>A</v>
          </cell>
        </row>
      </sheetData>
      <sheetData sheetId="1579">
        <row r="9">
          <cell r="A9" t="str">
            <v>A</v>
          </cell>
        </row>
      </sheetData>
      <sheetData sheetId="1580">
        <row r="9">
          <cell r="A9" t="str">
            <v>A</v>
          </cell>
        </row>
      </sheetData>
      <sheetData sheetId="1581">
        <row r="9">
          <cell r="A9" t="str">
            <v>A</v>
          </cell>
        </row>
      </sheetData>
      <sheetData sheetId="1582">
        <row r="9">
          <cell r="A9" t="str">
            <v>A</v>
          </cell>
        </row>
      </sheetData>
      <sheetData sheetId="1583">
        <row r="9">
          <cell r="A9" t="str">
            <v>A</v>
          </cell>
        </row>
      </sheetData>
      <sheetData sheetId="1584">
        <row r="9">
          <cell r="A9" t="str">
            <v>A</v>
          </cell>
        </row>
      </sheetData>
      <sheetData sheetId="1585">
        <row r="9">
          <cell r="A9" t="str">
            <v>A</v>
          </cell>
        </row>
      </sheetData>
      <sheetData sheetId="1586">
        <row r="9">
          <cell r="A9" t="str">
            <v>A</v>
          </cell>
        </row>
      </sheetData>
      <sheetData sheetId="1587">
        <row r="9">
          <cell r="A9" t="str">
            <v>A</v>
          </cell>
        </row>
      </sheetData>
      <sheetData sheetId="1588">
        <row r="9">
          <cell r="A9" t="str">
            <v>A</v>
          </cell>
        </row>
      </sheetData>
      <sheetData sheetId="1589">
        <row r="9">
          <cell r="A9" t="str">
            <v>A</v>
          </cell>
        </row>
      </sheetData>
      <sheetData sheetId="1590">
        <row r="9">
          <cell r="A9" t="str">
            <v>A</v>
          </cell>
        </row>
      </sheetData>
      <sheetData sheetId="1591">
        <row r="9">
          <cell r="A9" t="str">
            <v>A</v>
          </cell>
        </row>
      </sheetData>
      <sheetData sheetId="1592">
        <row r="9">
          <cell r="A9" t="str">
            <v>A</v>
          </cell>
        </row>
      </sheetData>
      <sheetData sheetId="1593">
        <row r="9">
          <cell r="A9" t="str">
            <v>A</v>
          </cell>
        </row>
      </sheetData>
      <sheetData sheetId="1594">
        <row r="9">
          <cell r="A9" t="str">
            <v>A</v>
          </cell>
        </row>
      </sheetData>
      <sheetData sheetId="1595">
        <row r="9">
          <cell r="A9" t="str">
            <v>A</v>
          </cell>
        </row>
      </sheetData>
      <sheetData sheetId="1596">
        <row r="9">
          <cell r="A9" t="str">
            <v>A</v>
          </cell>
        </row>
      </sheetData>
      <sheetData sheetId="1597">
        <row r="9">
          <cell r="A9" t="str">
            <v>A</v>
          </cell>
        </row>
      </sheetData>
      <sheetData sheetId="1598">
        <row r="9">
          <cell r="A9" t="str">
            <v>A</v>
          </cell>
        </row>
      </sheetData>
      <sheetData sheetId="1599">
        <row r="9">
          <cell r="A9" t="str">
            <v>A</v>
          </cell>
        </row>
      </sheetData>
      <sheetData sheetId="1600">
        <row r="9">
          <cell r="A9" t="str">
            <v>A</v>
          </cell>
        </row>
      </sheetData>
      <sheetData sheetId="1601">
        <row r="9">
          <cell r="A9" t="str">
            <v>A</v>
          </cell>
        </row>
      </sheetData>
      <sheetData sheetId="1602">
        <row r="9">
          <cell r="A9" t="str">
            <v>A</v>
          </cell>
        </row>
      </sheetData>
      <sheetData sheetId="1603">
        <row r="9">
          <cell r="A9" t="str">
            <v>A</v>
          </cell>
        </row>
      </sheetData>
      <sheetData sheetId="1604">
        <row r="9">
          <cell r="A9" t="str">
            <v>A</v>
          </cell>
        </row>
      </sheetData>
      <sheetData sheetId="1605">
        <row r="9">
          <cell r="A9" t="str">
            <v>A</v>
          </cell>
        </row>
      </sheetData>
      <sheetData sheetId="1606">
        <row r="9">
          <cell r="A9" t="str">
            <v>A</v>
          </cell>
        </row>
      </sheetData>
      <sheetData sheetId="1607">
        <row r="9">
          <cell r="A9" t="str">
            <v>A</v>
          </cell>
        </row>
      </sheetData>
      <sheetData sheetId="1608">
        <row r="9">
          <cell r="A9" t="str">
            <v>A</v>
          </cell>
        </row>
      </sheetData>
      <sheetData sheetId="1609">
        <row r="9">
          <cell r="A9" t="str">
            <v>A</v>
          </cell>
        </row>
      </sheetData>
      <sheetData sheetId="1610">
        <row r="9">
          <cell r="A9" t="str">
            <v>A</v>
          </cell>
        </row>
      </sheetData>
      <sheetData sheetId="1611">
        <row r="9">
          <cell r="A9" t="str">
            <v>A</v>
          </cell>
        </row>
      </sheetData>
      <sheetData sheetId="1612">
        <row r="9">
          <cell r="A9" t="str">
            <v>A</v>
          </cell>
        </row>
      </sheetData>
      <sheetData sheetId="1613">
        <row r="9">
          <cell r="A9" t="str">
            <v>A</v>
          </cell>
        </row>
      </sheetData>
      <sheetData sheetId="1614">
        <row r="9">
          <cell r="A9" t="str">
            <v>A</v>
          </cell>
        </row>
      </sheetData>
      <sheetData sheetId="1615">
        <row r="9">
          <cell r="A9" t="str">
            <v>A</v>
          </cell>
        </row>
      </sheetData>
      <sheetData sheetId="1616">
        <row r="9">
          <cell r="A9" t="str">
            <v>A</v>
          </cell>
        </row>
      </sheetData>
      <sheetData sheetId="1617">
        <row r="9">
          <cell r="A9" t="str">
            <v>A</v>
          </cell>
        </row>
      </sheetData>
      <sheetData sheetId="1618">
        <row r="9">
          <cell r="A9" t="str">
            <v>A</v>
          </cell>
        </row>
      </sheetData>
      <sheetData sheetId="1619">
        <row r="9">
          <cell r="A9" t="str">
            <v>A</v>
          </cell>
        </row>
      </sheetData>
      <sheetData sheetId="1620">
        <row r="9">
          <cell r="A9" t="str">
            <v>A</v>
          </cell>
        </row>
      </sheetData>
      <sheetData sheetId="1621">
        <row r="9">
          <cell r="A9" t="str">
            <v>A</v>
          </cell>
        </row>
      </sheetData>
      <sheetData sheetId="1622">
        <row r="9">
          <cell r="A9" t="str">
            <v>A</v>
          </cell>
        </row>
      </sheetData>
      <sheetData sheetId="1623">
        <row r="9">
          <cell r="A9" t="str">
            <v>A</v>
          </cell>
        </row>
      </sheetData>
      <sheetData sheetId="1624">
        <row r="9">
          <cell r="A9" t="str">
            <v>A</v>
          </cell>
        </row>
      </sheetData>
      <sheetData sheetId="1625">
        <row r="9">
          <cell r="A9" t="str">
            <v>A</v>
          </cell>
        </row>
      </sheetData>
      <sheetData sheetId="1626">
        <row r="9">
          <cell r="A9" t="str">
            <v>A</v>
          </cell>
        </row>
      </sheetData>
      <sheetData sheetId="1627">
        <row r="9">
          <cell r="A9" t="str">
            <v>A</v>
          </cell>
        </row>
      </sheetData>
      <sheetData sheetId="1628">
        <row r="9">
          <cell r="A9" t="str">
            <v>A</v>
          </cell>
        </row>
      </sheetData>
      <sheetData sheetId="1629">
        <row r="9">
          <cell r="A9" t="str">
            <v>A</v>
          </cell>
        </row>
      </sheetData>
      <sheetData sheetId="1630">
        <row r="9">
          <cell r="A9" t="str">
            <v>A</v>
          </cell>
        </row>
      </sheetData>
      <sheetData sheetId="1631">
        <row r="9">
          <cell r="A9" t="str">
            <v>A</v>
          </cell>
        </row>
      </sheetData>
      <sheetData sheetId="1632">
        <row r="9">
          <cell r="A9" t="str">
            <v>A</v>
          </cell>
        </row>
      </sheetData>
      <sheetData sheetId="1633">
        <row r="9">
          <cell r="A9" t="str">
            <v>A</v>
          </cell>
        </row>
      </sheetData>
      <sheetData sheetId="1634">
        <row r="9">
          <cell r="A9" t="str">
            <v>A</v>
          </cell>
        </row>
      </sheetData>
      <sheetData sheetId="1635" refreshError="1"/>
      <sheetData sheetId="1636" refreshError="1"/>
      <sheetData sheetId="1637">
        <row r="9">
          <cell r="A9" t="str">
            <v>A</v>
          </cell>
        </row>
      </sheetData>
      <sheetData sheetId="1638">
        <row r="9">
          <cell r="A9" t="str">
            <v>A</v>
          </cell>
        </row>
      </sheetData>
      <sheetData sheetId="1639">
        <row r="9">
          <cell r="A9" t="str">
            <v>A</v>
          </cell>
        </row>
      </sheetData>
      <sheetData sheetId="1640">
        <row r="9">
          <cell r="A9" t="str">
            <v>A</v>
          </cell>
        </row>
      </sheetData>
      <sheetData sheetId="1641">
        <row r="9">
          <cell r="A9" t="str">
            <v>A</v>
          </cell>
        </row>
      </sheetData>
      <sheetData sheetId="1642">
        <row r="9">
          <cell r="A9" t="str">
            <v>A</v>
          </cell>
        </row>
      </sheetData>
      <sheetData sheetId="1643">
        <row r="9">
          <cell r="A9" t="str">
            <v>A</v>
          </cell>
        </row>
      </sheetData>
      <sheetData sheetId="1644">
        <row r="9">
          <cell r="A9" t="str">
            <v>A</v>
          </cell>
        </row>
      </sheetData>
      <sheetData sheetId="1645">
        <row r="9">
          <cell r="A9" t="str">
            <v>A</v>
          </cell>
        </row>
      </sheetData>
      <sheetData sheetId="1646">
        <row r="9">
          <cell r="A9" t="str">
            <v>A</v>
          </cell>
        </row>
      </sheetData>
      <sheetData sheetId="1647">
        <row r="9">
          <cell r="A9" t="str">
            <v>A</v>
          </cell>
        </row>
      </sheetData>
      <sheetData sheetId="1648">
        <row r="9">
          <cell r="A9" t="str">
            <v>A</v>
          </cell>
        </row>
      </sheetData>
      <sheetData sheetId="1649">
        <row r="9">
          <cell r="A9" t="str">
            <v>A</v>
          </cell>
        </row>
      </sheetData>
      <sheetData sheetId="1650">
        <row r="9">
          <cell r="A9" t="str">
            <v>A</v>
          </cell>
        </row>
      </sheetData>
      <sheetData sheetId="1651">
        <row r="9">
          <cell r="A9" t="str">
            <v>A</v>
          </cell>
        </row>
      </sheetData>
      <sheetData sheetId="1652">
        <row r="9">
          <cell r="A9" t="str">
            <v>A</v>
          </cell>
        </row>
      </sheetData>
      <sheetData sheetId="1653">
        <row r="9">
          <cell r="A9" t="str">
            <v>A</v>
          </cell>
        </row>
      </sheetData>
      <sheetData sheetId="1654">
        <row r="9">
          <cell r="A9" t="str">
            <v>A</v>
          </cell>
        </row>
      </sheetData>
      <sheetData sheetId="1655">
        <row r="9">
          <cell r="A9" t="str">
            <v>A</v>
          </cell>
        </row>
      </sheetData>
      <sheetData sheetId="1656">
        <row r="9">
          <cell r="A9" t="str">
            <v>A</v>
          </cell>
        </row>
      </sheetData>
      <sheetData sheetId="1657">
        <row r="9">
          <cell r="A9" t="str">
            <v>A</v>
          </cell>
        </row>
      </sheetData>
      <sheetData sheetId="1658">
        <row r="9">
          <cell r="A9" t="str">
            <v>A</v>
          </cell>
        </row>
      </sheetData>
      <sheetData sheetId="1659" refreshError="1"/>
      <sheetData sheetId="1660" refreshError="1"/>
      <sheetData sheetId="1661" refreshError="1"/>
      <sheetData sheetId="1662" refreshError="1"/>
      <sheetData sheetId="1663" refreshError="1"/>
      <sheetData sheetId="1664" refreshError="1"/>
      <sheetData sheetId="1665">
        <row r="9">
          <cell r="A9" t="str">
            <v>A</v>
          </cell>
        </row>
      </sheetData>
      <sheetData sheetId="1666">
        <row r="9">
          <cell r="A9" t="str">
            <v>A</v>
          </cell>
        </row>
      </sheetData>
      <sheetData sheetId="1667" refreshError="1"/>
      <sheetData sheetId="1668" refreshError="1"/>
      <sheetData sheetId="1669" refreshError="1"/>
      <sheetData sheetId="1670" refreshError="1"/>
      <sheetData sheetId="1671">
        <row r="9">
          <cell r="A9" t="str">
            <v>A</v>
          </cell>
        </row>
      </sheetData>
      <sheetData sheetId="1672">
        <row r="9">
          <cell r="A9" t="str">
            <v>A</v>
          </cell>
        </row>
      </sheetData>
      <sheetData sheetId="1673">
        <row r="9">
          <cell r="A9" t="str">
            <v>A</v>
          </cell>
        </row>
      </sheetData>
      <sheetData sheetId="1674">
        <row r="9">
          <cell r="A9" t="str">
            <v>A</v>
          </cell>
        </row>
      </sheetData>
      <sheetData sheetId="1675" refreshError="1"/>
      <sheetData sheetId="1676" refreshError="1"/>
      <sheetData sheetId="1677" refreshError="1"/>
      <sheetData sheetId="1678" refreshError="1"/>
      <sheetData sheetId="1679" refreshError="1"/>
      <sheetData sheetId="1680" refreshError="1"/>
      <sheetData sheetId="1681">
        <row r="9">
          <cell r="A9" t="str">
            <v>A</v>
          </cell>
        </row>
      </sheetData>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efreshError="1"/>
      <sheetData sheetId="1699" refreshError="1"/>
      <sheetData sheetId="1700" refreshError="1"/>
      <sheetData sheetId="1701" refreshError="1"/>
      <sheetData sheetId="1702" refreshError="1"/>
      <sheetData sheetId="1703" refreshError="1"/>
      <sheetData sheetId="1704" refreshError="1"/>
      <sheetData sheetId="1705" refreshError="1"/>
      <sheetData sheetId="1706" refreshError="1"/>
      <sheetData sheetId="1707" refreshError="1"/>
      <sheetData sheetId="1708" refreshError="1"/>
      <sheetData sheetId="1709" refreshError="1"/>
      <sheetData sheetId="1710" refreshError="1"/>
      <sheetData sheetId="1711" refreshError="1"/>
      <sheetData sheetId="1712" refreshError="1"/>
      <sheetData sheetId="1713" refreshError="1"/>
      <sheetData sheetId="1714" refreshError="1"/>
      <sheetData sheetId="1715">
        <row r="9">
          <cell r="A9" t="str">
            <v>A</v>
          </cell>
        </row>
      </sheetData>
      <sheetData sheetId="1716" refreshError="1"/>
      <sheetData sheetId="1717"/>
      <sheetData sheetId="1718"/>
      <sheetData sheetId="1719">
        <row r="9">
          <cell r="A9" t="str">
            <v>A</v>
          </cell>
        </row>
      </sheetData>
      <sheetData sheetId="1720">
        <row r="9">
          <cell r="A9" t="str">
            <v>A</v>
          </cell>
        </row>
      </sheetData>
      <sheetData sheetId="1721">
        <row r="9">
          <cell r="A9" t="str">
            <v>A</v>
          </cell>
        </row>
      </sheetData>
      <sheetData sheetId="1722">
        <row r="9">
          <cell r="A9" t="str">
            <v>A</v>
          </cell>
        </row>
      </sheetData>
      <sheetData sheetId="1723">
        <row r="9">
          <cell r="A9" t="str">
            <v>A</v>
          </cell>
        </row>
      </sheetData>
      <sheetData sheetId="1724">
        <row r="9">
          <cell r="A9" t="str">
            <v>A</v>
          </cell>
        </row>
      </sheetData>
      <sheetData sheetId="1725">
        <row r="9">
          <cell r="A9" t="str">
            <v>A</v>
          </cell>
        </row>
      </sheetData>
      <sheetData sheetId="1726">
        <row r="9">
          <cell r="A9" t="str">
            <v>A</v>
          </cell>
        </row>
      </sheetData>
      <sheetData sheetId="1727">
        <row r="9">
          <cell r="A9" t="str">
            <v>A</v>
          </cell>
        </row>
      </sheetData>
      <sheetData sheetId="1728">
        <row r="9">
          <cell r="A9" t="str">
            <v>A</v>
          </cell>
        </row>
      </sheetData>
      <sheetData sheetId="1729">
        <row r="9">
          <cell r="A9" t="str">
            <v>A</v>
          </cell>
        </row>
      </sheetData>
      <sheetData sheetId="1730">
        <row r="9">
          <cell r="A9" t="str">
            <v>A</v>
          </cell>
        </row>
      </sheetData>
      <sheetData sheetId="1731">
        <row r="9">
          <cell r="A9" t="str">
            <v>A</v>
          </cell>
        </row>
      </sheetData>
      <sheetData sheetId="1732">
        <row r="9">
          <cell r="A9" t="str">
            <v>A</v>
          </cell>
        </row>
      </sheetData>
      <sheetData sheetId="1733">
        <row r="9">
          <cell r="A9" t="str">
            <v>A</v>
          </cell>
        </row>
      </sheetData>
      <sheetData sheetId="1734">
        <row r="9">
          <cell r="A9" t="str">
            <v>A</v>
          </cell>
        </row>
      </sheetData>
      <sheetData sheetId="1735">
        <row r="9">
          <cell r="A9" t="str">
            <v>A</v>
          </cell>
        </row>
      </sheetData>
      <sheetData sheetId="1736">
        <row r="9">
          <cell r="A9" t="str">
            <v>A</v>
          </cell>
        </row>
      </sheetData>
      <sheetData sheetId="1737">
        <row r="9">
          <cell r="A9" t="str">
            <v>A</v>
          </cell>
        </row>
      </sheetData>
      <sheetData sheetId="1738">
        <row r="9">
          <cell r="A9" t="str">
            <v>A</v>
          </cell>
        </row>
      </sheetData>
      <sheetData sheetId="1739">
        <row r="9">
          <cell r="A9" t="str">
            <v>A</v>
          </cell>
        </row>
      </sheetData>
      <sheetData sheetId="1740">
        <row r="9">
          <cell r="A9" t="str">
            <v>A</v>
          </cell>
        </row>
      </sheetData>
      <sheetData sheetId="1741">
        <row r="9">
          <cell r="A9" t="str">
            <v>A</v>
          </cell>
        </row>
      </sheetData>
      <sheetData sheetId="1742">
        <row r="9">
          <cell r="A9" t="str">
            <v>A</v>
          </cell>
        </row>
      </sheetData>
      <sheetData sheetId="1743">
        <row r="9">
          <cell r="A9" t="str">
            <v>A</v>
          </cell>
        </row>
      </sheetData>
      <sheetData sheetId="1744">
        <row r="9">
          <cell r="A9" t="str">
            <v>A</v>
          </cell>
        </row>
      </sheetData>
      <sheetData sheetId="1745">
        <row r="9">
          <cell r="A9" t="str">
            <v>A</v>
          </cell>
        </row>
      </sheetData>
      <sheetData sheetId="1746">
        <row r="9">
          <cell r="A9" t="str">
            <v>A</v>
          </cell>
        </row>
      </sheetData>
      <sheetData sheetId="1747">
        <row r="9">
          <cell r="A9" t="str">
            <v>A</v>
          </cell>
        </row>
      </sheetData>
      <sheetData sheetId="1748">
        <row r="9">
          <cell r="A9" t="str">
            <v>A</v>
          </cell>
        </row>
      </sheetData>
      <sheetData sheetId="1749">
        <row r="9">
          <cell r="A9" t="str">
            <v>A</v>
          </cell>
        </row>
      </sheetData>
      <sheetData sheetId="1750">
        <row r="9">
          <cell r="A9" t="str">
            <v>A</v>
          </cell>
        </row>
      </sheetData>
      <sheetData sheetId="1751">
        <row r="9">
          <cell r="A9" t="str">
            <v>A</v>
          </cell>
        </row>
      </sheetData>
      <sheetData sheetId="1752">
        <row r="9">
          <cell r="A9" t="str">
            <v>A</v>
          </cell>
        </row>
      </sheetData>
      <sheetData sheetId="1753">
        <row r="9">
          <cell r="A9" t="str">
            <v>A</v>
          </cell>
        </row>
      </sheetData>
      <sheetData sheetId="1754">
        <row r="9">
          <cell r="A9" t="str">
            <v>A</v>
          </cell>
        </row>
      </sheetData>
      <sheetData sheetId="1755">
        <row r="9">
          <cell r="A9" t="str">
            <v>A</v>
          </cell>
        </row>
      </sheetData>
      <sheetData sheetId="1756">
        <row r="9">
          <cell r="A9" t="str">
            <v>A</v>
          </cell>
        </row>
      </sheetData>
      <sheetData sheetId="1757">
        <row r="9">
          <cell r="A9" t="str">
            <v>A</v>
          </cell>
        </row>
      </sheetData>
      <sheetData sheetId="1758">
        <row r="9">
          <cell r="A9" t="str">
            <v>A</v>
          </cell>
        </row>
      </sheetData>
      <sheetData sheetId="1759">
        <row r="9">
          <cell r="A9" t="str">
            <v>A</v>
          </cell>
        </row>
      </sheetData>
      <sheetData sheetId="1760">
        <row r="9">
          <cell r="A9" t="str">
            <v>A</v>
          </cell>
        </row>
      </sheetData>
      <sheetData sheetId="1761">
        <row r="9">
          <cell r="A9" t="str">
            <v>A</v>
          </cell>
        </row>
      </sheetData>
      <sheetData sheetId="1762">
        <row r="9">
          <cell r="A9" t="str">
            <v>A</v>
          </cell>
        </row>
      </sheetData>
      <sheetData sheetId="1763">
        <row r="9">
          <cell r="A9" t="str">
            <v>A</v>
          </cell>
        </row>
      </sheetData>
      <sheetData sheetId="1764">
        <row r="9">
          <cell r="A9" t="str">
            <v>A</v>
          </cell>
        </row>
      </sheetData>
      <sheetData sheetId="1765">
        <row r="9">
          <cell r="A9" t="str">
            <v>A</v>
          </cell>
        </row>
      </sheetData>
      <sheetData sheetId="1766">
        <row r="9">
          <cell r="A9" t="str">
            <v>A</v>
          </cell>
        </row>
      </sheetData>
      <sheetData sheetId="1767">
        <row r="9">
          <cell r="A9" t="str">
            <v>A</v>
          </cell>
        </row>
      </sheetData>
      <sheetData sheetId="1768">
        <row r="9">
          <cell r="A9" t="str">
            <v>A</v>
          </cell>
        </row>
      </sheetData>
      <sheetData sheetId="1769">
        <row r="9">
          <cell r="A9" t="str">
            <v>A</v>
          </cell>
        </row>
      </sheetData>
      <sheetData sheetId="1770">
        <row r="9">
          <cell r="A9" t="str">
            <v>A</v>
          </cell>
        </row>
      </sheetData>
      <sheetData sheetId="1771">
        <row r="9">
          <cell r="A9" t="str">
            <v>A</v>
          </cell>
        </row>
      </sheetData>
      <sheetData sheetId="1772">
        <row r="9">
          <cell r="A9" t="str">
            <v>A</v>
          </cell>
        </row>
      </sheetData>
      <sheetData sheetId="1773">
        <row r="9">
          <cell r="A9" t="str">
            <v>A</v>
          </cell>
        </row>
      </sheetData>
      <sheetData sheetId="1774">
        <row r="9">
          <cell r="A9" t="str">
            <v>A</v>
          </cell>
        </row>
      </sheetData>
      <sheetData sheetId="1775">
        <row r="9">
          <cell r="A9" t="str">
            <v>A</v>
          </cell>
        </row>
      </sheetData>
      <sheetData sheetId="1776">
        <row r="9">
          <cell r="A9" t="str">
            <v>A</v>
          </cell>
        </row>
      </sheetData>
      <sheetData sheetId="1777">
        <row r="9">
          <cell r="A9" t="str">
            <v>A</v>
          </cell>
        </row>
      </sheetData>
      <sheetData sheetId="1778">
        <row r="9">
          <cell r="A9" t="str">
            <v>A</v>
          </cell>
        </row>
      </sheetData>
      <sheetData sheetId="1779">
        <row r="9">
          <cell r="A9" t="str">
            <v>A</v>
          </cell>
        </row>
      </sheetData>
      <sheetData sheetId="1780">
        <row r="9">
          <cell r="A9" t="str">
            <v>A</v>
          </cell>
        </row>
      </sheetData>
      <sheetData sheetId="1781">
        <row r="9">
          <cell r="A9" t="str">
            <v>A</v>
          </cell>
        </row>
      </sheetData>
      <sheetData sheetId="1782">
        <row r="9">
          <cell r="A9" t="str">
            <v>A</v>
          </cell>
        </row>
      </sheetData>
      <sheetData sheetId="1783">
        <row r="9">
          <cell r="A9" t="str">
            <v>A</v>
          </cell>
        </row>
      </sheetData>
      <sheetData sheetId="1784">
        <row r="9">
          <cell r="A9" t="str">
            <v>A</v>
          </cell>
        </row>
      </sheetData>
      <sheetData sheetId="1785">
        <row r="9">
          <cell r="A9" t="str">
            <v>A</v>
          </cell>
        </row>
      </sheetData>
      <sheetData sheetId="1786">
        <row r="9">
          <cell r="A9" t="str">
            <v>A</v>
          </cell>
        </row>
      </sheetData>
      <sheetData sheetId="1787">
        <row r="9">
          <cell r="A9" t="str">
            <v>A</v>
          </cell>
        </row>
      </sheetData>
      <sheetData sheetId="1788">
        <row r="9">
          <cell r="A9" t="str">
            <v>A</v>
          </cell>
        </row>
      </sheetData>
      <sheetData sheetId="1789">
        <row r="9">
          <cell r="A9" t="str">
            <v>A</v>
          </cell>
        </row>
      </sheetData>
      <sheetData sheetId="1790">
        <row r="9">
          <cell r="A9" t="str">
            <v>A</v>
          </cell>
        </row>
      </sheetData>
      <sheetData sheetId="1791">
        <row r="9">
          <cell r="A9" t="str">
            <v>A</v>
          </cell>
        </row>
      </sheetData>
      <sheetData sheetId="1792">
        <row r="9">
          <cell r="A9" t="str">
            <v>A</v>
          </cell>
        </row>
      </sheetData>
      <sheetData sheetId="1793">
        <row r="9">
          <cell r="A9" t="str">
            <v>A</v>
          </cell>
        </row>
      </sheetData>
      <sheetData sheetId="1794">
        <row r="9">
          <cell r="A9" t="str">
            <v>A</v>
          </cell>
        </row>
      </sheetData>
      <sheetData sheetId="1795">
        <row r="9">
          <cell r="A9" t="str">
            <v>A</v>
          </cell>
        </row>
      </sheetData>
      <sheetData sheetId="1796">
        <row r="9">
          <cell r="A9" t="str">
            <v>A</v>
          </cell>
        </row>
      </sheetData>
      <sheetData sheetId="1797">
        <row r="9">
          <cell r="A9" t="str">
            <v>A</v>
          </cell>
        </row>
      </sheetData>
      <sheetData sheetId="1798">
        <row r="9">
          <cell r="A9" t="str">
            <v>A</v>
          </cell>
        </row>
      </sheetData>
      <sheetData sheetId="1799">
        <row r="9">
          <cell r="A9" t="str">
            <v>A</v>
          </cell>
        </row>
      </sheetData>
      <sheetData sheetId="1800">
        <row r="9">
          <cell r="A9" t="str">
            <v>A</v>
          </cell>
        </row>
      </sheetData>
      <sheetData sheetId="1801">
        <row r="9">
          <cell r="A9" t="str">
            <v>A</v>
          </cell>
        </row>
      </sheetData>
      <sheetData sheetId="1802">
        <row r="9">
          <cell r="A9" t="str">
            <v>A</v>
          </cell>
        </row>
      </sheetData>
      <sheetData sheetId="1803">
        <row r="9">
          <cell r="A9" t="str">
            <v>A</v>
          </cell>
        </row>
      </sheetData>
      <sheetData sheetId="1804">
        <row r="9">
          <cell r="A9" t="str">
            <v>A</v>
          </cell>
        </row>
      </sheetData>
      <sheetData sheetId="1805">
        <row r="9">
          <cell r="A9" t="str">
            <v>A</v>
          </cell>
        </row>
      </sheetData>
      <sheetData sheetId="1806">
        <row r="9">
          <cell r="A9" t="str">
            <v>A</v>
          </cell>
        </row>
      </sheetData>
      <sheetData sheetId="1807">
        <row r="9">
          <cell r="A9" t="str">
            <v>A</v>
          </cell>
        </row>
      </sheetData>
      <sheetData sheetId="1808">
        <row r="9">
          <cell r="A9" t="str">
            <v>A</v>
          </cell>
        </row>
      </sheetData>
      <sheetData sheetId="1809">
        <row r="9">
          <cell r="A9" t="str">
            <v>A</v>
          </cell>
        </row>
      </sheetData>
      <sheetData sheetId="1810">
        <row r="9">
          <cell r="A9" t="str">
            <v>A</v>
          </cell>
        </row>
      </sheetData>
      <sheetData sheetId="1811">
        <row r="9">
          <cell r="A9" t="str">
            <v>A</v>
          </cell>
        </row>
      </sheetData>
      <sheetData sheetId="1812">
        <row r="9">
          <cell r="A9" t="str">
            <v>A</v>
          </cell>
        </row>
      </sheetData>
      <sheetData sheetId="1813">
        <row r="9">
          <cell r="A9" t="str">
            <v>A</v>
          </cell>
        </row>
      </sheetData>
      <sheetData sheetId="1814">
        <row r="9">
          <cell r="A9" t="str">
            <v>A</v>
          </cell>
        </row>
      </sheetData>
      <sheetData sheetId="1815">
        <row r="9">
          <cell r="A9" t="str">
            <v>A</v>
          </cell>
        </row>
      </sheetData>
      <sheetData sheetId="1816">
        <row r="9">
          <cell r="A9" t="str">
            <v>A</v>
          </cell>
        </row>
      </sheetData>
      <sheetData sheetId="1817">
        <row r="9">
          <cell r="A9" t="str">
            <v>A</v>
          </cell>
        </row>
      </sheetData>
      <sheetData sheetId="1818">
        <row r="9">
          <cell r="A9" t="str">
            <v>A</v>
          </cell>
        </row>
      </sheetData>
      <sheetData sheetId="1819">
        <row r="9">
          <cell r="A9" t="str">
            <v>A</v>
          </cell>
        </row>
      </sheetData>
      <sheetData sheetId="1820">
        <row r="9">
          <cell r="A9" t="str">
            <v>A</v>
          </cell>
        </row>
      </sheetData>
      <sheetData sheetId="1821">
        <row r="9">
          <cell r="A9" t="str">
            <v>A</v>
          </cell>
        </row>
      </sheetData>
      <sheetData sheetId="1822">
        <row r="9">
          <cell r="A9" t="str">
            <v>A</v>
          </cell>
        </row>
      </sheetData>
      <sheetData sheetId="1823">
        <row r="9">
          <cell r="A9" t="str">
            <v>A</v>
          </cell>
        </row>
      </sheetData>
      <sheetData sheetId="1824">
        <row r="9">
          <cell r="A9" t="str">
            <v>A</v>
          </cell>
        </row>
      </sheetData>
      <sheetData sheetId="1825">
        <row r="9">
          <cell r="A9" t="str">
            <v>A</v>
          </cell>
        </row>
      </sheetData>
      <sheetData sheetId="1826">
        <row r="9">
          <cell r="A9" t="str">
            <v>A</v>
          </cell>
        </row>
      </sheetData>
      <sheetData sheetId="1827">
        <row r="9">
          <cell r="A9" t="str">
            <v>A</v>
          </cell>
        </row>
      </sheetData>
      <sheetData sheetId="1828">
        <row r="9">
          <cell r="A9" t="str">
            <v>A</v>
          </cell>
        </row>
      </sheetData>
      <sheetData sheetId="1829">
        <row r="9">
          <cell r="A9" t="str">
            <v>A</v>
          </cell>
        </row>
      </sheetData>
      <sheetData sheetId="1830">
        <row r="9">
          <cell r="A9" t="str">
            <v>A</v>
          </cell>
        </row>
      </sheetData>
      <sheetData sheetId="1831">
        <row r="9">
          <cell r="A9" t="str">
            <v>A</v>
          </cell>
        </row>
      </sheetData>
      <sheetData sheetId="1832">
        <row r="9">
          <cell r="A9" t="str">
            <v>A</v>
          </cell>
        </row>
      </sheetData>
      <sheetData sheetId="1833">
        <row r="9">
          <cell r="A9" t="str">
            <v>A</v>
          </cell>
        </row>
      </sheetData>
      <sheetData sheetId="1834">
        <row r="9">
          <cell r="A9" t="str">
            <v>A</v>
          </cell>
        </row>
      </sheetData>
      <sheetData sheetId="1835">
        <row r="9">
          <cell r="A9" t="str">
            <v>A</v>
          </cell>
        </row>
      </sheetData>
      <sheetData sheetId="1836">
        <row r="9">
          <cell r="A9" t="str">
            <v>A</v>
          </cell>
        </row>
      </sheetData>
      <sheetData sheetId="1837">
        <row r="9">
          <cell r="A9" t="str">
            <v>A</v>
          </cell>
        </row>
      </sheetData>
      <sheetData sheetId="1838">
        <row r="9">
          <cell r="A9" t="str">
            <v>A</v>
          </cell>
        </row>
      </sheetData>
      <sheetData sheetId="1839">
        <row r="9">
          <cell r="A9" t="str">
            <v>A</v>
          </cell>
        </row>
      </sheetData>
      <sheetData sheetId="1840">
        <row r="9">
          <cell r="A9" t="str">
            <v>A</v>
          </cell>
        </row>
      </sheetData>
      <sheetData sheetId="1841">
        <row r="9">
          <cell r="A9" t="str">
            <v>A</v>
          </cell>
        </row>
      </sheetData>
      <sheetData sheetId="1842">
        <row r="9">
          <cell r="A9" t="str">
            <v>A</v>
          </cell>
        </row>
      </sheetData>
      <sheetData sheetId="1843">
        <row r="9">
          <cell r="A9" t="str">
            <v>A</v>
          </cell>
        </row>
      </sheetData>
      <sheetData sheetId="1844">
        <row r="9">
          <cell r="A9" t="str">
            <v>A</v>
          </cell>
        </row>
      </sheetData>
      <sheetData sheetId="1845">
        <row r="9">
          <cell r="A9" t="str">
            <v>A</v>
          </cell>
        </row>
      </sheetData>
      <sheetData sheetId="1846">
        <row r="9">
          <cell r="A9" t="str">
            <v>A</v>
          </cell>
        </row>
      </sheetData>
      <sheetData sheetId="1847">
        <row r="9">
          <cell r="A9" t="str">
            <v>A</v>
          </cell>
        </row>
      </sheetData>
      <sheetData sheetId="1848">
        <row r="9">
          <cell r="A9" t="str">
            <v>A</v>
          </cell>
        </row>
      </sheetData>
      <sheetData sheetId="1849">
        <row r="9">
          <cell r="A9" t="str">
            <v>A</v>
          </cell>
        </row>
      </sheetData>
      <sheetData sheetId="1850">
        <row r="9">
          <cell r="A9" t="str">
            <v>A</v>
          </cell>
        </row>
      </sheetData>
      <sheetData sheetId="1851">
        <row r="9">
          <cell r="A9" t="str">
            <v>A</v>
          </cell>
        </row>
      </sheetData>
      <sheetData sheetId="1852">
        <row r="9">
          <cell r="A9" t="str">
            <v>A</v>
          </cell>
        </row>
      </sheetData>
      <sheetData sheetId="1853">
        <row r="9">
          <cell r="A9" t="str">
            <v>A</v>
          </cell>
        </row>
      </sheetData>
      <sheetData sheetId="1854">
        <row r="9">
          <cell r="A9" t="str">
            <v>A</v>
          </cell>
        </row>
      </sheetData>
      <sheetData sheetId="1855">
        <row r="9">
          <cell r="A9" t="str">
            <v>A</v>
          </cell>
        </row>
      </sheetData>
      <sheetData sheetId="1856">
        <row r="9">
          <cell r="A9" t="str">
            <v>A</v>
          </cell>
        </row>
      </sheetData>
      <sheetData sheetId="1857">
        <row r="9">
          <cell r="A9" t="str">
            <v>A</v>
          </cell>
        </row>
      </sheetData>
      <sheetData sheetId="1858">
        <row r="9">
          <cell r="A9" t="str">
            <v>A</v>
          </cell>
        </row>
      </sheetData>
      <sheetData sheetId="1859">
        <row r="9">
          <cell r="A9" t="str">
            <v>A</v>
          </cell>
        </row>
      </sheetData>
      <sheetData sheetId="1860">
        <row r="9">
          <cell r="A9" t="str">
            <v>A</v>
          </cell>
        </row>
      </sheetData>
      <sheetData sheetId="1861">
        <row r="9">
          <cell r="A9" t="str">
            <v>A</v>
          </cell>
        </row>
      </sheetData>
      <sheetData sheetId="1862">
        <row r="9">
          <cell r="A9" t="str">
            <v>A</v>
          </cell>
        </row>
      </sheetData>
      <sheetData sheetId="1863">
        <row r="9">
          <cell r="A9" t="str">
            <v>A</v>
          </cell>
        </row>
      </sheetData>
      <sheetData sheetId="1864">
        <row r="9">
          <cell r="A9" t="str">
            <v>A</v>
          </cell>
        </row>
      </sheetData>
      <sheetData sheetId="1865">
        <row r="9">
          <cell r="A9" t="str">
            <v>A</v>
          </cell>
        </row>
      </sheetData>
      <sheetData sheetId="1866">
        <row r="9">
          <cell r="A9" t="str">
            <v>A</v>
          </cell>
        </row>
      </sheetData>
      <sheetData sheetId="1867">
        <row r="9">
          <cell r="A9" t="str">
            <v>A</v>
          </cell>
        </row>
      </sheetData>
      <sheetData sheetId="1868">
        <row r="9">
          <cell r="A9" t="str">
            <v>A</v>
          </cell>
        </row>
      </sheetData>
      <sheetData sheetId="1869">
        <row r="9">
          <cell r="A9" t="str">
            <v>A</v>
          </cell>
        </row>
      </sheetData>
      <sheetData sheetId="1870">
        <row r="9">
          <cell r="A9" t="str">
            <v>A</v>
          </cell>
        </row>
      </sheetData>
      <sheetData sheetId="1871">
        <row r="9">
          <cell r="A9" t="str">
            <v>A</v>
          </cell>
        </row>
      </sheetData>
      <sheetData sheetId="1872">
        <row r="9">
          <cell r="A9" t="str">
            <v>A</v>
          </cell>
        </row>
      </sheetData>
      <sheetData sheetId="1873">
        <row r="9">
          <cell r="A9" t="str">
            <v>A</v>
          </cell>
        </row>
      </sheetData>
      <sheetData sheetId="1874">
        <row r="9">
          <cell r="A9" t="str">
            <v>A</v>
          </cell>
        </row>
      </sheetData>
      <sheetData sheetId="1875">
        <row r="9">
          <cell r="A9" t="str">
            <v>A</v>
          </cell>
        </row>
      </sheetData>
      <sheetData sheetId="1876">
        <row r="9">
          <cell r="A9" t="str">
            <v>A</v>
          </cell>
        </row>
      </sheetData>
      <sheetData sheetId="1877">
        <row r="9">
          <cell r="A9" t="str">
            <v>A</v>
          </cell>
        </row>
      </sheetData>
      <sheetData sheetId="1878">
        <row r="9">
          <cell r="A9" t="str">
            <v>A</v>
          </cell>
        </row>
      </sheetData>
      <sheetData sheetId="1879">
        <row r="9">
          <cell r="A9" t="str">
            <v>A</v>
          </cell>
        </row>
      </sheetData>
      <sheetData sheetId="1880">
        <row r="9">
          <cell r="A9" t="str">
            <v>A</v>
          </cell>
        </row>
      </sheetData>
      <sheetData sheetId="1881">
        <row r="9">
          <cell r="A9" t="str">
            <v>A</v>
          </cell>
        </row>
      </sheetData>
      <sheetData sheetId="1882">
        <row r="9">
          <cell r="A9" t="str">
            <v>A</v>
          </cell>
        </row>
      </sheetData>
      <sheetData sheetId="1883">
        <row r="9">
          <cell r="A9" t="str">
            <v>A</v>
          </cell>
        </row>
      </sheetData>
      <sheetData sheetId="1884">
        <row r="9">
          <cell r="A9" t="str">
            <v>A</v>
          </cell>
        </row>
      </sheetData>
      <sheetData sheetId="1885">
        <row r="9">
          <cell r="A9" t="str">
            <v>A</v>
          </cell>
        </row>
      </sheetData>
      <sheetData sheetId="1886">
        <row r="9">
          <cell r="A9" t="str">
            <v>A</v>
          </cell>
        </row>
      </sheetData>
      <sheetData sheetId="1887">
        <row r="9">
          <cell r="A9" t="str">
            <v>A</v>
          </cell>
        </row>
      </sheetData>
      <sheetData sheetId="1888">
        <row r="9">
          <cell r="A9" t="str">
            <v>A</v>
          </cell>
        </row>
      </sheetData>
      <sheetData sheetId="1889">
        <row r="9">
          <cell r="A9" t="str">
            <v>A</v>
          </cell>
        </row>
      </sheetData>
      <sheetData sheetId="1890">
        <row r="9">
          <cell r="A9" t="str">
            <v>A</v>
          </cell>
        </row>
      </sheetData>
      <sheetData sheetId="1891">
        <row r="9">
          <cell r="A9" t="str">
            <v>A</v>
          </cell>
        </row>
      </sheetData>
      <sheetData sheetId="1892">
        <row r="9">
          <cell r="A9" t="str">
            <v>A</v>
          </cell>
        </row>
      </sheetData>
      <sheetData sheetId="1893">
        <row r="9">
          <cell r="A9" t="str">
            <v>A</v>
          </cell>
        </row>
      </sheetData>
      <sheetData sheetId="1894">
        <row r="9">
          <cell r="A9" t="str">
            <v>A</v>
          </cell>
        </row>
      </sheetData>
      <sheetData sheetId="1895">
        <row r="9">
          <cell r="A9" t="str">
            <v>A</v>
          </cell>
        </row>
      </sheetData>
      <sheetData sheetId="1896">
        <row r="9">
          <cell r="A9" t="str">
            <v>A</v>
          </cell>
        </row>
      </sheetData>
      <sheetData sheetId="1897">
        <row r="9">
          <cell r="A9" t="str">
            <v>A</v>
          </cell>
        </row>
      </sheetData>
      <sheetData sheetId="1898">
        <row r="9">
          <cell r="A9" t="str">
            <v>A</v>
          </cell>
        </row>
      </sheetData>
      <sheetData sheetId="1899">
        <row r="9">
          <cell r="A9" t="str">
            <v>A</v>
          </cell>
        </row>
      </sheetData>
      <sheetData sheetId="1900">
        <row r="9">
          <cell r="A9" t="str">
            <v>A</v>
          </cell>
        </row>
      </sheetData>
      <sheetData sheetId="1901">
        <row r="9">
          <cell r="A9" t="str">
            <v>A</v>
          </cell>
        </row>
      </sheetData>
      <sheetData sheetId="1902">
        <row r="9">
          <cell r="A9" t="str">
            <v>A</v>
          </cell>
        </row>
      </sheetData>
      <sheetData sheetId="1903">
        <row r="9">
          <cell r="A9" t="str">
            <v>A</v>
          </cell>
        </row>
      </sheetData>
      <sheetData sheetId="1904">
        <row r="9">
          <cell r="A9" t="str">
            <v>A</v>
          </cell>
        </row>
      </sheetData>
      <sheetData sheetId="1905">
        <row r="9">
          <cell r="A9" t="str">
            <v>A</v>
          </cell>
        </row>
      </sheetData>
      <sheetData sheetId="1906">
        <row r="9">
          <cell r="A9" t="str">
            <v>A</v>
          </cell>
        </row>
      </sheetData>
      <sheetData sheetId="1907">
        <row r="9">
          <cell r="A9" t="str">
            <v>A</v>
          </cell>
        </row>
      </sheetData>
      <sheetData sheetId="1908">
        <row r="9">
          <cell r="A9" t="str">
            <v>A</v>
          </cell>
        </row>
      </sheetData>
      <sheetData sheetId="1909">
        <row r="9">
          <cell r="A9" t="str">
            <v>A</v>
          </cell>
        </row>
      </sheetData>
      <sheetData sheetId="1910">
        <row r="9">
          <cell r="A9" t="str">
            <v>A</v>
          </cell>
        </row>
      </sheetData>
      <sheetData sheetId="1911">
        <row r="9">
          <cell r="A9" t="str">
            <v>A</v>
          </cell>
        </row>
      </sheetData>
      <sheetData sheetId="1912">
        <row r="9">
          <cell r="A9" t="str">
            <v>A</v>
          </cell>
        </row>
      </sheetData>
      <sheetData sheetId="1913">
        <row r="9">
          <cell r="A9" t="str">
            <v>A</v>
          </cell>
        </row>
      </sheetData>
      <sheetData sheetId="1914">
        <row r="9">
          <cell r="A9" t="str">
            <v>A</v>
          </cell>
        </row>
      </sheetData>
      <sheetData sheetId="1915">
        <row r="9">
          <cell r="A9" t="str">
            <v>A</v>
          </cell>
        </row>
      </sheetData>
      <sheetData sheetId="1916">
        <row r="9">
          <cell r="A9" t="str">
            <v>A</v>
          </cell>
        </row>
      </sheetData>
      <sheetData sheetId="1917">
        <row r="9">
          <cell r="A9" t="str">
            <v>A</v>
          </cell>
        </row>
      </sheetData>
      <sheetData sheetId="1918">
        <row r="9">
          <cell r="A9" t="str">
            <v>A</v>
          </cell>
        </row>
      </sheetData>
      <sheetData sheetId="1919">
        <row r="9">
          <cell r="A9" t="str">
            <v>A</v>
          </cell>
        </row>
      </sheetData>
      <sheetData sheetId="1920">
        <row r="9">
          <cell r="A9" t="str">
            <v>A</v>
          </cell>
        </row>
      </sheetData>
      <sheetData sheetId="1921">
        <row r="9">
          <cell r="A9" t="str">
            <v>A</v>
          </cell>
        </row>
      </sheetData>
      <sheetData sheetId="1922">
        <row r="9">
          <cell r="A9" t="str">
            <v>A</v>
          </cell>
        </row>
      </sheetData>
      <sheetData sheetId="1923">
        <row r="9">
          <cell r="A9" t="str">
            <v>A</v>
          </cell>
        </row>
      </sheetData>
      <sheetData sheetId="1924">
        <row r="9">
          <cell r="A9" t="str">
            <v>A</v>
          </cell>
        </row>
      </sheetData>
      <sheetData sheetId="1925">
        <row r="9">
          <cell r="A9" t="str">
            <v>A</v>
          </cell>
        </row>
      </sheetData>
      <sheetData sheetId="1926">
        <row r="9">
          <cell r="A9" t="str">
            <v>A</v>
          </cell>
        </row>
      </sheetData>
      <sheetData sheetId="1927">
        <row r="9">
          <cell r="A9" t="str">
            <v>A</v>
          </cell>
        </row>
      </sheetData>
      <sheetData sheetId="1928">
        <row r="9">
          <cell r="A9" t="str">
            <v>A</v>
          </cell>
        </row>
      </sheetData>
      <sheetData sheetId="1929">
        <row r="9">
          <cell r="A9" t="str">
            <v>A</v>
          </cell>
        </row>
      </sheetData>
      <sheetData sheetId="1930">
        <row r="9">
          <cell r="A9" t="str">
            <v>A</v>
          </cell>
        </row>
      </sheetData>
      <sheetData sheetId="1931">
        <row r="9">
          <cell r="A9" t="str">
            <v>A</v>
          </cell>
        </row>
      </sheetData>
      <sheetData sheetId="1932">
        <row r="9">
          <cell r="A9" t="str">
            <v>A</v>
          </cell>
        </row>
      </sheetData>
      <sheetData sheetId="1933">
        <row r="9">
          <cell r="A9" t="str">
            <v>A</v>
          </cell>
        </row>
      </sheetData>
      <sheetData sheetId="1934">
        <row r="9">
          <cell r="A9" t="str">
            <v>A</v>
          </cell>
        </row>
      </sheetData>
      <sheetData sheetId="1935">
        <row r="9">
          <cell r="A9" t="str">
            <v>A</v>
          </cell>
        </row>
      </sheetData>
      <sheetData sheetId="1936">
        <row r="9">
          <cell r="A9" t="str">
            <v>A</v>
          </cell>
        </row>
      </sheetData>
      <sheetData sheetId="1937">
        <row r="9">
          <cell r="A9" t="str">
            <v>A</v>
          </cell>
        </row>
      </sheetData>
      <sheetData sheetId="1938">
        <row r="9">
          <cell r="A9" t="str">
            <v>A</v>
          </cell>
        </row>
      </sheetData>
      <sheetData sheetId="1939">
        <row r="9">
          <cell r="A9" t="str">
            <v>A</v>
          </cell>
        </row>
      </sheetData>
      <sheetData sheetId="1940">
        <row r="9">
          <cell r="A9" t="str">
            <v>A</v>
          </cell>
        </row>
      </sheetData>
      <sheetData sheetId="1941">
        <row r="9">
          <cell r="A9" t="str">
            <v>A</v>
          </cell>
        </row>
      </sheetData>
      <sheetData sheetId="1942">
        <row r="9">
          <cell r="A9" t="str">
            <v>A</v>
          </cell>
        </row>
      </sheetData>
      <sheetData sheetId="1943">
        <row r="9">
          <cell r="A9" t="str">
            <v>A</v>
          </cell>
        </row>
      </sheetData>
      <sheetData sheetId="1944">
        <row r="9">
          <cell r="A9" t="str">
            <v>A</v>
          </cell>
        </row>
      </sheetData>
      <sheetData sheetId="1945">
        <row r="9">
          <cell r="A9" t="str">
            <v>A</v>
          </cell>
        </row>
      </sheetData>
      <sheetData sheetId="1946">
        <row r="9">
          <cell r="A9" t="str">
            <v>A</v>
          </cell>
        </row>
      </sheetData>
      <sheetData sheetId="1947">
        <row r="9">
          <cell r="A9" t="str">
            <v>A</v>
          </cell>
        </row>
      </sheetData>
      <sheetData sheetId="1948">
        <row r="9">
          <cell r="A9" t="str">
            <v>A</v>
          </cell>
        </row>
      </sheetData>
      <sheetData sheetId="1949">
        <row r="9">
          <cell r="A9" t="str">
            <v>A</v>
          </cell>
        </row>
      </sheetData>
      <sheetData sheetId="1950">
        <row r="9">
          <cell r="A9" t="str">
            <v>A</v>
          </cell>
        </row>
      </sheetData>
      <sheetData sheetId="1951">
        <row r="9">
          <cell r="A9" t="str">
            <v>A</v>
          </cell>
        </row>
      </sheetData>
      <sheetData sheetId="1952">
        <row r="9">
          <cell r="A9" t="str">
            <v>A</v>
          </cell>
        </row>
      </sheetData>
      <sheetData sheetId="1953">
        <row r="9">
          <cell r="A9" t="str">
            <v>A</v>
          </cell>
        </row>
      </sheetData>
      <sheetData sheetId="1954">
        <row r="9">
          <cell r="A9" t="str">
            <v>A</v>
          </cell>
        </row>
      </sheetData>
      <sheetData sheetId="1955">
        <row r="9">
          <cell r="A9" t="str">
            <v>A</v>
          </cell>
        </row>
      </sheetData>
      <sheetData sheetId="1956">
        <row r="9">
          <cell r="A9" t="str">
            <v>A</v>
          </cell>
        </row>
      </sheetData>
      <sheetData sheetId="1957">
        <row r="9">
          <cell r="A9" t="str">
            <v>A</v>
          </cell>
        </row>
      </sheetData>
      <sheetData sheetId="1958">
        <row r="9">
          <cell r="A9" t="str">
            <v>A</v>
          </cell>
        </row>
      </sheetData>
      <sheetData sheetId="1959">
        <row r="9">
          <cell r="A9" t="str">
            <v>A</v>
          </cell>
        </row>
      </sheetData>
      <sheetData sheetId="1960">
        <row r="9">
          <cell r="A9" t="str">
            <v>A</v>
          </cell>
        </row>
      </sheetData>
      <sheetData sheetId="1961">
        <row r="9">
          <cell r="A9" t="str">
            <v>A</v>
          </cell>
        </row>
      </sheetData>
      <sheetData sheetId="1962">
        <row r="9">
          <cell r="A9" t="str">
            <v>A</v>
          </cell>
        </row>
      </sheetData>
      <sheetData sheetId="1963">
        <row r="9">
          <cell r="A9" t="str">
            <v>A</v>
          </cell>
        </row>
      </sheetData>
      <sheetData sheetId="1964">
        <row r="9">
          <cell r="A9" t="str">
            <v>A</v>
          </cell>
        </row>
      </sheetData>
      <sheetData sheetId="1965">
        <row r="9">
          <cell r="A9" t="str">
            <v>A</v>
          </cell>
        </row>
      </sheetData>
      <sheetData sheetId="1966">
        <row r="9">
          <cell r="A9" t="str">
            <v>A</v>
          </cell>
        </row>
      </sheetData>
      <sheetData sheetId="1967">
        <row r="9">
          <cell r="A9" t="str">
            <v>A</v>
          </cell>
        </row>
      </sheetData>
      <sheetData sheetId="1968">
        <row r="9">
          <cell r="A9" t="str">
            <v>A</v>
          </cell>
        </row>
      </sheetData>
      <sheetData sheetId="1969">
        <row r="9">
          <cell r="A9" t="str">
            <v>A</v>
          </cell>
        </row>
      </sheetData>
      <sheetData sheetId="1970">
        <row r="9">
          <cell r="A9" t="str">
            <v>A</v>
          </cell>
        </row>
      </sheetData>
      <sheetData sheetId="1971">
        <row r="9">
          <cell r="A9" t="str">
            <v>A</v>
          </cell>
        </row>
      </sheetData>
      <sheetData sheetId="1972">
        <row r="9">
          <cell r="A9" t="str">
            <v>A</v>
          </cell>
        </row>
      </sheetData>
      <sheetData sheetId="1973">
        <row r="9">
          <cell r="A9" t="str">
            <v>A</v>
          </cell>
        </row>
      </sheetData>
      <sheetData sheetId="1974">
        <row r="9">
          <cell r="A9" t="str">
            <v>A</v>
          </cell>
        </row>
      </sheetData>
      <sheetData sheetId="1975">
        <row r="9">
          <cell r="A9" t="str">
            <v>A</v>
          </cell>
        </row>
      </sheetData>
      <sheetData sheetId="1976">
        <row r="9">
          <cell r="A9" t="str">
            <v>A</v>
          </cell>
        </row>
      </sheetData>
      <sheetData sheetId="1977">
        <row r="9">
          <cell r="A9" t="str">
            <v>A</v>
          </cell>
        </row>
      </sheetData>
      <sheetData sheetId="1978">
        <row r="9">
          <cell r="A9" t="str">
            <v>A</v>
          </cell>
        </row>
      </sheetData>
      <sheetData sheetId="1979">
        <row r="9">
          <cell r="A9" t="str">
            <v>A</v>
          </cell>
        </row>
      </sheetData>
      <sheetData sheetId="1980">
        <row r="9">
          <cell r="A9" t="str">
            <v>A</v>
          </cell>
        </row>
      </sheetData>
      <sheetData sheetId="1981">
        <row r="9">
          <cell r="A9" t="str">
            <v>A</v>
          </cell>
        </row>
      </sheetData>
      <sheetData sheetId="1982">
        <row r="9">
          <cell r="A9" t="str">
            <v>A</v>
          </cell>
        </row>
      </sheetData>
      <sheetData sheetId="1983">
        <row r="9">
          <cell r="A9" t="str">
            <v>A</v>
          </cell>
        </row>
      </sheetData>
      <sheetData sheetId="1984">
        <row r="9">
          <cell r="A9" t="str">
            <v>A</v>
          </cell>
        </row>
      </sheetData>
      <sheetData sheetId="1985">
        <row r="9">
          <cell r="A9" t="str">
            <v>A</v>
          </cell>
        </row>
      </sheetData>
      <sheetData sheetId="1986">
        <row r="9">
          <cell r="A9" t="str">
            <v>A</v>
          </cell>
        </row>
      </sheetData>
      <sheetData sheetId="1987">
        <row r="9">
          <cell r="A9" t="str">
            <v>A</v>
          </cell>
        </row>
      </sheetData>
      <sheetData sheetId="1988">
        <row r="9">
          <cell r="A9" t="str">
            <v>A</v>
          </cell>
        </row>
      </sheetData>
      <sheetData sheetId="1989">
        <row r="9">
          <cell r="A9" t="str">
            <v>A</v>
          </cell>
        </row>
      </sheetData>
      <sheetData sheetId="1990">
        <row r="9">
          <cell r="A9" t="str">
            <v>A</v>
          </cell>
        </row>
      </sheetData>
      <sheetData sheetId="1991">
        <row r="9">
          <cell r="A9" t="str">
            <v>A</v>
          </cell>
        </row>
      </sheetData>
      <sheetData sheetId="1992">
        <row r="9">
          <cell r="A9" t="str">
            <v>A</v>
          </cell>
        </row>
      </sheetData>
      <sheetData sheetId="1993">
        <row r="9">
          <cell r="A9" t="str">
            <v>A</v>
          </cell>
        </row>
      </sheetData>
      <sheetData sheetId="1994">
        <row r="9">
          <cell r="A9" t="str">
            <v>A</v>
          </cell>
        </row>
      </sheetData>
      <sheetData sheetId="1995">
        <row r="9">
          <cell r="A9" t="str">
            <v>A</v>
          </cell>
        </row>
      </sheetData>
      <sheetData sheetId="1996">
        <row r="9">
          <cell r="A9" t="str">
            <v>A</v>
          </cell>
        </row>
      </sheetData>
      <sheetData sheetId="1997">
        <row r="9">
          <cell r="A9" t="str">
            <v>A</v>
          </cell>
        </row>
      </sheetData>
      <sheetData sheetId="1998">
        <row r="9">
          <cell r="A9" t="str">
            <v>A</v>
          </cell>
        </row>
      </sheetData>
      <sheetData sheetId="1999">
        <row r="9">
          <cell r="A9" t="str">
            <v>A</v>
          </cell>
        </row>
      </sheetData>
      <sheetData sheetId="2000">
        <row r="9">
          <cell r="A9" t="str">
            <v>A</v>
          </cell>
        </row>
      </sheetData>
      <sheetData sheetId="2001">
        <row r="9">
          <cell r="A9" t="str">
            <v>A</v>
          </cell>
        </row>
      </sheetData>
      <sheetData sheetId="2002">
        <row r="9">
          <cell r="A9" t="str">
            <v>A</v>
          </cell>
        </row>
      </sheetData>
      <sheetData sheetId="2003">
        <row r="9">
          <cell r="A9" t="str">
            <v>A</v>
          </cell>
        </row>
      </sheetData>
      <sheetData sheetId="2004">
        <row r="9">
          <cell r="A9" t="str">
            <v>A</v>
          </cell>
        </row>
      </sheetData>
      <sheetData sheetId="2005">
        <row r="9">
          <cell r="A9" t="str">
            <v>A</v>
          </cell>
        </row>
      </sheetData>
      <sheetData sheetId="2006">
        <row r="9">
          <cell r="A9" t="str">
            <v>A</v>
          </cell>
        </row>
      </sheetData>
      <sheetData sheetId="2007">
        <row r="9">
          <cell r="A9" t="str">
            <v>A</v>
          </cell>
        </row>
      </sheetData>
      <sheetData sheetId="2008">
        <row r="9">
          <cell r="A9" t="str">
            <v>A</v>
          </cell>
        </row>
      </sheetData>
      <sheetData sheetId="2009">
        <row r="9">
          <cell r="A9" t="str">
            <v>A</v>
          </cell>
        </row>
      </sheetData>
      <sheetData sheetId="2010">
        <row r="9">
          <cell r="A9" t="str">
            <v>A</v>
          </cell>
        </row>
      </sheetData>
      <sheetData sheetId="2011">
        <row r="9">
          <cell r="A9" t="str">
            <v>A</v>
          </cell>
        </row>
      </sheetData>
      <sheetData sheetId="2012">
        <row r="9">
          <cell r="A9" t="str">
            <v>A</v>
          </cell>
        </row>
      </sheetData>
      <sheetData sheetId="2013">
        <row r="9">
          <cell r="A9" t="str">
            <v>A</v>
          </cell>
        </row>
      </sheetData>
      <sheetData sheetId="2014">
        <row r="9">
          <cell r="A9" t="str">
            <v>A</v>
          </cell>
        </row>
      </sheetData>
      <sheetData sheetId="2015">
        <row r="9">
          <cell r="A9" t="str">
            <v>A</v>
          </cell>
        </row>
      </sheetData>
      <sheetData sheetId="2016">
        <row r="9">
          <cell r="A9" t="str">
            <v>A</v>
          </cell>
        </row>
      </sheetData>
      <sheetData sheetId="2017">
        <row r="9">
          <cell r="A9" t="str">
            <v>A</v>
          </cell>
        </row>
      </sheetData>
      <sheetData sheetId="2018">
        <row r="9">
          <cell r="A9" t="str">
            <v>A</v>
          </cell>
        </row>
      </sheetData>
      <sheetData sheetId="2019">
        <row r="9">
          <cell r="A9" t="str">
            <v>A</v>
          </cell>
        </row>
      </sheetData>
      <sheetData sheetId="2020">
        <row r="9">
          <cell r="A9" t="str">
            <v>A</v>
          </cell>
        </row>
      </sheetData>
      <sheetData sheetId="2021">
        <row r="9">
          <cell r="A9" t="str">
            <v>A</v>
          </cell>
        </row>
      </sheetData>
      <sheetData sheetId="2022">
        <row r="9">
          <cell r="A9" t="str">
            <v>A</v>
          </cell>
        </row>
      </sheetData>
      <sheetData sheetId="2023">
        <row r="9">
          <cell r="A9" t="str">
            <v>A</v>
          </cell>
        </row>
      </sheetData>
      <sheetData sheetId="2024">
        <row r="9">
          <cell r="A9" t="str">
            <v>A</v>
          </cell>
        </row>
      </sheetData>
      <sheetData sheetId="2025">
        <row r="9">
          <cell r="A9" t="str">
            <v>A</v>
          </cell>
        </row>
      </sheetData>
      <sheetData sheetId="2026">
        <row r="9">
          <cell r="A9" t="str">
            <v>A</v>
          </cell>
        </row>
      </sheetData>
      <sheetData sheetId="2027">
        <row r="9">
          <cell r="A9" t="str">
            <v>A</v>
          </cell>
        </row>
      </sheetData>
      <sheetData sheetId="2028">
        <row r="9">
          <cell r="A9" t="str">
            <v>A</v>
          </cell>
        </row>
      </sheetData>
      <sheetData sheetId="2029">
        <row r="9">
          <cell r="A9" t="str">
            <v>A</v>
          </cell>
        </row>
      </sheetData>
      <sheetData sheetId="2030">
        <row r="9">
          <cell r="A9" t="str">
            <v>A</v>
          </cell>
        </row>
      </sheetData>
      <sheetData sheetId="2031">
        <row r="9">
          <cell r="A9" t="str">
            <v>A</v>
          </cell>
        </row>
      </sheetData>
      <sheetData sheetId="2032">
        <row r="9">
          <cell r="A9" t="str">
            <v>A</v>
          </cell>
        </row>
      </sheetData>
      <sheetData sheetId="2033" refreshError="1"/>
      <sheetData sheetId="2034" refreshError="1"/>
      <sheetData sheetId="2035" refreshError="1"/>
      <sheetData sheetId="2036" refreshError="1"/>
      <sheetData sheetId="2037" refreshError="1"/>
      <sheetData sheetId="2038" refreshError="1"/>
      <sheetData sheetId="2039" refreshError="1"/>
      <sheetData sheetId="2040" refreshError="1"/>
      <sheetData sheetId="2041" refreshError="1"/>
      <sheetData sheetId="2042" refreshError="1"/>
      <sheetData sheetId="2043" refreshError="1"/>
      <sheetData sheetId="2044" refreshError="1"/>
      <sheetData sheetId="2045" refreshError="1"/>
      <sheetData sheetId="2046" refreshError="1"/>
      <sheetData sheetId="2047" refreshError="1"/>
      <sheetData sheetId="2048" refreshError="1"/>
      <sheetData sheetId="2049" refreshError="1"/>
      <sheetData sheetId="2050" refreshError="1"/>
      <sheetData sheetId="2051" refreshError="1"/>
      <sheetData sheetId="2052" refreshError="1"/>
      <sheetData sheetId="2053" refreshError="1"/>
      <sheetData sheetId="2054">
        <row r="9">
          <cell r="A9" t="str">
            <v>A</v>
          </cell>
        </row>
      </sheetData>
      <sheetData sheetId="2055"/>
      <sheetData sheetId="2056">
        <row r="9">
          <cell r="A9" t="str">
            <v>A</v>
          </cell>
        </row>
      </sheetData>
      <sheetData sheetId="2057"/>
      <sheetData sheetId="2058"/>
      <sheetData sheetId="2059"/>
      <sheetData sheetId="2060"/>
      <sheetData sheetId="2061"/>
      <sheetData sheetId="2062" refreshError="1"/>
      <sheetData sheetId="2063" refreshError="1"/>
      <sheetData sheetId="2064" refreshError="1"/>
      <sheetData sheetId="2065" refreshError="1"/>
      <sheetData sheetId="2066" refreshError="1"/>
      <sheetData sheetId="2067" refreshError="1"/>
      <sheetData sheetId="2068" refreshError="1"/>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refreshError="1"/>
      <sheetData sheetId="2080" refreshError="1"/>
      <sheetData sheetId="2081" refreshError="1"/>
      <sheetData sheetId="2082" refreshError="1"/>
      <sheetData sheetId="2083" refreshError="1"/>
      <sheetData sheetId="2084" refreshError="1"/>
      <sheetData sheetId="2085" refreshError="1"/>
      <sheetData sheetId="2086" refreshError="1"/>
      <sheetData sheetId="2087" refreshError="1"/>
      <sheetData sheetId="2088" refreshError="1"/>
      <sheetData sheetId="2089" refreshError="1"/>
      <sheetData sheetId="2090" refreshError="1"/>
      <sheetData sheetId="2091"/>
      <sheetData sheetId="2092" refreshError="1"/>
      <sheetData sheetId="2093"/>
      <sheetData sheetId="2094"/>
      <sheetData sheetId="2095"/>
      <sheetData sheetId="2096" refreshError="1"/>
      <sheetData sheetId="2097" refreshError="1"/>
      <sheetData sheetId="2098" refreshError="1"/>
      <sheetData sheetId="2099" refreshError="1"/>
      <sheetData sheetId="2100" refreshError="1"/>
      <sheetData sheetId="2101" refreshError="1"/>
      <sheetData sheetId="2102" refreshError="1"/>
      <sheetData sheetId="2103"/>
      <sheetData sheetId="2104" refreshError="1"/>
      <sheetData sheetId="2105" refreshError="1"/>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sheetData sheetId="2117"/>
      <sheetData sheetId="2118"/>
      <sheetData sheetId="2119"/>
      <sheetData sheetId="2120"/>
      <sheetData sheetId="2121"/>
      <sheetData sheetId="2122"/>
      <sheetData sheetId="2123"/>
      <sheetData sheetId="2124"/>
      <sheetData sheetId="2125"/>
      <sheetData sheetId="2126"/>
      <sheetData sheetId="2127"/>
      <sheetData sheetId="2128"/>
      <sheetData sheetId="2129"/>
      <sheetData sheetId="2130"/>
      <sheetData sheetId="2131"/>
      <sheetData sheetId="2132"/>
      <sheetData sheetId="2133"/>
      <sheetData sheetId="2134"/>
      <sheetData sheetId="2135"/>
      <sheetData sheetId="2136"/>
      <sheetData sheetId="2137"/>
      <sheetData sheetId="2138"/>
      <sheetData sheetId="2139"/>
      <sheetData sheetId="2140"/>
      <sheetData sheetId="2141"/>
      <sheetData sheetId="2142"/>
      <sheetData sheetId="2143"/>
      <sheetData sheetId="2144"/>
      <sheetData sheetId="2145"/>
      <sheetData sheetId="2146"/>
      <sheetData sheetId="2147"/>
      <sheetData sheetId="2148"/>
      <sheetData sheetId="2149"/>
      <sheetData sheetId="2150"/>
      <sheetData sheetId="2151"/>
      <sheetData sheetId="2152"/>
      <sheetData sheetId="2153"/>
      <sheetData sheetId="2154"/>
      <sheetData sheetId="2155"/>
      <sheetData sheetId="2156"/>
      <sheetData sheetId="2157"/>
      <sheetData sheetId="2158"/>
      <sheetData sheetId="2159"/>
      <sheetData sheetId="2160"/>
      <sheetData sheetId="2161"/>
      <sheetData sheetId="2162"/>
      <sheetData sheetId="2163"/>
      <sheetData sheetId="2164"/>
      <sheetData sheetId="2165"/>
      <sheetData sheetId="2166"/>
      <sheetData sheetId="2167"/>
      <sheetData sheetId="2168"/>
      <sheetData sheetId="2169"/>
      <sheetData sheetId="2170"/>
      <sheetData sheetId="2171"/>
      <sheetData sheetId="2172"/>
      <sheetData sheetId="2173"/>
      <sheetData sheetId="2174"/>
      <sheetData sheetId="2175"/>
      <sheetData sheetId="2176">
        <row r="9">
          <cell r="A9" t="str">
            <v>A</v>
          </cell>
        </row>
      </sheetData>
      <sheetData sheetId="2177"/>
      <sheetData sheetId="2178"/>
      <sheetData sheetId="2179"/>
      <sheetData sheetId="2180"/>
      <sheetData sheetId="2181"/>
      <sheetData sheetId="2182"/>
      <sheetData sheetId="2183"/>
      <sheetData sheetId="2184"/>
      <sheetData sheetId="2185"/>
      <sheetData sheetId="2186"/>
      <sheetData sheetId="2187">
        <row r="9">
          <cell r="A9" t="str">
            <v>A</v>
          </cell>
        </row>
      </sheetData>
      <sheetData sheetId="2188">
        <row r="9">
          <cell r="A9" t="str">
            <v>A</v>
          </cell>
        </row>
      </sheetData>
      <sheetData sheetId="2189"/>
      <sheetData sheetId="2190"/>
      <sheetData sheetId="2191"/>
      <sheetData sheetId="2192"/>
      <sheetData sheetId="2193"/>
      <sheetData sheetId="2194"/>
      <sheetData sheetId="2195"/>
      <sheetData sheetId="2196"/>
      <sheetData sheetId="2197"/>
      <sheetData sheetId="2198"/>
      <sheetData sheetId="2199">
        <row r="9">
          <cell r="A9" t="str">
            <v>A</v>
          </cell>
        </row>
      </sheetData>
      <sheetData sheetId="2200">
        <row r="9">
          <cell r="A9" t="str">
            <v>A</v>
          </cell>
        </row>
      </sheetData>
      <sheetData sheetId="2201"/>
      <sheetData sheetId="2202"/>
      <sheetData sheetId="2203"/>
      <sheetData sheetId="2204">
        <row r="9">
          <cell r="A9" t="str">
            <v>A</v>
          </cell>
        </row>
      </sheetData>
      <sheetData sheetId="2205"/>
      <sheetData sheetId="2206"/>
      <sheetData sheetId="2207"/>
      <sheetData sheetId="2208"/>
      <sheetData sheetId="2209"/>
      <sheetData sheetId="2210"/>
      <sheetData sheetId="2211">
        <row r="9">
          <cell r="A9" t="str">
            <v>A</v>
          </cell>
        </row>
      </sheetData>
      <sheetData sheetId="2212">
        <row r="9">
          <cell r="A9" t="str">
            <v>A</v>
          </cell>
        </row>
      </sheetData>
      <sheetData sheetId="2213"/>
      <sheetData sheetId="2214"/>
      <sheetData sheetId="2215">
        <row r="9">
          <cell r="A9" t="str">
            <v>A</v>
          </cell>
        </row>
      </sheetData>
      <sheetData sheetId="2216">
        <row r="9">
          <cell r="A9" t="str">
            <v>A</v>
          </cell>
        </row>
      </sheetData>
      <sheetData sheetId="2217"/>
      <sheetData sheetId="2218"/>
      <sheetData sheetId="2219"/>
      <sheetData sheetId="2220"/>
      <sheetData sheetId="2221"/>
      <sheetData sheetId="2222"/>
      <sheetData sheetId="2223">
        <row r="9">
          <cell r="A9" t="str">
            <v>A</v>
          </cell>
        </row>
      </sheetData>
      <sheetData sheetId="2224"/>
      <sheetData sheetId="2225"/>
      <sheetData sheetId="2226"/>
      <sheetData sheetId="2227"/>
      <sheetData sheetId="2228">
        <row r="9">
          <cell r="A9" t="str">
            <v>A</v>
          </cell>
        </row>
      </sheetData>
      <sheetData sheetId="2229"/>
      <sheetData sheetId="2230"/>
      <sheetData sheetId="2231"/>
      <sheetData sheetId="2232"/>
      <sheetData sheetId="2233"/>
      <sheetData sheetId="2234"/>
      <sheetData sheetId="2235"/>
      <sheetData sheetId="2236"/>
      <sheetData sheetId="2237"/>
      <sheetData sheetId="2238"/>
      <sheetData sheetId="2239">
        <row r="9">
          <cell r="A9" t="str">
            <v>A</v>
          </cell>
        </row>
      </sheetData>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refreshError="1"/>
      <sheetData sheetId="2338" refreshError="1"/>
      <sheetData sheetId="2339" refreshError="1"/>
      <sheetData sheetId="2340" refreshError="1"/>
      <sheetData sheetId="2341" refreshError="1"/>
      <sheetData sheetId="2342">
        <row r="9">
          <cell r="A9" t="str">
            <v>A</v>
          </cell>
        </row>
      </sheetData>
      <sheetData sheetId="2343"/>
      <sheetData sheetId="2344"/>
      <sheetData sheetId="2345"/>
      <sheetData sheetId="2346"/>
      <sheetData sheetId="2347"/>
      <sheetData sheetId="2348"/>
      <sheetData sheetId="2349"/>
      <sheetData sheetId="2350"/>
      <sheetData sheetId="2351"/>
      <sheetData sheetId="2352" refreshError="1"/>
      <sheetData sheetId="2353"/>
      <sheetData sheetId="2354"/>
      <sheetData sheetId="2355" refreshError="1"/>
      <sheetData sheetId="2356" refreshError="1"/>
      <sheetData sheetId="2357"/>
      <sheetData sheetId="2358"/>
      <sheetData sheetId="2359"/>
      <sheetData sheetId="2360"/>
      <sheetData sheetId="2361"/>
      <sheetData sheetId="2362"/>
      <sheetData sheetId="2363"/>
      <sheetData sheetId="2364"/>
      <sheetData sheetId="2365">
        <row r="9">
          <cell r="A9" t="str">
            <v>A</v>
          </cell>
        </row>
      </sheetData>
      <sheetData sheetId="2366"/>
      <sheetData sheetId="2367"/>
      <sheetData sheetId="2368"/>
      <sheetData sheetId="2369">
        <row r="9">
          <cell r="A9" t="str">
            <v>A</v>
          </cell>
        </row>
      </sheetData>
      <sheetData sheetId="2370"/>
      <sheetData sheetId="2371" refreshError="1"/>
      <sheetData sheetId="2372" refreshError="1"/>
      <sheetData sheetId="2373" refreshError="1"/>
      <sheetData sheetId="2374" refreshError="1"/>
      <sheetData sheetId="2375" refreshError="1"/>
      <sheetData sheetId="2376" refreshError="1"/>
      <sheetData sheetId="2377"/>
      <sheetData sheetId="2378"/>
      <sheetData sheetId="2379"/>
      <sheetData sheetId="2380"/>
      <sheetData sheetId="2381"/>
      <sheetData sheetId="2382"/>
      <sheetData sheetId="2383"/>
      <sheetData sheetId="2384"/>
      <sheetData sheetId="2385" refreshError="1"/>
      <sheetData sheetId="2386" refreshError="1"/>
      <sheetData sheetId="2387" refreshError="1"/>
      <sheetData sheetId="2388" refreshError="1"/>
      <sheetData sheetId="2389" refreshError="1"/>
      <sheetData sheetId="2390" refreshError="1"/>
      <sheetData sheetId="2391" refreshError="1"/>
      <sheetData sheetId="2392" refreshError="1"/>
      <sheetData sheetId="2393" refreshError="1"/>
      <sheetData sheetId="2394" refreshError="1"/>
      <sheetData sheetId="2395" refreshError="1"/>
      <sheetData sheetId="2396" refreshError="1"/>
      <sheetData sheetId="2397" refreshError="1"/>
      <sheetData sheetId="2398" refreshError="1"/>
      <sheetData sheetId="2399"/>
      <sheetData sheetId="2400" refreshError="1"/>
      <sheetData sheetId="2401"/>
      <sheetData sheetId="2402"/>
      <sheetData sheetId="2403" refreshError="1"/>
      <sheetData sheetId="2404" refreshError="1"/>
      <sheetData sheetId="2405" refreshError="1"/>
      <sheetData sheetId="2406"/>
      <sheetData sheetId="2407" refreshError="1"/>
      <sheetData sheetId="2408" refreshError="1"/>
      <sheetData sheetId="2409" refreshError="1"/>
      <sheetData sheetId="2410" refreshError="1"/>
      <sheetData sheetId="2411" refreshError="1"/>
      <sheetData sheetId="2412" refreshError="1"/>
      <sheetData sheetId="2413" refreshError="1"/>
      <sheetData sheetId="2414" refreshError="1"/>
      <sheetData sheetId="2415" refreshError="1"/>
      <sheetData sheetId="2416" refreshError="1"/>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refreshError="1"/>
      <sheetData sheetId="2427" refreshError="1"/>
      <sheetData sheetId="2428"/>
      <sheetData sheetId="2429"/>
      <sheetData sheetId="2430"/>
      <sheetData sheetId="2431"/>
      <sheetData sheetId="2432"/>
      <sheetData sheetId="2433"/>
      <sheetData sheetId="2434"/>
      <sheetData sheetId="2435"/>
      <sheetData sheetId="2436"/>
      <sheetData sheetId="2437"/>
      <sheetData sheetId="2438"/>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sheetData sheetId="2472"/>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row r="9">
          <cell r="A9" t="str">
            <v>A</v>
          </cell>
        </row>
      </sheetData>
      <sheetData sheetId="2519">
        <row r="9">
          <cell r="A9" t="str">
            <v>A</v>
          </cell>
        </row>
      </sheetData>
      <sheetData sheetId="2520">
        <row r="9">
          <cell r="A9" t="str">
            <v>A</v>
          </cell>
        </row>
      </sheetData>
      <sheetData sheetId="2521">
        <row r="9">
          <cell r="A9" t="str">
            <v>A</v>
          </cell>
        </row>
      </sheetData>
      <sheetData sheetId="2522">
        <row r="9">
          <cell r="A9" t="str">
            <v>A</v>
          </cell>
        </row>
      </sheetData>
      <sheetData sheetId="2523"/>
      <sheetData sheetId="2524"/>
      <sheetData sheetId="2525">
        <row r="9">
          <cell r="A9" t="str">
            <v>A</v>
          </cell>
        </row>
      </sheetData>
      <sheetData sheetId="2526">
        <row r="9">
          <cell r="A9" t="str">
            <v>A</v>
          </cell>
        </row>
      </sheetData>
      <sheetData sheetId="2527">
        <row r="9">
          <cell r="A9" t="str">
            <v>A</v>
          </cell>
        </row>
      </sheetData>
      <sheetData sheetId="2528">
        <row r="9">
          <cell r="A9" t="str">
            <v>A</v>
          </cell>
        </row>
      </sheetData>
      <sheetData sheetId="2529">
        <row r="9">
          <cell r="A9" t="str">
            <v>A</v>
          </cell>
        </row>
      </sheetData>
      <sheetData sheetId="2530">
        <row r="9">
          <cell r="A9" t="str">
            <v>A</v>
          </cell>
        </row>
      </sheetData>
      <sheetData sheetId="2531">
        <row r="9">
          <cell r="A9" t="str">
            <v>A</v>
          </cell>
        </row>
      </sheetData>
      <sheetData sheetId="2532">
        <row r="9">
          <cell r="A9" t="str">
            <v>A</v>
          </cell>
        </row>
      </sheetData>
      <sheetData sheetId="2533">
        <row r="9">
          <cell r="A9" t="str">
            <v>A</v>
          </cell>
        </row>
      </sheetData>
      <sheetData sheetId="2534">
        <row r="9">
          <cell r="A9" t="str">
            <v>A</v>
          </cell>
        </row>
      </sheetData>
      <sheetData sheetId="2535">
        <row r="9">
          <cell r="A9" t="str">
            <v>A</v>
          </cell>
        </row>
      </sheetData>
      <sheetData sheetId="2536">
        <row r="9">
          <cell r="A9" t="str">
            <v>A</v>
          </cell>
        </row>
      </sheetData>
      <sheetData sheetId="2537">
        <row r="9">
          <cell r="A9" t="str">
            <v>A</v>
          </cell>
        </row>
      </sheetData>
      <sheetData sheetId="2538">
        <row r="9">
          <cell r="A9" t="str">
            <v>A</v>
          </cell>
        </row>
      </sheetData>
      <sheetData sheetId="2539">
        <row r="9">
          <cell r="A9" t="str">
            <v>A</v>
          </cell>
        </row>
      </sheetData>
      <sheetData sheetId="2540">
        <row r="9">
          <cell r="A9" t="str">
            <v>A</v>
          </cell>
        </row>
      </sheetData>
      <sheetData sheetId="2541">
        <row r="9">
          <cell r="A9" t="str">
            <v>A</v>
          </cell>
        </row>
      </sheetData>
      <sheetData sheetId="2542">
        <row r="9">
          <cell r="A9" t="str">
            <v>A</v>
          </cell>
        </row>
      </sheetData>
      <sheetData sheetId="2543">
        <row r="9">
          <cell r="A9" t="str">
            <v>A</v>
          </cell>
        </row>
      </sheetData>
      <sheetData sheetId="2544">
        <row r="9">
          <cell r="A9" t="str">
            <v>A</v>
          </cell>
        </row>
      </sheetData>
      <sheetData sheetId="2545">
        <row r="9">
          <cell r="A9" t="str">
            <v>A</v>
          </cell>
        </row>
      </sheetData>
      <sheetData sheetId="2546">
        <row r="9">
          <cell r="A9" t="str">
            <v>A</v>
          </cell>
        </row>
      </sheetData>
      <sheetData sheetId="2547">
        <row r="9">
          <cell r="A9" t="str">
            <v>A</v>
          </cell>
        </row>
      </sheetData>
      <sheetData sheetId="2548">
        <row r="9">
          <cell r="A9" t="str">
            <v>A</v>
          </cell>
        </row>
      </sheetData>
      <sheetData sheetId="2549">
        <row r="9">
          <cell r="A9" t="str">
            <v>A</v>
          </cell>
        </row>
      </sheetData>
      <sheetData sheetId="2550">
        <row r="9">
          <cell r="A9" t="str">
            <v>A</v>
          </cell>
        </row>
      </sheetData>
      <sheetData sheetId="2551">
        <row r="9">
          <cell r="A9" t="str">
            <v>A</v>
          </cell>
        </row>
      </sheetData>
      <sheetData sheetId="2552">
        <row r="9">
          <cell r="A9" t="str">
            <v>A</v>
          </cell>
        </row>
      </sheetData>
      <sheetData sheetId="2553">
        <row r="9">
          <cell r="A9" t="str">
            <v>A</v>
          </cell>
        </row>
      </sheetData>
      <sheetData sheetId="2554">
        <row r="9">
          <cell r="A9" t="str">
            <v>A</v>
          </cell>
        </row>
      </sheetData>
      <sheetData sheetId="2555">
        <row r="9">
          <cell r="A9" t="str">
            <v>A</v>
          </cell>
        </row>
      </sheetData>
      <sheetData sheetId="2556">
        <row r="9">
          <cell r="A9" t="str">
            <v>A</v>
          </cell>
        </row>
      </sheetData>
      <sheetData sheetId="2557">
        <row r="9">
          <cell r="A9" t="str">
            <v>A</v>
          </cell>
        </row>
      </sheetData>
      <sheetData sheetId="2558">
        <row r="9">
          <cell r="A9" t="str">
            <v>A</v>
          </cell>
        </row>
      </sheetData>
      <sheetData sheetId="2559">
        <row r="9">
          <cell r="A9" t="str">
            <v>A</v>
          </cell>
        </row>
      </sheetData>
      <sheetData sheetId="2560">
        <row r="9">
          <cell r="A9" t="str">
            <v>A</v>
          </cell>
        </row>
      </sheetData>
      <sheetData sheetId="2561">
        <row r="9">
          <cell r="A9" t="str">
            <v>A</v>
          </cell>
        </row>
      </sheetData>
      <sheetData sheetId="2562">
        <row r="9">
          <cell r="A9" t="str">
            <v>A</v>
          </cell>
        </row>
      </sheetData>
      <sheetData sheetId="2563">
        <row r="9">
          <cell r="A9" t="str">
            <v>A</v>
          </cell>
        </row>
      </sheetData>
      <sheetData sheetId="2564">
        <row r="9">
          <cell r="A9" t="str">
            <v>A</v>
          </cell>
        </row>
      </sheetData>
      <sheetData sheetId="2565">
        <row r="9">
          <cell r="A9" t="str">
            <v>A</v>
          </cell>
        </row>
      </sheetData>
      <sheetData sheetId="2566">
        <row r="9">
          <cell r="A9" t="str">
            <v>A</v>
          </cell>
        </row>
      </sheetData>
      <sheetData sheetId="2567">
        <row r="9">
          <cell r="A9" t="str">
            <v>A</v>
          </cell>
        </row>
      </sheetData>
      <sheetData sheetId="2568">
        <row r="9">
          <cell r="A9" t="str">
            <v>A</v>
          </cell>
        </row>
      </sheetData>
      <sheetData sheetId="2569">
        <row r="9">
          <cell r="A9" t="str">
            <v>A</v>
          </cell>
        </row>
      </sheetData>
      <sheetData sheetId="2570">
        <row r="9">
          <cell r="A9" t="str">
            <v>A</v>
          </cell>
        </row>
      </sheetData>
      <sheetData sheetId="2571">
        <row r="9">
          <cell r="A9" t="str">
            <v>A</v>
          </cell>
        </row>
      </sheetData>
      <sheetData sheetId="2572">
        <row r="9">
          <cell r="A9" t="str">
            <v>A</v>
          </cell>
        </row>
      </sheetData>
      <sheetData sheetId="2573">
        <row r="9">
          <cell r="A9" t="str">
            <v>A</v>
          </cell>
        </row>
      </sheetData>
      <sheetData sheetId="2574">
        <row r="9">
          <cell r="A9" t="str">
            <v>A</v>
          </cell>
        </row>
      </sheetData>
      <sheetData sheetId="2575">
        <row r="9">
          <cell r="A9" t="str">
            <v>A</v>
          </cell>
        </row>
      </sheetData>
      <sheetData sheetId="2576">
        <row r="9">
          <cell r="A9" t="str">
            <v>A</v>
          </cell>
        </row>
      </sheetData>
      <sheetData sheetId="2577">
        <row r="9">
          <cell r="A9" t="str">
            <v>A</v>
          </cell>
        </row>
      </sheetData>
      <sheetData sheetId="2578">
        <row r="9">
          <cell r="A9" t="str">
            <v>A</v>
          </cell>
        </row>
      </sheetData>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row r="9">
          <cell r="A9" t="str">
            <v>A</v>
          </cell>
        </row>
      </sheetData>
      <sheetData sheetId="2615"/>
      <sheetData sheetId="2616">
        <row r="9">
          <cell r="A9" t="str">
            <v>A</v>
          </cell>
        </row>
      </sheetData>
      <sheetData sheetId="2617"/>
      <sheetData sheetId="2618">
        <row r="9">
          <cell r="A9" t="str">
            <v>A</v>
          </cell>
        </row>
      </sheetData>
      <sheetData sheetId="2619"/>
      <sheetData sheetId="2620">
        <row r="9">
          <cell r="A9" t="str">
            <v>A</v>
          </cell>
        </row>
      </sheetData>
      <sheetData sheetId="2621"/>
      <sheetData sheetId="2622">
        <row r="9">
          <cell r="A9" t="str">
            <v>A</v>
          </cell>
        </row>
      </sheetData>
      <sheetData sheetId="2623"/>
      <sheetData sheetId="2624">
        <row r="9">
          <cell r="A9" t="str">
            <v>A</v>
          </cell>
        </row>
      </sheetData>
      <sheetData sheetId="2625"/>
      <sheetData sheetId="2626">
        <row r="9">
          <cell r="A9" t="str">
            <v>A</v>
          </cell>
        </row>
      </sheetData>
      <sheetData sheetId="2627"/>
      <sheetData sheetId="2628">
        <row r="9">
          <cell r="A9" t="str">
            <v>A</v>
          </cell>
        </row>
      </sheetData>
      <sheetData sheetId="2629"/>
      <sheetData sheetId="2630">
        <row r="9">
          <cell r="A9" t="str">
            <v>A</v>
          </cell>
        </row>
      </sheetData>
      <sheetData sheetId="2631"/>
      <sheetData sheetId="2632">
        <row r="9">
          <cell r="A9" t="str">
            <v>A</v>
          </cell>
        </row>
      </sheetData>
      <sheetData sheetId="2633"/>
      <sheetData sheetId="2634">
        <row r="9">
          <cell r="A9" t="str">
            <v>A</v>
          </cell>
        </row>
      </sheetData>
      <sheetData sheetId="2635"/>
      <sheetData sheetId="2636">
        <row r="9">
          <cell r="A9" t="str">
            <v>A</v>
          </cell>
        </row>
      </sheetData>
      <sheetData sheetId="2637"/>
      <sheetData sheetId="2638">
        <row r="9">
          <cell r="A9" t="str">
            <v>A</v>
          </cell>
        </row>
      </sheetData>
      <sheetData sheetId="2639"/>
      <sheetData sheetId="2640">
        <row r="9">
          <cell r="A9" t="str">
            <v>A</v>
          </cell>
        </row>
      </sheetData>
      <sheetData sheetId="2641"/>
      <sheetData sheetId="2642">
        <row r="9">
          <cell r="A9" t="str">
            <v>A</v>
          </cell>
        </row>
      </sheetData>
      <sheetData sheetId="2643"/>
      <sheetData sheetId="2644">
        <row r="9">
          <cell r="A9" t="str">
            <v>A</v>
          </cell>
        </row>
      </sheetData>
      <sheetData sheetId="2645"/>
      <sheetData sheetId="2646">
        <row r="9">
          <cell r="A9" t="str">
            <v>A</v>
          </cell>
        </row>
      </sheetData>
      <sheetData sheetId="2647"/>
      <sheetData sheetId="2648">
        <row r="9">
          <cell r="A9" t="str">
            <v>A</v>
          </cell>
        </row>
      </sheetData>
      <sheetData sheetId="2649"/>
      <sheetData sheetId="2650">
        <row r="9">
          <cell r="A9" t="str">
            <v>A</v>
          </cell>
        </row>
      </sheetData>
      <sheetData sheetId="2651"/>
      <sheetData sheetId="2652">
        <row r="9">
          <cell r="A9" t="str">
            <v>A</v>
          </cell>
        </row>
      </sheetData>
      <sheetData sheetId="2653"/>
      <sheetData sheetId="2654">
        <row r="9">
          <cell r="A9" t="str">
            <v>A</v>
          </cell>
        </row>
      </sheetData>
      <sheetData sheetId="2655"/>
      <sheetData sheetId="2656">
        <row r="9">
          <cell r="A9" t="str">
            <v>A</v>
          </cell>
        </row>
      </sheetData>
      <sheetData sheetId="2657"/>
      <sheetData sheetId="2658">
        <row r="9">
          <cell r="A9" t="str">
            <v>A</v>
          </cell>
        </row>
      </sheetData>
      <sheetData sheetId="2659"/>
      <sheetData sheetId="2660"/>
      <sheetData sheetId="2661"/>
      <sheetData sheetId="2662" refreshError="1"/>
      <sheetData sheetId="2663" refreshError="1"/>
      <sheetData sheetId="2664" refreshError="1"/>
      <sheetData sheetId="2665" refreshError="1"/>
      <sheetData sheetId="2666" refreshError="1"/>
      <sheetData sheetId="2667" refreshError="1"/>
      <sheetData sheetId="2668" refreshError="1"/>
      <sheetData sheetId="2669" refreshError="1"/>
      <sheetData sheetId="2670" refreshError="1"/>
      <sheetData sheetId="2671" refreshError="1"/>
      <sheetData sheetId="2672" refreshError="1"/>
      <sheetData sheetId="2673" refreshError="1"/>
      <sheetData sheetId="2674" refreshError="1"/>
      <sheetData sheetId="2675" refreshError="1"/>
      <sheetData sheetId="2676" refreshError="1"/>
      <sheetData sheetId="2677" refreshError="1"/>
      <sheetData sheetId="2678" refreshError="1"/>
      <sheetData sheetId="2679" refreshError="1"/>
      <sheetData sheetId="2680" refreshError="1"/>
      <sheetData sheetId="2681" refreshError="1"/>
      <sheetData sheetId="2682" refreshError="1"/>
      <sheetData sheetId="2683" refreshError="1"/>
      <sheetData sheetId="2684" refreshError="1"/>
      <sheetData sheetId="2685" refreshError="1"/>
      <sheetData sheetId="2686" refreshError="1"/>
      <sheetData sheetId="2687" refreshError="1"/>
      <sheetData sheetId="2688" refreshError="1"/>
      <sheetData sheetId="2689" refreshError="1"/>
      <sheetData sheetId="2690" refreshError="1"/>
      <sheetData sheetId="2691" refreshError="1"/>
      <sheetData sheetId="2692" refreshError="1"/>
      <sheetData sheetId="2693" refreshError="1"/>
      <sheetData sheetId="2694" refreshError="1"/>
      <sheetData sheetId="2695" refreshError="1"/>
      <sheetData sheetId="2696" refreshError="1"/>
      <sheetData sheetId="2697" refreshError="1"/>
      <sheetData sheetId="2698" refreshError="1"/>
      <sheetData sheetId="2699" refreshError="1"/>
      <sheetData sheetId="2700" refreshError="1"/>
      <sheetData sheetId="2701" refreshError="1"/>
      <sheetData sheetId="2702"/>
      <sheetData sheetId="2703"/>
      <sheetData sheetId="2704"/>
      <sheetData sheetId="2705"/>
      <sheetData sheetId="2706" refreshError="1"/>
      <sheetData sheetId="2707"/>
      <sheetData sheetId="2708"/>
      <sheetData sheetId="2709"/>
      <sheetData sheetId="2710"/>
      <sheetData sheetId="2711"/>
      <sheetData sheetId="2712"/>
      <sheetData sheetId="2713"/>
      <sheetData sheetId="2714"/>
      <sheetData sheetId="2715" refreshError="1"/>
      <sheetData sheetId="2716"/>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refreshError="1"/>
      <sheetData sheetId="2727" refreshError="1"/>
      <sheetData sheetId="2728" refreshError="1"/>
      <sheetData sheetId="2729" refreshError="1"/>
      <sheetData sheetId="2730" refreshError="1"/>
      <sheetData sheetId="2731" refreshError="1"/>
      <sheetData sheetId="2732" refreshError="1"/>
      <sheetData sheetId="2733" refreshError="1"/>
      <sheetData sheetId="2734" refreshError="1"/>
      <sheetData sheetId="2735"/>
      <sheetData sheetId="2736"/>
      <sheetData sheetId="2737"/>
      <sheetData sheetId="2738"/>
      <sheetData sheetId="2739"/>
      <sheetData sheetId="2740"/>
      <sheetData sheetId="2741"/>
      <sheetData sheetId="2742"/>
      <sheetData sheetId="2743" refreshError="1"/>
      <sheetData sheetId="2744" refreshError="1"/>
      <sheetData sheetId="2745" refreshError="1"/>
      <sheetData sheetId="2746" refreshError="1"/>
      <sheetData sheetId="2747" refreshError="1"/>
      <sheetData sheetId="2748" refreshError="1"/>
      <sheetData sheetId="2749" refreshError="1"/>
      <sheetData sheetId="2750" refreshError="1"/>
      <sheetData sheetId="2751" refreshError="1"/>
      <sheetData sheetId="2752" refreshError="1"/>
      <sheetData sheetId="2753" refreshError="1"/>
      <sheetData sheetId="2754" refreshError="1"/>
      <sheetData sheetId="2755" refreshError="1"/>
      <sheetData sheetId="2756" refreshError="1"/>
      <sheetData sheetId="2757" refreshError="1"/>
      <sheetData sheetId="2758" refreshError="1"/>
      <sheetData sheetId="2759" refreshError="1"/>
      <sheetData sheetId="2760"/>
      <sheetData sheetId="2761"/>
      <sheetData sheetId="2762" refreshError="1"/>
      <sheetData sheetId="2763" refreshError="1"/>
      <sheetData sheetId="2764" refreshError="1"/>
      <sheetData sheetId="2765" refreshError="1"/>
      <sheetData sheetId="2766" refreshError="1"/>
      <sheetData sheetId="2767" refreshError="1"/>
      <sheetData sheetId="2768" refreshError="1"/>
      <sheetData sheetId="2769" refreshError="1"/>
      <sheetData sheetId="2770" refreshError="1"/>
      <sheetData sheetId="2771" refreshError="1"/>
      <sheetData sheetId="2772" refreshError="1"/>
      <sheetData sheetId="2773" refreshError="1"/>
      <sheetData sheetId="2774" refreshError="1"/>
      <sheetData sheetId="2775" refreshError="1"/>
      <sheetData sheetId="2776" refreshError="1"/>
      <sheetData sheetId="2777" refreshError="1"/>
      <sheetData sheetId="2778" refreshError="1"/>
      <sheetData sheetId="2779" refreshError="1"/>
      <sheetData sheetId="2780" refreshError="1"/>
      <sheetData sheetId="2781" refreshError="1"/>
      <sheetData sheetId="2782" refreshError="1"/>
      <sheetData sheetId="2783" refreshError="1"/>
      <sheetData sheetId="2784" refreshError="1"/>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row r="9">
          <cell r="A9" t="str">
            <v>A</v>
          </cell>
        </row>
      </sheetData>
      <sheetData sheetId="2804"/>
      <sheetData sheetId="2805"/>
      <sheetData sheetId="2806"/>
      <sheetData sheetId="2807">
        <row r="9">
          <cell r="A9" t="str">
            <v>A</v>
          </cell>
        </row>
      </sheetData>
      <sheetData sheetId="2808"/>
      <sheetData sheetId="2809"/>
      <sheetData sheetId="2810" refreshError="1"/>
      <sheetData sheetId="2811" refreshError="1"/>
      <sheetData sheetId="2812" refreshError="1"/>
      <sheetData sheetId="2813" refreshError="1"/>
      <sheetData sheetId="2814" refreshError="1"/>
      <sheetData sheetId="2815" refreshError="1"/>
      <sheetData sheetId="2816" refreshError="1"/>
      <sheetData sheetId="2817"/>
      <sheetData sheetId="2818">
        <row r="9">
          <cell r="A9" t="str">
            <v>A</v>
          </cell>
        </row>
      </sheetData>
      <sheetData sheetId="2819" refreshError="1"/>
      <sheetData sheetId="2820" refreshError="1"/>
      <sheetData sheetId="2821" refreshError="1"/>
      <sheetData sheetId="2822" refreshError="1"/>
      <sheetData sheetId="2823" refreshError="1"/>
      <sheetData sheetId="2824" refreshError="1"/>
      <sheetData sheetId="2825" refreshError="1"/>
      <sheetData sheetId="2826">
        <row r="9">
          <cell r="A9" t="str">
            <v>A</v>
          </cell>
        </row>
      </sheetData>
      <sheetData sheetId="2827" refreshError="1"/>
      <sheetData sheetId="2828" refreshError="1"/>
      <sheetData sheetId="2829" refreshError="1"/>
      <sheetData sheetId="2830" refreshError="1"/>
      <sheetData sheetId="2831" refreshError="1"/>
      <sheetData sheetId="2832" refreshError="1"/>
      <sheetData sheetId="2833" refreshError="1"/>
      <sheetData sheetId="2834" refreshError="1"/>
      <sheetData sheetId="2835" refreshError="1"/>
      <sheetData sheetId="2836" refreshError="1"/>
      <sheetData sheetId="2837" refreshError="1"/>
      <sheetData sheetId="2838" refreshError="1"/>
      <sheetData sheetId="2839" refreshError="1"/>
      <sheetData sheetId="2840" refreshError="1"/>
      <sheetData sheetId="2841" refreshError="1"/>
      <sheetData sheetId="2842" refreshError="1"/>
      <sheetData sheetId="2843" refreshError="1"/>
      <sheetData sheetId="2844" refreshError="1"/>
      <sheetData sheetId="2845" refreshError="1"/>
      <sheetData sheetId="2846"/>
      <sheetData sheetId="2847" refreshError="1"/>
      <sheetData sheetId="2848" refreshError="1"/>
      <sheetData sheetId="2849" refreshError="1"/>
      <sheetData sheetId="2850"/>
      <sheetData sheetId="2851"/>
      <sheetData sheetId="2852"/>
      <sheetData sheetId="2853"/>
      <sheetData sheetId="2854"/>
      <sheetData sheetId="2855"/>
      <sheetData sheetId="2856" refreshError="1"/>
      <sheetData sheetId="2857" refreshError="1"/>
      <sheetData sheetId="2858" refreshError="1"/>
      <sheetData sheetId="2859" refreshError="1"/>
      <sheetData sheetId="2860" refreshError="1"/>
      <sheetData sheetId="2861" refreshError="1"/>
      <sheetData sheetId="2862" refreshError="1"/>
      <sheetData sheetId="2863" refreshError="1"/>
      <sheetData sheetId="2864" refreshError="1"/>
      <sheetData sheetId="2865" refreshError="1"/>
      <sheetData sheetId="2866" refreshError="1"/>
      <sheetData sheetId="2867" refreshError="1"/>
      <sheetData sheetId="2868" refreshError="1"/>
      <sheetData sheetId="2869" refreshError="1"/>
      <sheetData sheetId="2870" refreshError="1"/>
      <sheetData sheetId="2871" refreshError="1"/>
      <sheetData sheetId="2872"/>
      <sheetData sheetId="2873"/>
      <sheetData sheetId="2874"/>
      <sheetData sheetId="2875"/>
      <sheetData sheetId="2876"/>
      <sheetData sheetId="2877"/>
      <sheetData sheetId="2878"/>
      <sheetData sheetId="2879"/>
      <sheetData sheetId="2880"/>
      <sheetData sheetId="2881"/>
      <sheetData sheetId="2882"/>
      <sheetData sheetId="2883"/>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refreshError="1"/>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sheetData sheetId="3324"/>
      <sheetData sheetId="3325"/>
      <sheetData sheetId="3326"/>
      <sheetData sheetId="3327"/>
      <sheetData sheetId="3328"/>
      <sheetData sheetId="3329"/>
      <sheetData sheetId="3330"/>
      <sheetData sheetId="3331"/>
      <sheetData sheetId="3332"/>
      <sheetData sheetId="3333"/>
      <sheetData sheetId="3334"/>
      <sheetData sheetId="3335"/>
      <sheetData sheetId="3336"/>
      <sheetData sheetId="3337"/>
      <sheetData sheetId="3338"/>
      <sheetData sheetId="3339"/>
      <sheetData sheetId="3340"/>
      <sheetData sheetId="3341"/>
      <sheetData sheetId="3342"/>
      <sheetData sheetId="3343"/>
      <sheetData sheetId="3344"/>
      <sheetData sheetId="3345"/>
      <sheetData sheetId="3346"/>
      <sheetData sheetId="3347"/>
      <sheetData sheetId="3348"/>
      <sheetData sheetId="3349"/>
      <sheetData sheetId="3350"/>
      <sheetData sheetId="3351"/>
      <sheetData sheetId="3352"/>
      <sheetData sheetId="3353"/>
      <sheetData sheetId="3354"/>
      <sheetData sheetId="3355"/>
      <sheetData sheetId="3356"/>
      <sheetData sheetId="3357"/>
      <sheetData sheetId="3358"/>
      <sheetData sheetId="3359"/>
      <sheetData sheetId="3360"/>
      <sheetData sheetId="3361"/>
      <sheetData sheetId="3362"/>
      <sheetData sheetId="3363"/>
      <sheetData sheetId="3364"/>
      <sheetData sheetId="3365"/>
      <sheetData sheetId="3366"/>
      <sheetData sheetId="3367"/>
      <sheetData sheetId="3368"/>
      <sheetData sheetId="3369"/>
      <sheetData sheetId="3370"/>
      <sheetData sheetId="3371"/>
      <sheetData sheetId="3372"/>
      <sheetData sheetId="3373"/>
      <sheetData sheetId="3374"/>
      <sheetData sheetId="3375"/>
      <sheetData sheetId="3376"/>
      <sheetData sheetId="3377"/>
      <sheetData sheetId="3378"/>
      <sheetData sheetId="3379"/>
      <sheetData sheetId="3380"/>
      <sheetData sheetId="3381"/>
      <sheetData sheetId="3382"/>
      <sheetData sheetId="3383"/>
      <sheetData sheetId="3384"/>
      <sheetData sheetId="3385"/>
      <sheetData sheetId="3386"/>
      <sheetData sheetId="3387"/>
      <sheetData sheetId="3388"/>
      <sheetData sheetId="3389"/>
      <sheetData sheetId="3390"/>
      <sheetData sheetId="339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sheetData sheetId="3416"/>
      <sheetData sheetId="3417"/>
      <sheetData sheetId="3418"/>
      <sheetData sheetId="3419"/>
      <sheetData sheetId="3420"/>
      <sheetData sheetId="3421"/>
      <sheetData sheetId="3422"/>
      <sheetData sheetId="3423"/>
      <sheetData sheetId="3424"/>
      <sheetData sheetId="3425"/>
      <sheetData sheetId="3426"/>
      <sheetData sheetId="3427"/>
      <sheetData sheetId="3428"/>
      <sheetData sheetId="3429"/>
      <sheetData sheetId="3430"/>
      <sheetData sheetId="3431"/>
      <sheetData sheetId="3432"/>
      <sheetData sheetId="3433"/>
      <sheetData sheetId="3434"/>
      <sheetData sheetId="3435"/>
      <sheetData sheetId="3436"/>
      <sheetData sheetId="3437"/>
      <sheetData sheetId="3438"/>
      <sheetData sheetId="3439"/>
      <sheetData sheetId="3440"/>
      <sheetData sheetId="3441"/>
      <sheetData sheetId="3442"/>
      <sheetData sheetId="3443"/>
      <sheetData sheetId="3444"/>
      <sheetData sheetId="3445"/>
      <sheetData sheetId="3446"/>
      <sheetData sheetId="3447"/>
      <sheetData sheetId="3448"/>
      <sheetData sheetId="3449"/>
      <sheetData sheetId="3450"/>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sheetData sheetId="3464"/>
      <sheetData sheetId="3465"/>
      <sheetData sheetId="3466"/>
      <sheetData sheetId="3467"/>
      <sheetData sheetId="3468"/>
      <sheetData sheetId="3469"/>
      <sheetData sheetId="3470"/>
      <sheetData sheetId="3471"/>
      <sheetData sheetId="3472"/>
      <sheetData sheetId="3473"/>
      <sheetData sheetId="3474"/>
      <sheetData sheetId="3475"/>
      <sheetData sheetId="3476"/>
      <sheetData sheetId="3477"/>
      <sheetData sheetId="3478"/>
      <sheetData sheetId="3479"/>
      <sheetData sheetId="3480"/>
      <sheetData sheetId="3481"/>
      <sheetData sheetId="3482"/>
      <sheetData sheetId="3483"/>
      <sheetData sheetId="3484"/>
      <sheetData sheetId="3485"/>
      <sheetData sheetId="3486"/>
      <sheetData sheetId="3487"/>
      <sheetData sheetId="3488"/>
      <sheetData sheetId="3489"/>
      <sheetData sheetId="3490"/>
      <sheetData sheetId="3491"/>
      <sheetData sheetId="3492"/>
      <sheetData sheetId="3493"/>
      <sheetData sheetId="3494"/>
      <sheetData sheetId="3495"/>
      <sheetData sheetId="3496"/>
      <sheetData sheetId="3497"/>
      <sheetData sheetId="3498"/>
      <sheetData sheetId="3499"/>
      <sheetData sheetId="3500"/>
      <sheetData sheetId="3501"/>
      <sheetData sheetId="3502"/>
      <sheetData sheetId="3503"/>
      <sheetData sheetId="3504"/>
      <sheetData sheetId="3505"/>
      <sheetData sheetId="3506"/>
      <sheetData sheetId="3507"/>
      <sheetData sheetId="3508"/>
      <sheetData sheetId="3509"/>
      <sheetData sheetId="3510"/>
      <sheetData sheetId="3511"/>
      <sheetData sheetId="3512"/>
      <sheetData sheetId="3513"/>
      <sheetData sheetId="3514"/>
      <sheetData sheetId="3515"/>
      <sheetData sheetId="3516"/>
      <sheetData sheetId="3517"/>
      <sheetData sheetId="3518"/>
      <sheetData sheetId="3519"/>
      <sheetData sheetId="3520"/>
      <sheetData sheetId="3521"/>
      <sheetData sheetId="3522"/>
      <sheetData sheetId="3523"/>
      <sheetData sheetId="3524"/>
      <sheetData sheetId="3525"/>
      <sheetData sheetId="3526"/>
      <sheetData sheetId="3527"/>
      <sheetData sheetId="3528"/>
      <sheetData sheetId="3529"/>
      <sheetData sheetId="3530"/>
      <sheetData sheetId="3531"/>
      <sheetData sheetId="3532"/>
      <sheetData sheetId="3533"/>
      <sheetData sheetId="3534"/>
      <sheetData sheetId="3535"/>
      <sheetData sheetId="3536"/>
      <sheetData sheetId="3537"/>
      <sheetData sheetId="3538"/>
      <sheetData sheetId="3539"/>
      <sheetData sheetId="3540"/>
      <sheetData sheetId="3541"/>
      <sheetData sheetId="3542"/>
      <sheetData sheetId="3543"/>
      <sheetData sheetId="3544"/>
      <sheetData sheetId="3545"/>
      <sheetData sheetId="3546"/>
      <sheetData sheetId="3547"/>
      <sheetData sheetId="3548"/>
      <sheetData sheetId="3549"/>
      <sheetData sheetId="3550"/>
      <sheetData sheetId="3551"/>
      <sheetData sheetId="3552"/>
      <sheetData sheetId="3553"/>
      <sheetData sheetId="3554"/>
      <sheetData sheetId="3555"/>
      <sheetData sheetId="3556"/>
      <sheetData sheetId="3557"/>
      <sheetData sheetId="3558"/>
      <sheetData sheetId="3559"/>
      <sheetData sheetId="3560"/>
      <sheetData sheetId="3561"/>
      <sheetData sheetId="3562"/>
      <sheetData sheetId="3563"/>
      <sheetData sheetId="3564"/>
      <sheetData sheetId="3565"/>
      <sheetData sheetId="3566"/>
      <sheetData sheetId="3567"/>
      <sheetData sheetId="3568"/>
      <sheetData sheetId="3569"/>
      <sheetData sheetId="3570"/>
      <sheetData sheetId="3571"/>
      <sheetData sheetId="3572"/>
      <sheetData sheetId="3573"/>
      <sheetData sheetId="3574"/>
      <sheetData sheetId="3575"/>
      <sheetData sheetId="3576"/>
      <sheetData sheetId="3577"/>
      <sheetData sheetId="3578"/>
      <sheetData sheetId="3579"/>
      <sheetData sheetId="3580"/>
      <sheetData sheetId="3581"/>
      <sheetData sheetId="3582"/>
      <sheetData sheetId="3583"/>
      <sheetData sheetId="3584"/>
      <sheetData sheetId="3585"/>
      <sheetData sheetId="3586"/>
      <sheetData sheetId="3587"/>
      <sheetData sheetId="3588"/>
      <sheetData sheetId="3589"/>
      <sheetData sheetId="3590"/>
      <sheetData sheetId="3591"/>
      <sheetData sheetId="3592"/>
      <sheetData sheetId="3593"/>
      <sheetData sheetId="3594"/>
      <sheetData sheetId="3595"/>
      <sheetData sheetId="3596"/>
      <sheetData sheetId="3597"/>
      <sheetData sheetId="3598"/>
      <sheetData sheetId="3599"/>
      <sheetData sheetId="3600"/>
      <sheetData sheetId="3601"/>
      <sheetData sheetId="3602"/>
      <sheetData sheetId="3603"/>
      <sheetData sheetId="3604"/>
      <sheetData sheetId="3605"/>
      <sheetData sheetId="3606"/>
      <sheetData sheetId="3607"/>
      <sheetData sheetId="3608"/>
      <sheetData sheetId="3609"/>
      <sheetData sheetId="3610"/>
      <sheetData sheetId="3611"/>
      <sheetData sheetId="3612"/>
      <sheetData sheetId="3613"/>
      <sheetData sheetId="3614"/>
      <sheetData sheetId="3615"/>
      <sheetData sheetId="3616"/>
      <sheetData sheetId="3617"/>
      <sheetData sheetId="3618"/>
      <sheetData sheetId="3619"/>
      <sheetData sheetId="3620"/>
      <sheetData sheetId="3621"/>
      <sheetData sheetId="3622"/>
      <sheetData sheetId="3623"/>
      <sheetData sheetId="3624"/>
      <sheetData sheetId="3625"/>
      <sheetData sheetId="3626"/>
      <sheetData sheetId="3627"/>
      <sheetData sheetId="3628"/>
      <sheetData sheetId="3629"/>
      <sheetData sheetId="3630"/>
      <sheetData sheetId="3631"/>
      <sheetData sheetId="3632"/>
      <sheetData sheetId="3633"/>
      <sheetData sheetId="3634"/>
      <sheetData sheetId="3635"/>
      <sheetData sheetId="3636"/>
      <sheetData sheetId="3637"/>
      <sheetData sheetId="3638"/>
      <sheetData sheetId="3639"/>
      <sheetData sheetId="3640"/>
      <sheetData sheetId="3641"/>
      <sheetData sheetId="3642"/>
      <sheetData sheetId="3643"/>
      <sheetData sheetId="3644"/>
      <sheetData sheetId="3645"/>
      <sheetData sheetId="3646"/>
      <sheetData sheetId="3647"/>
      <sheetData sheetId="3648"/>
      <sheetData sheetId="3649"/>
      <sheetData sheetId="3650"/>
      <sheetData sheetId="3651"/>
      <sheetData sheetId="3652"/>
      <sheetData sheetId="3653"/>
      <sheetData sheetId="3654"/>
      <sheetData sheetId="3655"/>
      <sheetData sheetId="3656"/>
      <sheetData sheetId="3657"/>
      <sheetData sheetId="3658"/>
      <sheetData sheetId="3659"/>
      <sheetData sheetId="3660"/>
      <sheetData sheetId="3661"/>
      <sheetData sheetId="3662"/>
      <sheetData sheetId="3663"/>
      <sheetData sheetId="3664"/>
      <sheetData sheetId="3665"/>
      <sheetData sheetId="3666"/>
      <sheetData sheetId="3667"/>
      <sheetData sheetId="3668"/>
      <sheetData sheetId="3669"/>
      <sheetData sheetId="3670"/>
      <sheetData sheetId="3671"/>
      <sheetData sheetId="3672"/>
      <sheetData sheetId="3673"/>
      <sheetData sheetId="3674"/>
      <sheetData sheetId="3675"/>
      <sheetData sheetId="3676"/>
      <sheetData sheetId="3677"/>
      <sheetData sheetId="3678"/>
      <sheetData sheetId="3679" refreshError="1"/>
      <sheetData sheetId="3680"/>
      <sheetData sheetId="3681"/>
      <sheetData sheetId="3682"/>
      <sheetData sheetId="3683" refreshError="1"/>
      <sheetData sheetId="3684" refreshError="1"/>
      <sheetData sheetId="3685" refreshError="1"/>
      <sheetData sheetId="3686" refreshError="1"/>
      <sheetData sheetId="3687" refreshError="1"/>
      <sheetData sheetId="3688"/>
      <sheetData sheetId="3689"/>
      <sheetData sheetId="3690"/>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sheetData sheetId="3724" refreshError="1"/>
      <sheetData sheetId="3725" refreshError="1"/>
      <sheetData sheetId="3726" refreshError="1"/>
      <sheetData sheetId="3727" refreshError="1"/>
      <sheetData sheetId="3728"/>
      <sheetData sheetId="3729"/>
      <sheetData sheetId="3730"/>
      <sheetData sheetId="373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sheetData sheetId="3754"/>
      <sheetData sheetId="3755" refreshError="1"/>
      <sheetData sheetId="3756" refreshError="1"/>
      <sheetData sheetId="3757" refreshError="1"/>
      <sheetData sheetId="3758" refreshError="1"/>
      <sheetData sheetId="3759" refreshError="1"/>
      <sheetData sheetId="3760" refreshError="1"/>
      <sheetData sheetId="3761" refreshError="1"/>
      <sheetData sheetId="3762"/>
      <sheetData sheetId="3763" refreshError="1"/>
      <sheetData sheetId="3764"/>
      <sheetData sheetId="3765"/>
      <sheetData sheetId="3766"/>
      <sheetData sheetId="3767"/>
      <sheetData sheetId="3768"/>
      <sheetData sheetId="3769"/>
      <sheetData sheetId="3770"/>
      <sheetData sheetId="3771"/>
      <sheetData sheetId="3772"/>
      <sheetData sheetId="3773"/>
      <sheetData sheetId="3774" refreshError="1"/>
      <sheetData sheetId="3775" refreshError="1"/>
      <sheetData sheetId="3776" refreshError="1"/>
      <sheetData sheetId="3777" refreshError="1"/>
      <sheetData sheetId="3778" refreshError="1"/>
      <sheetData sheetId="3779" refreshError="1"/>
      <sheetData sheetId="3780" refreshError="1"/>
      <sheetData sheetId="3781" refreshError="1"/>
      <sheetData sheetId="3782" refreshError="1"/>
      <sheetData sheetId="3783" refreshError="1"/>
      <sheetData sheetId="3784" refreshError="1"/>
      <sheetData sheetId="3785" refreshError="1"/>
      <sheetData sheetId="3786" refreshError="1"/>
      <sheetData sheetId="3787" refreshError="1"/>
      <sheetData sheetId="3788" refreshError="1"/>
      <sheetData sheetId="3789" refreshError="1"/>
      <sheetData sheetId="3790" refreshError="1"/>
      <sheetData sheetId="3791" refreshError="1"/>
      <sheetData sheetId="3792" refreshError="1"/>
      <sheetData sheetId="3793" refreshError="1"/>
      <sheetData sheetId="3794" refreshError="1"/>
      <sheetData sheetId="3795" refreshError="1"/>
      <sheetData sheetId="3796" refreshError="1"/>
      <sheetData sheetId="3797" refreshError="1"/>
      <sheetData sheetId="3798" refreshError="1"/>
      <sheetData sheetId="3799" refreshError="1"/>
      <sheetData sheetId="3800" refreshError="1"/>
      <sheetData sheetId="3801" refreshError="1"/>
      <sheetData sheetId="3802" refreshError="1"/>
      <sheetData sheetId="3803" refreshError="1"/>
      <sheetData sheetId="3804" refreshError="1"/>
      <sheetData sheetId="3805" refreshError="1"/>
      <sheetData sheetId="3806" refreshError="1"/>
      <sheetData sheetId="3807" refreshError="1"/>
      <sheetData sheetId="3808" refreshError="1"/>
      <sheetData sheetId="3809" refreshError="1"/>
      <sheetData sheetId="3810" refreshError="1"/>
      <sheetData sheetId="3811" refreshError="1"/>
      <sheetData sheetId="3812" refreshError="1"/>
      <sheetData sheetId="3813" refreshError="1"/>
      <sheetData sheetId="3814" refreshError="1"/>
      <sheetData sheetId="3815"/>
      <sheetData sheetId="3816"/>
      <sheetData sheetId="3817"/>
      <sheetData sheetId="3818"/>
      <sheetData sheetId="3819"/>
      <sheetData sheetId="3820"/>
      <sheetData sheetId="3821" refreshError="1"/>
      <sheetData sheetId="3822" refreshError="1"/>
      <sheetData sheetId="3823" refreshError="1"/>
      <sheetData sheetId="3824" refreshError="1"/>
      <sheetData sheetId="3825" refreshError="1"/>
      <sheetData sheetId="3826" refreshError="1"/>
      <sheetData sheetId="3827" refreshError="1"/>
      <sheetData sheetId="3828" refreshError="1"/>
      <sheetData sheetId="3829" refreshError="1"/>
      <sheetData sheetId="3830" refreshError="1"/>
      <sheetData sheetId="3831" refreshError="1"/>
      <sheetData sheetId="3832" refreshError="1"/>
      <sheetData sheetId="3833" refreshError="1"/>
      <sheetData sheetId="3834" refreshError="1"/>
      <sheetData sheetId="3835" refreshError="1"/>
      <sheetData sheetId="3836" refreshError="1"/>
      <sheetData sheetId="3837" refreshError="1"/>
      <sheetData sheetId="3838"/>
      <sheetData sheetId="3839"/>
      <sheetData sheetId="3840" refreshError="1"/>
      <sheetData sheetId="3841"/>
      <sheetData sheetId="3842" refreshError="1"/>
      <sheetData sheetId="3843" refreshError="1"/>
      <sheetData sheetId="3844" refreshError="1"/>
      <sheetData sheetId="3845" refreshError="1"/>
      <sheetData sheetId="3846" refreshError="1"/>
      <sheetData sheetId="3847" refreshError="1"/>
      <sheetData sheetId="3848" refreshError="1"/>
      <sheetData sheetId="3849"/>
      <sheetData sheetId="3850" refreshError="1"/>
      <sheetData sheetId="3851" refreshError="1"/>
      <sheetData sheetId="3852"/>
      <sheetData sheetId="3853" refreshError="1"/>
      <sheetData sheetId="3854" refreshError="1"/>
      <sheetData sheetId="3855"/>
      <sheetData sheetId="3856"/>
      <sheetData sheetId="3857"/>
      <sheetData sheetId="3858" refreshError="1"/>
      <sheetData sheetId="3859"/>
      <sheetData sheetId="3860"/>
      <sheetData sheetId="3861"/>
      <sheetData sheetId="3862" refreshError="1"/>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sheetData sheetId="3968"/>
      <sheetData sheetId="3969"/>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row r="9">
          <cell r="A9" t="str">
            <v>A</v>
          </cell>
        </row>
      </sheetData>
      <sheetData sheetId="3984"/>
      <sheetData sheetId="3985"/>
      <sheetData sheetId="3986"/>
      <sheetData sheetId="3987" refreshError="1"/>
      <sheetData sheetId="3988"/>
      <sheetData sheetId="3989"/>
      <sheetData sheetId="3990"/>
      <sheetData sheetId="3991"/>
      <sheetData sheetId="3992"/>
      <sheetData sheetId="3993"/>
      <sheetData sheetId="3994"/>
      <sheetData sheetId="3995" refreshError="1"/>
      <sheetData sheetId="3996" refreshError="1"/>
      <sheetData sheetId="3997" refreshError="1"/>
      <sheetData sheetId="3998" refreshError="1"/>
      <sheetData sheetId="3999" refreshError="1"/>
      <sheetData sheetId="4000"/>
      <sheetData sheetId="4001"/>
      <sheetData sheetId="4002"/>
      <sheetData sheetId="4003"/>
      <sheetData sheetId="4004"/>
      <sheetData sheetId="4005"/>
      <sheetData sheetId="4006"/>
      <sheetData sheetId="4007"/>
      <sheetData sheetId="4008"/>
      <sheetData sheetId="4009"/>
      <sheetData sheetId="4010" refreshError="1"/>
      <sheetData sheetId="4011" refreshError="1"/>
      <sheetData sheetId="4012" refreshError="1"/>
      <sheetData sheetId="4013" refreshError="1"/>
      <sheetData sheetId="4014" refreshError="1"/>
      <sheetData sheetId="4015" refreshError="1"/>
      <sheetData sheetId="4016" refreshError="1"/>
      <sheetData sheetId="4017" refreshError="1"/>
      <sheetData sheetId="4018" refreshError="1"/>
      <sheetData sheetId="4019" refreshError="1"/>
      <sheetData sheetId="4020" refreshError="1"/>
      <sheetData sheetId="4021" refreshError="1"/>
      <sheetData sheetId="4022" refreshError="1"/>
      <sheetData sheetId="4023" refreshError="1"/>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refreshError="1"/>
      <sheetData sheetId="4057" refreshError="1"/>
      <sheetData sheetId="4058" refreshError="1"/>
      <sheetData sheetId="4059" refreshError="1"/>
      <sheetData sheetId="4060" refreshError="1"/>
      <sheetData sheetId="4061" refreshError="1"/>
      <sheetData sheetId="4062" refreshError="1"/>
      <sheetData sheetId="4063"/>
      <sheetData sheetId="4064"/>
      <sheetData sheetId="4065"/>
      <sheetData sheetId="4066"/>
      <sheetData sheetId="4067"/>
      <sheetData sheetId="4068"/>
      <sheetData sheetId="4069" refreshError="1"/>
      <sheetData sheetId="4070" refreshError="1"/>
      <sheetData sheetId="4071" refreshError="1"/>
      <sheetData sheetId="4072" refreshError="1"/>
      <sheetData sheetId="4073" refreshError="1"/>
      <sheetData sheetId="4074" refreshError="1"/>
      <sheetData sheetId="4075" refreshError="1"/>
      <sheetData sheetId="4076" refreshError="1"/>
      <sheetData sheetId="4077" refreshError="1"/>
      <sheetData sheetId="4078" refreshError="1"/>
      <sheetData sheetId="4079" refreshError="1"/>
      <sheetData sheetId="4080"/>
      <sheetData sheetId="4081" refreshError="1"/>
      <sheetData sheetId="4082" refreshError="1"/>
      <sheetData sheetId="4083" refreshError="1"/>
      <sheetData sheetId="4084" refreshError="1"/>
      <sheetData sheetId="4085" refreshError="1"/>
      <sheetData sheetId="4086" refreshError="1"/>
      <sheetData sheetId="4087" refreshError="1"/>
      <sheetData sheetId="4088" refreshError="1"/>
      <sheetData sheetId="4089" refreshError="1"/>
      <sheetData sheetId="4090" refreshError="1"/>
      <sheetData sheetId="4091" refreshError="1"/>
      <sheetData sheetId="4092" refreshError="1"/>
      <sheetData sheetId="4093" refreshError="1"/>
      <sheetData sheetId="4094" refreshError="1"/>
      <sheetData sheetId="4095" refreshError="1"/>
      <sheetData sheetId="4096" refreshError="1"/>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sheetData sheetId="4274"/>
      <sheetData sheetId="4275"/>
      <sheetData sheetId="4276"/>
      <sheetData sheetId="4277"/>
      <sheetData sheetId="4278"/>
      <sheetData sheetId="4279"/>
      <sheetData sheetId="4280"/>
      <sheetData sheetId="4281"/>
      <sheetData sheetId="4282"/>
      <sheetData sheetId="4283"/>
      <sheetData sheetId="4284"/>
      <sheetData sheetId="4285"/>
      <sheetData sheetId="4286"/>
      <sheetData sheetId="4287"/>
      <sheetData sheetId="4288"/>
      <sheetData sheetId="4289"/>
      <sheetData sheetId="4290"/>
      <sheetData sheetId="4291"/>
      <sheetData sheetId="4292"/>
      <sheetData sheetId="4293"/>
      <sheetData sheetId="4294"/>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refreshError="1"/>
      <sheetData sheetId="4436" refreshError="1"/>
      <sheetData sheetId="4437" refreshError="1"/>
      <sheetData sheetId="4438" refreshError="1"/>
      <sheetData sheetId="4439" refreshError="1"/>
      <sheetData sheetId="4440" refreshError="1"/>
      <sheetData sheetId="4441" refreshError="1"/>
      <sheetData sheetId="4442" refreshError="1"/>
      <sheetData sheetId="4443" refreshError="1"/>
      <sheetData sheetId="4444" refreshError="1"/>
      <sheetData sheetId="4445" refreshError="1"/>
      <sheetData sheetId="4446" refreshError="1"/>
      <sheetData sheetId="4447" refreshError="1"/>
      <sheetData sheetId="4448" refreshError="1"/>
      <sheetData sheetId="4449" refreshError="1"/>
      <sheetData sheetId="4450" refreshError="1"/>
      <sheetData sheetId="4451" refreshError="1"/>
      <sheetData sheetId="4452" refreshError="1"/>
      <sheetData sheetId="4453" refreshError="1"/>
      <sheetData sheetId="4454" refreshError="1"/>
      <sheetData sheetId="4455" refreshError="1"/>
      <sheetData sheetId="4456" refreshError="1"/>
      <sheetData sheetId="4457" refreshError="1"/>
      <sheetData sheetId="4458" refreshError="1"/>
      <sheetData sheetId="4459" refreshError="1"/>
      <sheetData sheetId="4460" refreshError="1"/>
      <sheetData sheetId="4461" refreshError="1"/>
      <sheetData sheetId="4462" refreshError="1"/>
      <sheetData sheetId="4463" refreshError="1"/>
      <sheetData sheetId="4464" refreshError="1"/>
      <sheetData sheetId="4465" refreshError="1"/>
      <sheetData sheetId="4466" refreshError="1"/>
      <sheetData sheetId="4467" refreshError="1"/>
      <sheetData sheetId="4468" refreshError="1"/>
      <sheetData sheetId="4469" refreshError="1"/>
      <sheetData sheetId="4470" refreshError="1"/>
      <sheetData sheetId="4471" refreshError="1"/>
      <sheetData sheetId="4472" refreshError="1"/>
      <sheetData sheetId="4473" refreshError="1"/>
      <sheetData sheetId="4474" refreshError="1"/>
      <sheetData sheetId="4475" refreshError="1"/>
      <sheetData sheetId="4476" refreshError="1"/>
      <sheetData sheetId="4477" refreshError="1"/>
      <sheetData sheetId="4478" refreshError="1"/>
      <sheetData sheetId="4479" refreshError="1"/>
      <sheetData sheetId="4480" refreshError="1"/>
      <sheetData sheetId="4481" refreshError="1"/>
      <sheetData sheetId="4482" refreshError="1"/>
      <sheetData sheetId="4483" refreshError="1"/>
      <sheetData sheetId="4484" refreshError="1"/>
      <sheetData sheetId="4485" refreshError="1"/>
      <sheetData sheetId="4486" refreshError="1"/>
      <sheetData sheetId="4487" refreshError="1"/>
      <sheetData sheetId="4488" refreshError="1"/>
      <sheetData sheetId="4489" refreshError="1"/>
      <sheetData sheetId="4490" refreshError="1"/>
      <sheetData sheetId="4491" refreshError="1"/>
      <sheetData sheetId="4492" refreshError="1"/>
      <sheetData sheetId="4493" refreshError="1"/>
      <sheetData sheetId="4494" refreshError="1"/>
      <sheetData sheetId="4495" refreshError="1"/>
      <sheetData sheetId="4496" refreshError="1"/>
      <sheetData sheetId="4497" refreshError="1"/>
      <sheetData sheetId="4498" refreshError="1"/>
      <sheetData sheetId="4499" refreshError="1"/>
      <sheetData sheetId="4500" refreshError="1"/>
      <sheetData sheetId="4501" refreshError="1"/>
      <sheetData sheetId="4502" refreshError="1"/>
      <sheetData sheetId="4503" refreshError="1"/>
      <sheetData sheetId="4504" refreshError="1"/>
      <sheetData sheetId="4505" refreshError="1"/>
      <sheetData sheetId="4506" refreshError="1"/>
      <sheetData sheetId="4507" refreshError="1"/>
      <sheetData sheetId="4508" refreshError="1"/>
      <sheetData sheetId="4509" refreshError="1"/>
      <sheetData sheetId="4510" refreshError="1"/>
      <sheetData sheetId="4511" refreshError="1"/>
      <sheetData sheetId="4512" refreshError="1"/>
      <sheetData sheetId="4513" refreshError="1"/>
      <sheetData sheetId="4514" refreshError="1"/>
      <sheetData sheetId="4515" refreshError="1"/>
      <sheetData sheetId="4516" refreshError="1"/>
      <sheetData sheetId="4517" refreshError="1"/>
      <sheetData sheetId="4518" refreshError="1"/>
      <sheetData sheetId="4519" refreshError="1"/>
      <sheetData sheetId="4520" refreshError="1"/>
      <sheetData sheetId="4521" refreshError="1"/>
      <sheetData sheetId="4522" refreshError="1"/>
      <sheetData sheetId="4523" refreshError="1"/>
      <sheetData sheetId="4524" refreshError="1"/>
      <sheetData sheetId="4525" refreshError="1"/>
      <sheetData sheetId="4526" refreshError="1"/>
      <sheetData sheetId="4527" refreshError="1"/>
      <sheetData sheetId="4528" refreshError="1"/>
      <sheetData sheetId="4529" refreshError="1"/>
      <sheetData sheetId="4530" refreshError="1"/>
      <sheetData sheetId="4531" refreshError="1"/>
      <sheetData sheetId="4532" refreshError="1"/>
      <sheetData sheetId="4533" refreshError="1"/>
      <sheetData sheetId="4534" refreshError="1"/>
      <sheetData sheetId="4535" refreshError="1"/>
      <sheetData sheetId="4536" refreshError="1"/>
      <sheetData sheetId="4537" refreshError="1"/>
      <sheetData sheetId="4538" refreshError="1"/>
      <sheetData sheetId="4539" refreshError="1"/>
      <sheetData sheetId="4540" refreshError="1"/>
      <sheetData sheetId="4541" refreshError="1"/>
      <sheetData sheetId="4542" refreshError="1"/>
      <sheetData sheetId="4543" refreshError="1"/>
      <sheetData sheetId="4544" refreshError="1"/>
      <sheetData sheetId="4545" refreshError="1"/>
      <sheetData sheetId="4546" refreshError="1"/>
      <sheetData sheetId="4547" refreshError="1"/>
      <sheetData sheetId="4548" refreshError="1"/>
      <sheetData sheetId="4549" refreshError="1"/>
      <sheetData sheetId="4550" refreshError="1"/>
      <sheetData sheetId="4551" refreshError="1"/>
      <sheetData sheetId="4552" refreshError="1"/>
      <sheetData sheetId="4553" refreshError="1"/>
      <sheetData sheetId="4554" refreshError="1"/>
      <sheetData sheetId="4555" refreshError="1"/>
      <sheetData sheetId="4556" refreshError="1"/>
      <sheetData sheetId="4557" refreshError="1"/>
      <sheetData sheetId="4558" refreshError="1"/>
      <sheetData sheetId="4559" refreshError="1"/>
      <sheetData sheetId="4560" refreshError="1"/>
      <sheetData sheetId="4561" refreshError="1"/>
      <sheetData sheetId="4562" refreshError="1"/>
      <sheetData sheetId="4563" refreshError="1"/>
      <sheetData sheetId="4564" refreshError="1"/>
      <sheetData sheetId="4565" refreshError="1"/>
      <sheetData sheetId="4566" refreshError="1"/>
      <sheetData sheetId="4567" refreshError="1"/>
      <sheetData sheetId="4568" refreshError="1"/>
      <sheetData sheetId="4569" refreshError="1"/>
      <sheetData sheetId="4570" refreshError="1"/>
      <sheetData sheetId="4571" refreshError="1"/>
      <sheetData sheetId="4572" refreshError="1"/>
      <sheetData sheetId="4573" refreshError="1"/>
      <sheetData sheetId="4574" refreshError="1"/>
      <sheetData sheetId="4575" refreshError="1"/>
      <sheetData sheetId="4576" refreshError="1"/>
      <sheetData sheetId="4577" refreshError="1"/>
      <sheetData sheetId="4578" refreshError="1"/>
      <sheetData sheetId="4579" refreshError="1"/>
      <sheetData sheetId="4580" refreshError="1"/>
      <sheetData sheetId="4581" refreshError="1"/>
      <sheetData sheetId="4582" refreshError="1"/>
      <sheetData sheetId="4583" refreshError="1"/>
      <sheetData sheetId="4584" refreshError="1"/>
      <sheetData sheetId="4585" refreshError="1"/>
      <sheetData sheetId="4586" refreshError="1"/>
      <sheetData sheetId="4587" refreshError="1"/>
      <sheetData sheetId="4588" refreshError="1"/>
      <sheetData sheetId="4589" refreshError="1"/>
      <sheetData sheetId="4590" refreshError="1"/>
      <sheetData sheetId="4591" refreshError="1"/>
      <sheetData sheetId="4592" refreshError="1"/>
      <sheetData sheetId="4593" refreshError="1"/>
      <sheetData sheetId="4594" refreshError="1"/>
      <sheetData sheetId="4595" refreshError="1"/>
      <sheetData sheetId="4596" refreshError="1"/>
      <sheetData sheetId="4597" refreshError="1"/>
      <sheetData sheetId="4598" refreshError="1"/>
      <sheetData sheetId="4599" refreshError="1"/>
      <sheetData sheetId="4600" refreshError="1"/>
      <sheetData sheetId="4601" refreshError="1"/>
      <sheetData sheetId="4602" refreshError="1"/>
      <sheetData sheetId="4603" refreshError="1"/>
      <sheetData sheetId="4604" refreshError="1"/>
      <sheetData sheetId="4605" refreshError="1"/>
      <sheetData sheetId="4606" refreshError="1"/>
      <sheetData sheetId="4607" refreshError="1"/>
      <sheetData sheetId="4608" refreshError="1"/>
      <sheetData sheetId="4609" refreshError="1"/>
      <sheetData sheetId="4610" refreshError="1"/>
      <sheetData sheetId="4611" refreshError="1"/>
      <sheetData sheetId="4612" refreshError="1"/>
      <sheetData sheetId="4613" refreshError="1"/>
      <sheetData sheetId="4614" refreshError="1"/>
      <sheetData sheetId="4615" refreshError="1"/>
      <sheetData sheetId="4616" refreshError="1"/>
      <sheetData sheetId="4617" refreshError="1"/>
      <sheetData sheetId="4618" refreshError="1"/>
      <sheetData sheetId="4619" refreshError="1"/>
      <sheetData sheetId="4620" refreshError="1"/>
      <sheetData sheetId="4621" refreshError="1"/>
      <sheetData sheetId="4622" refreshError="1"/>
      <sheetData sheetId="4623" refreshError="1"/>
      <sheetData sheetId="4624" refreshError="1"/>
      <sheetData sheetId="4625" refreshError="1"/>
      <sheetData sheetId="4626" refreshError="1"/>
      <sheetData sheetId="4627" refreshError="1"/>
      <sheetData sheetId="4628" refreshError="1"/>
      <sheetData sheetId="4629" refreshError="1"/>
      <sheetData sheetId="4630" refreshError="1"/>
      <sheetData sheetId="4631" refreshError="1"/>
      <sheetData sheetId="4632" refreshError="1"/>
      <sheetData sheetId="4633" refreshError="1"/>
      <sheetData sheetId="4634" refreshError="1"/>
      <sheetData sheetId="4635" refreshError="1"/>
      <sheetData sheetId="4636" refreshError="1"/>
      <sheetData sheetId="4637" refreshError="1"/>
      <sheetData sheetId="4638" refreshError="1"/>
      <sheetData sheetId="4639" refreshError="1"/>
      <sheetData sheetId="4640" refreshError="1"/>
      <sheetData sheetId="4641" refreshError="1"/>
      <sheetData sheetId="4642" refreshError="1"/>
      <sheetData sheetId="4643" refreshError="1"/>
      <sheetData sheetId="4644" refreshError="1"/>
      <sheetData sheetId="4645" refreshError="1"/>
      <sheetData sheetId="4646" refreshError="1"/>
      <sheetData sheetId="4647" refreshError="1"/>
      <sheetData sheetId="4648" refreshError="1"/>
      <sheetData sheetId="4649" refreshError="1"/>
      <sheetData sheetId="4650" refreshError="1"/>
      <sheetData sheetId="4651" refreshError="1"/>
      <sheetData sheetId="4652" refreshError="1"/>
      <sheetData sheetId="4653" refreshError="1"/>
      <sheetData sheetId="4654" refreshError="1"/>
      <sheetData sheetId="4655" refreshError="1"/>
      <sheetData sheetId="4656" refreshError="1"/>
      <sheetData sheetId="4657" refreshError="1"/>
      <sheetData sheetId="4658" refreshError="1"/>
      <sheetData sheetId="4659" refreshError="1"/>
      <sheetData sheetId="4660" refreshError="1"/>
      <sheetData sheetId="4661" refreshError="1"/>
      <sheetData sheetId="4662" refreshError="1"/>
      <sheetData sheetId="4663" refreshError="1"/>
      <sheetData sheetId="4664" refreshError="1"/>
      <sheetData sheetId="4665" refreshError="1"/>
      <sheetData sheetId="4666" refreshError="1"/>
      <sheetData sheetId="4667" refreshError="1"/>
      <sheetData sheetId="4668" refreshError="1"/>
      <sheetData sheetId="4669" refreshError="1"/>
      <sheetData sheetId="4670" refreshError="1"/>
      <sheetData sheetId="4671" refreshError="1"/>
      <sheetData sheetId="4672" refreshError="1"/>
      <sheetData sheetId="4673" refreshError="1"/>
      <sheetData sheetId="4674"/>
      <sheetData sheetId="4675"/>
      <sheetData sheetId="4676"/>
      <sheetData sheetId="4677"/>
      <sheetData sheetId="4678"/>
      <sheetData sheetId="4679"/>
      <sheetData sheetId="4680"/>
      <sheetData sheetId="4681"/>
      <sheetData sheetId="4682"/>
      <sheetData sheetId="4683"/>
      <sheetData sheetId="4684"/>
      <sheetData sheetId="4685"/>
      <sheetData sheetId="4686"/>
      <sheetData sheetId="4687"/>
      <sheetData sheetId="4688"/>
      <sheetData sheetId="4689"/>
      <sheetData sheetId="4690"/>
      <sheetData sheetId="4691"/>
      <sheetData sheetId="4692"/>
      <sheetData sheetId="4693"/>
      <sheetData sheetId="4694"/>
      <sheetData sheetId="4695"/>
      <sheetData sheetId="4696"/>
      <sheetData sheetId="4697"/>
      <sheetData sheetId="4698"/>
      <sheetData sheetId="4699"/>
      <sheetData sheetId="4700"/>
      <sheetData sheetId="4701"/>
      <sheetData sheetId="4702"/>
      <sheetData sheetId="4703"/>
      <sheetData sheetId="4704"/>
      <sheetData sheetId="4705"/>
      <sheetData sheetId="4706"/>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sheetData sheetId="4721"/>
      <sheetData sheetId="4722"/>
      <sheetData sheetId="4723"/>
      <sheetData sheetId="4724"/>
      <sheetData sheetId="4725"/>
      <sheetData sheetId="4726"/>
      <sheetData sheetId="4727"/>
      <sheetData sheetId="4728"/>
      <sheetData sheetId="4729"/>
      <sheetData sheetId="4730"/>
      <sheetData sheetId="4731"/>
      <sheetData sheetId="4732"/>
      <sheetData sheetId="4733"/>
      <sheetData sheetId="4734"/>
      <sheetData sheetId="4735"/>
      <sheetData sheetId="4736"/>
      <sheetData sheetId="4737"/>
      <sheetData sheetId="4738"/>
      <sheetData sheetId="4739"/>
      <sheetData sheetId="4740"/>
      <sheetData sheetId="4741"/>
      <sheetData sheetId="4742"/>
      <sheetData sheetId="4743"/>
      <sheetData sheetId="4744"/>
      <sheetData sheetId="4745"/>
      <sheetData sheetId="4746"/>
      <sheetData sheetId="4747"/>
      <sheetData sheetId="4748"/>
      <sheetData sheetId="4749"/>
      <sheetData sheetId="4750"/>
      <sheetData sheetId="4751"/>
      <sheetData sheetId="4752"/>
      <sheetData sheetId="4753"/>
      <sheetData sheetId="4754"/>
      <sheetData sheetId="4755"/>
      <sheetData sheetId="4756"/>
      <sheetData sheetId="4757"/>
      <sheetData sheetId="4758"/>
      <sheetData sheetId="4759"/>
      <sheetData sheetId="4760"/>
      <sheetData sheetId="4761"/>
      <sheetData sheetId="4762"/>
      <sheetData sheetId="4763"/>
      <sheetData sheetId="4764"/>
      <sheetData sheetId="4765"/>
      <sheetData sheetId="4766"/>
      <sheetData sheetId="4767"/>
      <sheetData sheetId="4768"/>
      <sheetData sheetId="4769"/>
      <sheetData sheetId="4770"/>
      <sheetData sheetId="4771"/>
      <sheetData sheetId="4772"/>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sheetData sheetId="4850"/>
      <sheetData sheetId="4851"/>
      <sheetData sheetId="4852"/>
      <sheetData sheetId="4853"/>
      <sheetData sheetId="4854"/>
      <sheetData sheetId="4855"/>
      <sheetData sheetId="4856"/>
      <sheetData sheetId="4857"/>
      <sheetData sheetId="4858"/>
      <sheetData sheetId="4859"/>
      <sheetData sheetId="4860"/>
      <sheetData sheetId="4861"/>
      <sheetData sheetId="4862"/>
      <sheetData sheetId="4863"/>
      <sheetData sheetId="4864"/>
      <sheetData sheetId="4865"/>
      <sheetData sheetId="4866"/>
      <sheetData sheetId="4867"/>
      <sheetData sheetId="4868"/>
      <sheetData sheetId="4869"/>
      <sheetData sheetId="4870"/>
      <sheetData sheetId="4871"/>
      <sheetData sheetId="4872"/>
      <sheetData sheetId="4873"/>
      <sheetData sheetId="4874"/>
      <sheetData sheetId="4875"/>
      <sheetData sheetId="4876"/>
      <sheetData sheetId="4877"/>
      <sheetData sheetId="4878"/>
      <sheetData sheetId="4879"/>
      <sheetData sheetId="4880"/>
      <sheetData sheetId="4881"/>
      <sheetData sheetId="4882"/>
      <sheetData sheetId="4883"/>
      <sheetData sheetId="4884"/>
      <sheetData sheetId="4885"/>
      <sheetData sheetId="4886"/>
      <sheetData sheetId="4887"/>
      <sheetData sheetId="4888"/>
      <sheetData sheetId="4889"/>
      <sheetData sheetId="4890"/>
      <sheetData sheetId="4891"/>
      <sheetData sheetId="4892"/>
      <sheetData sheetId="4893"/>
      <sheetData sheetId="4894"/>
      <sheetData sheetId="4895"/>
      <sheetData sheetId="4896"/>
      <sheetData sheetId="4897"/>
      <sheetData sheetId="4898"/>
      <sheetData sheetId="4899"/>
      <sheetData sheetId="4900"/>
      <sheetData sheetId="4901"/>
      <sheetData sheetId="4902"/>
      <sheetData sheetId="4903"/>
      <sheetData sheetId="4904"/>
      <sheetData sheetId="4905"/>
      <sheetData sheetId="4906"/>
      <sheetData sheetId="4907"/>
      <sheetData sheetId="4908"/>
      <sheetData sheetId="4909"/>
      <sheetData sheetId="4910"/>
      <sheetData sheetId="4911"/>
      <sheetData sheetId="4912"/>
      <sheetData sheetId="4913"/>
      <sheetData sheetId="4914"/>
      <sheetData sheetId="4915"/>
      <sheetData sheetId="4916"/>
      <sheetData sheetId="4917"/>
      <sheetData sheetId="4918"/>
      <sheetData sheetId="4919"/>
      <sheetData sheetId="4920"/>
      <sheetData sheetId="4921"/>
      <sheetData sheetId="4922"/>
      <sheetData sheetId="4923"/>
      <sheetData sheetId="4924"/>
      <sheetData sheetId="4925"/>
      <sheetData sheetId="4926"/>
      <sheetData sheetId="4927"/>
      <sheetData sheetId="4928"/>
      <sheetData sheetId="4929"/>
      <sheetData sheetId="4930"/>
      <sheetData sheetId="4931"/>
      <sheetData sheetId="4932"/>
      <sheetData sheetId="4933"/>
      <sheetData sheetId="4934"/>
      <sheetData sheetId="4935"/>
      <sheetData sheetId="4936"/>
      <sheetData sheetId="4937"/>
      <sheetData sheetId="4938"/>
      <sheetData sheetId="4939"/>
      <sheetData sheetId="4940"/>
      <sheetData sheetId="4941"/>
      <sheetData sheetId="4942"/>
      <sheetData sheetId="4943"/>
      <sheetData sheetId="4944"/>
      <sheetData sheetId="4945"/>
      <sheetData sheetId="4946"/>
      <sheetData sheetId="4947"/>
      <sheetData sheetId="4948"/>
      <sheetData sheetId="4949"/>
      <sheetData sheetId="4950"/>
      <sheetData sheetId="4951"/>
      <sheetData sheetId="4952"/>
      <sheetData sheetId="4953"/>
      <sheetData sheetId="4954"/>
      <sheetData sheetId="4955"/>
      <sheetData sheetId="4956"/>
      <sheetData sheetId="4957"/>
      <sheetData sheetId="4958"/>
      <sheetData sheetId="4959"/>
      <sheetData sheetId="4960"/>
      <sheetData sheetId="4961"/>
      <sheetData sheetId="4962"/>
      <sheetData sheetId="4963"/>
      <sheetData sheetId="4964"/>
      <sheetData sheetId="4965"/>
      <sheetData sheetId="4966"/>
      <sheetData sheetId="4967"/>
      <sheetData sheetId="4968"/>
      <sheetData sheetId="4969"/>
      <sheetData sheetId="4970"/>
      <sheetData sheetId="4971"/>
      <sheetData sheetId="4972"/>
      <sheetData sheetId="4973"/>
      <sheetData sheetId="4974"/>
      <sheetData sheetId="4975"/>
      <sheetData sheetId="4976"/>
      <sheetData sheetId="4977"/>
      <sheetData sheetId="4978"/>
      <sheetData sheetId="4979"/>
      <sheetData sheetId="4980"/>
      <sheetData sheetId="4981"/>
      <sheetData sheetId="4982"/>
      <sheetData sheetId="4983"/>
      <sheetData sheetId="4984"/>
      <sheetData sheetId="4985"/>
      <sheetData sheetId="4986"/>
      <sheetData sheetId="4987"/>
      <sheetData sheetId="4988"/>
      <sheetData sheetId="4989"/>
      <sheetData sheetId="4990"/>
      <sheetData sheetId="4991"/>
      <sheetData sheetId="4992"/>
      <sheetData sheetId="4993"/>
      <sheetData sheetId="4994"/>
      <sheetData sheetId="4995"/>
      <sheetData sheetId="4996"/>
      <sheetData sheetId="4997"/>
      <sheetData sheetId="4998"/>
      <sheetData sheetId="4999"/>
      <sheetData sheetId="5000"/>
      <sheetData sheetId="5001"/>
      <sheetData sheetId="5002"/>
      <sheetData sheetId="5003"/>
      <sheetData sheetId="5004"/>
      <sheetData sheetId="5005"/>
      <sheetData sheetId="5006"/>
      <sheetData sheetId="5007"/>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sheetData sheetId="5021"/>
      <sheetData sheetId="5022"/>
      <sheetData sheetId="5023"/>
      <sheetData sheetId="5024"/>
      <sheetData sheetId="5025"/>
      <sheetData sheetId="5026"/>
      <sheetData sheetId="5027"/>
      <sheetData sheetId="5028"/>
      <sheetData sheetId="5029"/>
      <sheetData sheetId="5030"/>
      <sheetData sheetId="5031"/>
      <sheetData sheetId="5032"/>
      <sheetData sheetId="5033"/>
      <sheetData sheetId="5034"/>
      <sheetData sheetId="5035"/>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sheetData sheetId="5062"/>
      <sheetData sheetId="5063"/>
      <sheetData sheetId="5064"/>
      <sheetData sheetId="5065"/>
      <sheetData sheetId="5066"/>
      <sheetData sheetId="5067"/>
      <sheetData sheetId="5068"/>
      <sheetData sheetId="5069" refreshError="1"/>
      <sheetData sheetId="5070" refreshError="1"/>
      <sheetData sheetId="5071" refreshError="1"/>
      <sheetData sheetId="5072" refreshError="1"/>
      <sheetData sheetId="5073" refreshError="1"/>
      <sheetData sheetId="5074" refreshError="1"/>
      <sheetData sheetId="5075" refreshError="1"/>
      <sheetData sheetId="5076" refreshError="1"/>
      <sheetData sheetId="5077" refreshError="1"/>
      <sheetData sheetId="5078" refreshError="1"/>
      <sheetData sheetId="5079"/>
      <sheetData sheetId="5080" refreshError="1"/>
      <sheetData sheetId="5081" refreshError="1"/>
      <sheetData sheetId="5082" refreshError="1"/>
      <sheetData sheetId="5083" refreshError="1"/>
      <sheetData sheetId="5084" refreshError="1"/>
      <sheetData sheetId="5085" refreshError="1"/>
      <sheetData sheetId="5086" refreshError="1"/>
      <sheetData sheetId="5087"/>
      <sheetData sheetId="5088"/>
      <sheetData sheetId="5089"/>
      <sheetData sheetId="5090"/>
      <sheetData sheetId="5091"/>
      <sheetData sheetId="5092"/>
      <sheetData sheetId="5093"/>
      <sheetData sheetId="5094"/>
      <sheetData sheetId="5095"/>
      <sheetData sheetId="5096"/>
      <sheetData sheetId="5097"/>
      <sheetData sheetId="5098"/>
      <sheetData sheetId="5099"/>
      <sheetData sheetId="5100"/>
      <sheetData sheetId="5101"/>
      <sheetData sheetId="5102"/>
      <sheetData sheetId="5103"/>
      <sheetData sheetId="5104"/>
      <sheetData sheetId="5105"/>
      <sheetData sheetId="5106"/>
      <sheetData sheetId="5107"/>
      <sheetData sheetId="5108"/>
      <sheetData sheetId="5109"/>
      <sheetData sheetId="5110"/>
      <sheetData sheetId="511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sheetData sheetId="5121"/>
      <sheetData sheetId="5122"/>
      <sheetData sheetId="5123"/>
      <sheetData sheetId="5124"/>
      <sheetData sheetId="5125"/>
      <sheetData sheetId="5126"/>
      <sheetData sheetId="5127"/>
      <sheetData sheetId="5128"/>
      <sheetData sheetId="5129"/>
      <sheetData sheetId="5130"/>
      <sheetData sheetId="5131"/>
      <sheetData sheetId="5132"/>
      <sheetData sheetId="5133"/>
      <sheetData sheetId="5134"/>
      <sheetData sheetId="5135"/>
      <sheetData sheetId="5136"/>
      <sheetData sheetId="5137" refreshError="1"/>
      <sheetData sheetId="5138"/>
      <sheetData sheetId="5139"/>
      <sheetData sheetId="5140"/>
      <sheetData sheetId="5141"/>
      <sheetData sheetId="5142"/>
      <sheetData sheetId="5143"/>
      <sheetData sheetId="5144"/>
      <sheetData sheetId="5145"/>
      <sheetData sheetId="5146"/>
      <sheetData sheetId="5147"/>
      <sheetData sheetId="5148"/>
      <sheetData sheetId="5149"/>
      <sheetData sheetId="5150"/>
      <sheetData sheetId="5151"/>
      <sheetData sheetId="5152"/>
      <sheetData sheetId="5153"/>
      <sheetData sheetId="5154"/>
      <sheetData sheetId="5155"/>
      <sheetData sheetId="5156"/>
      <sheetData sheetId="5157"/>
      <sheetData sheetId="5158"/>
      <sheetData sheetId="5159"/>
      <sheetData sheetId="5160"/>
      <sheetData sheetId="5161"/>
      <sheetData sheetId="5162"/>
      <sheetData sheetId="5163"/>
      <sheetData sheetId="5164"/>
      <sheetData sheetId="5165"/>
      <sheetData sheetId="5166"/>
      <sheetData sheetId="5167"/>
      <sheetData sheetId="5168"/>
      <sheetData sheetId="5169"/>
      <sheetData sheetId="5170"/>
      <sheetData sheetId="5171"/>
      <sheetData sheetId="5172"/>
      <sheetData sheetId="5173"/>
      <sheetData sheetId="5174"/>
      <sheetData sheetId="5175"/>
      <sheetData sheetId="5176"/>
      <sheetData sheetId="5177"/>
      <sheetData sheetId="5178"/>
      <sheetData sheetId="5179"/>
      <sheetData sheetId="5180"/>
      <sheetData sheetId="5181"/>
      <sheetData sheetId="5182"/>
      <sheetData sheetId="5183"/>
      <sheetData sheetId="5184"/>
      <sheetData sheetId="5185"/>
      <sheetData sheetId="5186"/>
      <sheetData sheetId="5187"/>
      <sheetData sheetId="5188"/>
      <sheetData sheetId="5189"/>
      <sheetData sheetId="5190"/>
      <sheetData sheetId="5191"/>
      <sheetData sheetId="5192"/>
      <sheetData sheetId="5193"/>
      <sheetData sheetId="5194"/>
      <sheetData sheetId="5195"/>
      <sheetData sheetId="5196"/>
      <sheetData sheetId="5197"/>
      <sheetData sheetId="5198"/>
      <sheetData sheetId="5199"/>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sheetData sheetId="5370"/>
      <sheetData sheetId="5371"/>
      <sheetData sheetId="5372"/>
      <sheetData sheetId="5373"/>
      <sheetData sheetId="5374"/>
      <sheetData sheetId="5375"/>
      <sheetData sheetId="5376"/>
      <sheetData sheetId="5377"/>
      <sheetData sheetId="5378"/>
      <sheetData sheetId="5379"/>
      <sheetData sheetId="5380"/>
      <sheetData sheetId="5381"/>
      <sheetData sheetId="5382"/>
      <sheetData sheetId="5383"/>
      <sheetData sheetId="5384"/>
      <sheetData sheetId="5385"/>
      <sheetData sheetId="5386"/>
      <sheetData sheetId="5387"/>
      <sheetData sheetId="5388"/>
      <sheetData sheetId="5389"/>
      <sheetData sheetId="5390"/>
      <sheetData sheetId="5391"/>
      <sheetData sheetId="5392"/>
      <sheetData sheetId="5393"/>
      <sheetData sheetId="5394"/>
      <sheetData sheetId="5395"/>
      <sheetData sheetId="5396"/>
      <sheetData sheetId="5397"/>
      <sheetData sheetId="5398"/>
      <sheetData sheetId="5399"/>
      <sheetData sheetId="5400"/>
      <sheetData sheetId="5401"/>
      <sheetData sheetId="5402"/>
      <sheetData sheetId="5403"/>
      <sheetData sheetId="5404"/>
      <sheetData sheetId="5405"/>
      <sheetData sheetId="5406"/>
      <sheetData sheetId="5407"/>
      <sheetData sheetId="5408"/>
      <sheetData sheetId="5409"/>
      <sheetData sheetId="5410"/>
      <sheetData sheetId="5411"/>
      <sheetData sheetId="5412"/>
      <sheetData sheetId="5413"/>
      <sheetData sheetId="5414"/>
      <sheetData sheetId="5415"/>
      <sheetData sheetId="5416"/>
      <sheetData sheetId="5417"/>
      <sheetData sheetId="5418"/>
      <sheetData sheetId="5419"/>
      <sheetData sheetId="5420"/>
      <sheetData sheetId="5421"/>
      <sheetData sheetId="5422"/>
      <sheetData sheetId="5423"/>
      <sheetData sheetId="5424"/>
      <sheetData sheetId="5425"/>
      <sheetData sheetId="5426"/>
      <sheetData sheetId="5427"/>
      <sheetData sheetId="5428"/>
      <sheetData sheetId="5429"/>
      <sheetData sheetId="5430"/>
      <sheetData sheetId="5431"/>
      <sheetData sheetId="5432"/>
      <sheetData sheetId="5433"/>
      <sheetData sheetId="5434"/>
      <sheetData sheetId="5435"/>
      <sheetData sheetId="5436"/>
      <sheetData sheetId="5437"/>
      <sheetData sheetId="5438"/>
      <sheetData sheetId="5439"/>
      <sheetData sheetId="5440"/>
      <sheetData sheetId="5441"/>
      <sheetData sheetId="5442"/>
      <sheetData sheetId="5443"/>
      <sheetData sheetId="5444"/>
      <sheetData sheetId="5445"/>
      <sheetData sheetId="5446"/>
      <sheetData sheetId="5447"/>
      <sheetData sheetId="5448"/>
      <sheetData sheetId="5449"/>
      <sheetData sheetId="5450"/>
      <sheetData sheetId="5451"/>
      <sheetData sheetId="5452"/>
      <sheetData sheetId="5453"/>
      <sheetData sheetId="5454"/>
      <sheetData sheetId="5455"/>
      <sheetData sheetId="5456"/>
      <sheetData sheetId="5457"/>
      <sheetData sheetId="5458"/>
      <sheetData sheetId="5459"/>
      <sheetData sheetId="5460"/>
      <sheetData sheetId="5461"/>
      <sheetData sheetId="5462"/>
      <sheetData sheetId="5463"/>
      <sheetData sheetId="5464"/>
      <sheetData sheetId="5465"/>
      <sheetData sheetId="5466"/>
      <sheetData sheetId="5467"/>
      <sheetData sheetId="5468"/>
      <sheetData sheetId="5469"/>
      <sheetData sheetId="5470"/>
      <sheetData sheetId="5471"/>
      <sheetData sheetId="5472"/>
      <sheetData sheetId="5473"/>
      <sheetData sheetId="5474"/>
      <sheetData sheetId="5475"/>
      <sheetData sheetId="5476"/>
      <sheetData sheetId="5477"/>
      <sheetData sheetId="5478"/>
      <sheetData sheetId="5479"/>
      <sheetData sheetId="5480"/>
      <sheetData sheetId="5481"/>
      <sheetData sheetId="5482"/>
      <sheetData sheetId="5483"/>
      <sheetData sheetId="5484"/>
      <sheetData sheetId="5485"/>
      <sheetData sheetId="5486"/>
      <sheetData sheetId="5487"/>
      <sheetData sheetId="5488"/>
      <sheetData sheetId="5489"/>
      <sheetData sheetId="5490"/>
      <sheetData sheetId="5491"/>
      <sheetData sheetId="5492"/>
      <sheetData sheetId="5493"/>
      <sheetData sheetId="5494"/>
      <sheetData sheetId="5495"/>
      <sheetData sheetId="5496"/>
      <sheetData sheetId="5497"/>
      <sheetData sheetId="5498"/>
      <sheetData sheetId="5499"/>
      <sheetData sheetId="5500"/>
      <sheetData sheetId="5501"/>
      <sheetData sheetId="5502"/>
      <sheetData sheetId="5503"/>
      <sheetData sheetId="5504"/>
      <sheetData sheetId="5505"/>
      <sheetData sheetId="5506"/>
      <sheetData sheetId="5507"/>
      <sheetData sheetId="5508"/>
      <sheetData sheetId="5509"/>
      <sheetData sheetId="5510"/>
      <sheetData sheetId="5511"/>
      <sheetData sheetId="5512"/>
      <sheetData sheetId="5513"/>
      <sheetData sheetId="5514"/>
      <sheetData sheetId="5515"/>
      <sheetData sheetId="5516"/>
      <sheetData sheetId="5517"/>
      <sheetData sheetId="5518"/>
      <sheetData sheetId="5519"/>
      <sheetData sheetId="5520"/>
      <sheetData sheetId="5521"/>
      <sheetData sheetId="5522"/>
      <sheetData sheetId="5523"/>
      <sheetData sheetId="5524"/>
      <sheetData sheetId="5525"/>
      <sheetData sheetId="5526"/>
      <sheetData sheetId="5527"/>
      <sheetData sheetId="5528"/>
      <sheetData sheetId="5529"/>
      <sheetData sheetId="5530"/>
      <sheetData sheetId="5531"/>
      <sheetData sheetId="5532"/>
      <sheetData sheetId="5533"/>
      <sheetData sheetId="5534"/>
      <sheetData sheetId="5535"/>
      <sheetData sheetId="5536"/>
      <sheetData sheetId="5537"/>
      <sheetData sheetId="5538"/>
      <sheetData sheetId="5539"/>
      <sheetData sheetId="5540"/>
      <sheetData sheetId="5541"/>
      <sheetData sheetId="5542"/>
      <sheetData sheetId="5543"/>
      <sheetData sheetId="5544"/>
      <sheetData sheetId="5545"/>
      <sheetData sheetId="5546"/>
      <sheetData sheetId="5547"/>
      <sheetData sheetId="5548"/>
      <sheetData sheetId="5549"/>
      <sheetData sheetId="5550"/>
      <sheetData sheetId="5551"/>
      <sheetData sheetId="5552"/>
      <sheetData sheetId="5553"/>
      <sheetData sheetId="5554"/>
      <sheetData sheetId="5555"/>
      <sheetData sheetId="5556"/>
      <sheetData sheetId="5557"/>
      <sheetData sheetId="5558"/>
      <sheetData sheetId="5559"/>
      <sheetData sheetId="5560"/>
      <sheetData sheetId="5561"/>
      <sheetData sheetId="5562"/>
      <sheetData sheetId="5563"/>
      <sheetData sheetId="5564"/>
      <sheetData sheetId="5565"/>
      <sheetData sheetId="5566"/>
      <sheetData sheetId="5567"/>
      <sheetData sheetId="5568"/>
      <sheetData sheetId="5569"/>
      <sheetData sheetId="5570"/>
      <sheetData sheetId="5571"/>
      <sheetData sheetId="5572"/>
      <sheetData sheetId="5573"/>
      <sheetData sheetId="5574"/>
      <sheetData sheetId="5575"/>
      <sheetData sheetId="5576"/>
      <sheetData sheetId="5577"/>
      <sheetData sheetId="5578"/>
      <sheetData sheetId="5579"/>
      <sheetData sheetId="5580"/>
      <sheetData sheetId="5581"/>
      <sheetData sheetId="5582"/>
      <sheetData sheetId="5583"/>
      <sheetData sheetId="5584"/>
      <sheetData sheetId="5585"/>
      <sheetData sheetId="5586"/>
      <sheetData sheetId="5587"/>
      <sheetData sheetId="5588"/>
      <sheetData sheetId="5589"/>
      <sheetData sheetId="5590"/>
      <sheetData sheetId="5591"/>
      <sheetData sheetId="5592"/>
      <sheetData sheetId="5593"/>
      <sheetData sheetId="5594"/>
      <sheetData sheetId="5595"/>
      <sheetData sheetId="5596"/>
      <sheetData sheetId="5597"/>
      <sheetData sheetId="5598"/>
      <sheetData sheetId="5599"/>
      <sheetData sheetId="5600"/>
      <sheetData sheetId="5601"/>
      <sheetData sheetId="5602"/>
      <sheetData sheetId="5603"/>
      <sheetData sheetId="5604"/>
      <sheetData sheetId="5605"/>
      <sheetData sheetId="5606"/>
      <sheetData sheetId="5607"/>
      <sheetData sheetId="5608"/>
      <sheetData sheetId="5609"/>
      <sheetData sheetId="5610"/>
      <sheetData sheetId="5611"/>
      <sheetData sheetId="5612"/>
      <sheetData sheetId="5613"/>
      <sheetData sheetId="5614"/>
      <sheetData sheetId="5615"/>
      <sheetData sheetId="5616"/>
      <sheetData sheetId="5617"/>
      <sheetData sheetId="5618"/>
      <sheetData sheetId="5619"/>
      <sheetData sheetId="5620"/>
      <sheetData sheetId="5621"/>
      <sheetData sheetId="5622"/>
      <sheetData sheetId="5623"/>
      <sheetData sheetId="5624"/>
      <sheetData sheetId="5625"/>
      <sheetData sheetId="5626"/>
      <sheetData sheetId="5627"/>
      <sheetData sheetId="5628"/>
      <sheetData sheetId="5629"/>
      <sheetData sheetId="5630"/>
      <sheetData sheetId="5631"/>
      <sheetData sheetId="5632"/>
      <sheetData sheetId="5633"/>
      <sheetData sheetId="5634"/>
      <sheetData sheetId="5635"/>
      <sheetData sheetId="5636"/>
      <sheetData sheetId="5637"/>
      <sheetData sheetId="5638"/>
      <sheetData sheetId="5639"/>
      <sheetData sheetId="5640"/>
      <sheetData sheetId="5641"/>
      <sheetData sheetId="5642"/>
      <sheetData sheetId="5643"/>
      <sheetData sheetId="5644"/>
      <sheetData sheetId="5645"/>
      <sheetData sheetId="5646"/>
      <sheetData sheetId="5647"/>
      <sheetData sheetId="5648"/>
      <sheetData sheetId="5649"/>
      <sheetData sheetId="5650"/>
      <sheetData sheetId="5651"/>
      <sheetData sheetId="5652"/>
      <sheetData sheetId="5653"/>
      <sheetData sheetId="5654"/>
      <sheetData sheetId="5655"/>
      <sheetData sheetId="5656"/>
      <sheetData sheetId="5657"/>
      <sheetData sheetId="5658"/>
      <sheetData sheetId="5659"/>
      <sheetData sheetId="5660"/>
      <sheetData sheetId="5661"/>
      <sheetData sheetId="5662"/>
      <sheetData sheetId="5663"/>
      <sheetData sheetId="5664"/>
      <sheetData sheetId="5665"/>
      <sheetData sheetId="5666"/>
      <sheetData sheetId="5667"/>
      <sheetData sheetId="5668"/>
      <sheetData sheetId="5669"/>
      <sheetData sheetId="5670"/>
      <sheetData sheetId="5671"/>
      <sheetData sheetId="5672"/>
      <sheetData sheetId="5673"/>
      <sheetData sheetId="5674"/>
      <sheetData sheetId="5675"/>
      <sheetData sheetId="5676"/>
      <sheetData sheetId="5677"/>
      <sheetData sheetId="5678"/>
      <sheetData sheetId="5679"/>
      <sheetData sheetId="5680"/>
      <sheetData sheetId="5681"/>
      <sheetData sheetId="5682"/>
      <sheetData sheetId="5683"/>
      <sheetData sheetId="5684"/>
      <sheetData sheetId="5685"/>
      <sheetData sheetId="5686"/>
      <sheetData sheetId="5687"/>
      <sheetData sheetId="5688"/>
      <sheetData sheetId="5689"/>
      <sheetData sheetId="5690"/>
      <sheetData sheetId="5691"/>
      <sheetData sheetId="5692"/>
      <sheetData sheetId="5693"/>
      <sheetData sheetId="5694"/>
      <sheetData sheetId="5695"/>
      <sheetData sheetId="5696"/>
      <sheetData sheetId="5697"/>
      <sheetData sheetId="5698"/>
      <sheetData sheetId="5699"/>
      <sheetData sheetId="5700"/>
      <sheetData sheetId="5701"/>
      <sheetData sheetId="5702"/>
      <sheetData sheetId="5703"/>
      <sheetData sheetId="5704"/>
      <sheetData sheetId="5705"/>
      <sheetData sheetId="5706"/>
      <sheetData sheetId="5707"/>
      <sheetData sheetId="5708"/>
      <sheetData sheetId="5709"/>
      <sheetData sheetId="5710"/>
      <sheetData sheetId="5711"/>
      <sheetData sheetId="5712"/>
      <sheetData sheetId="5713"/>
      <sheetData sheetId="5714"/>
      <sheetData sheetId="5715"/>
      <sheetData sheetId="5716"/>
      <sheetData sheetId="5717"/>
      <sheetData sheetId="5718"/>
      <sheetData sheetId="5719"/>
      <sheetData sheetId="5720"/>
      <sheetData sheetId="5721"/>
      <sheetData sheetId="5722"/>
      <sheetData sheetId="5723"/>
      <sheetData sheetId="5724"/>
      <sheetData sheetId="5725"/>
      <sheetData sheetId="5726"/>
      <sheetData sheetId="5727"/>
      <sheetData sheetId="5728"/>
      <sheetData sheetId="5729"/>
      <sheetData sheetId="5730"/>
      <sheetData sheetId="5731"/>
      <sheetData sheetId="5732"/>
      <sheetData sheetId="5733"/>
      <sheetData sheetId="5734"/>
      <sheetData sheetId="5735"/>
      <sheetData sheetId="5736"/>
      <sheetData sheetId="5737"/>
      <sheetData sheetId="5738"/>
      <sheetData sheetId="5739"/>
      <sheetData sheetId="5740"/>
      <sheetData sheetId="5741"/>
      <sheetData sheetId="5742"/>
      <sheetData sheetId="5743"/>
      <sheetData sheetId="5744"/>
      <sheetData sheetId="5745"/>
      <sheetData sheetId="5746"/>
      <sheetData sheetId="5747"/>
      <sheetData sheetId="5748"/>
      <sheetData sheetId="5749"/>
      <sheetData sheetId="5750"/>
      <sheetData sheetId="5751"/>
      <sheetData sheetId="5752"/>
      <sheetData sheetId="5753"/>
      <sheetData sheetId="5754"/>
      <sheetData sheetId="5755"/>
      <sheetData sheetId="5756"/>
      <sheetData sheetId="5757"/>
      <sheetData sheetId="5758"/>
      <sheetData sheetId="5759"/>
      <sheetData sheetId="5760"/>
      <sheetData sheetId="5761"/>
      <sheetData sheetId="5762"/>
      <sheetData sheetId="5763"/>
      <sheetData sheetId="5764"/>
      <sheetData sheetId="5765"/>
      <sheetData sheetId="5766"/>
      <sheetData sheetId="5767"/>
      <sheetData sheetId="5768"/>
      <sheetData sheetId="5769"/>
      <sheetData sheetId="5770"/>
      <sheetData sheetId="5771"/>
      <sheetData sheetId="5772"/>
      <sheetData sheetId="5773"/>
      <sheetData sheetId="5774"/>
      <sheetData sheetId="5775"/>
      <sheetData sheetId="5776"/>
      <sheetData sheetId="5777"/>
      <sheetData sheetId="5778"/>
      <sheetData sheetId="5779"/>
      <sheetData sheetId="5780"/>
      <sheetData sheetId="5781"/>
      <sheetData sheetId="5782"/>
      <sheetData sheetId="5783"/>
      <sheetData sheetId="5784"/>
      <sheetData sheetId="5785"/>
      <sheetData sheetId="5786"/>
      <sheetData sheetId="5787"/>
      <sheetData sheetId="5788"/>
      <sheetData sheetId="5789"/>
      <sheetData sheetId="5790"/>
      <sheetData sheetId="5791"/>
      <sheetData sheetId="5792"/>
      <sheetData sheetId="5793"/>
      <sheetData sheetId="5794"/>
      <sheetData sheetId="5795"/>
      <sheetData sheetId="5796"/>
      <sheetData sheetId="5797"/>
      <sheetData sheetId="5798"/>
      <sheetData sheetId="5799"/>
      <sheetData sheetId="5800"/>
      <sheetData sheetId="5801"/>
      <sheetData sheetId="5802"/>
      <sheetData sheetId="5803"/>
      <sheetData sheetId="5804"/>
      <sheetData sheetId="5805"/>
      <sheetData sheetId="5806"/>
      <sheetData sheetId="5807"/>
      <sheetData sheetId="5808"/>
      <sheetData sheetId="5809"/>
      <sheetData sheetId="5810"/>
      <sheetData sheetId="5811"/>
      <sheetData sheetId="5812"/>
      <sheetData sheetId="5813"/>
      <sheetData sheetId="5814"/>
      <sheetData sheetId="5815"/>
      <sheetData sheetId="5816"/>
      <sheetData sheetId="5817"/>
      <sheetData sheetId="5818"/>
      <sheetData sheetId="5819"/>
      <sheetData sheetId="5820"/>
      <sheetData sheetId="5821"/>
      <sheetData sheetId="5822"/>
      <sheetData sheetId="5823"/>
      <sheetData sheetId="5824"/>
      <sheetData sheetId="5825"/>
      <sheetData sheetId="5826"/>
      <sheetData sheetId="5827"/>
      <sheetData sheetId="5828"/>
      <sheetData sheetId="5829"/>
      <sheetData sheetId="5830"/>
      <sheetData sheetId="5831"/>
      <sheetData sheetId="5832"/>
      <sheetData sheetId="5833"/>
      <sheetData sheetId="5834"/>
      <sheetData sheetId="5835"/>
      <sheetData sheetId="5836"/>
      <sheetData sheetId="5837"/>
      <sheetData sheetId="5838"/>
      <sheetData sheetId="5839"/>
      <sheetData sheetId="5840"/>
      <sheetData sheetId="5841"/>
      <sheetData sheetId="5842"/>
      <sheetData sheetId="5843"/>
      <sheetData sheetId="5844"/>
      <sheetData sheetId="5845"/>
      <sheetData sheetId="5846"/>
      <sheetData sheetId="5847"/>
      <sheetData sheetId="5848"/>
      <sheetData sheetId="5849"/>
      <sheetData sheetId="5850"/>
      <sheetData sheetId="5851"/>
      <sheetData sheetId="5852"/>
      <sheetData sheetId="5853"/>
      <sheetData sheetId="5854"/>
      <sheetData sheetId="5855"/>
      <sheetData sheetId="5856"/>
      <sheetData sheetId="5857"/>
      <sheetData sheetId="5858"/>
      <sheetData sheetId="5859"/>
      <sheetData sheetId="5860"/>
      <sheetData sheetId="5861"/>
      <sheetData sheetId="5862"/>
      <sheetData sheetId="5863"/>
      <sheetData sheetId="5864"/>
      <sheetData sheetId="5865"/>
      <sheetData sheetId="5866"/>
      <sheetData sheetId="5867"/>
      <sheetData sheetId="5868"/>
      <sheetData sheetId="5869"/>
      <sheetData sheetId="5870"/>
      <sheetData sheetId="5871"/>
      <sheetData sheetId="5872"/>
      <sheetData sheetId="5873"/>
      <sheetData sheetId="5874"/>
      <sheetData sheetId="5875"/>
      <sheetData sheetId="5876"/>
      <sheetData sheetId="5877"/>
      <sheetData sheetId="5878"/>
      <sheetData sheetId="5879"/>
      <sheetData sheetId="5880"/>
      <sheetData sheetId="5881"/>
      <sheetData sheetId="5882"/>
      <sheetData sheetId="5883"/>
      <sheetData sheetId="5884"/>
      <sheetData sheetId="5885"/>
      <sheetData sheetId="5886"/>
      <sheetData sheetId="5887"/>
      <sheetData sheetId="5888"/>
      <sheetData sheetId="5889"/>
      <sheetData sheetId="5890"/>
      <sheetData sheetId="5891"/>
      <sheetData sheetId="5892"/>
      <sheetData sheetId="5893"/>
      <sheetData sheetId="5894"/>
      <sheetData sheetId="5895"/>
      <sheetData sheetId="5896"/>
      <sheetData sheetId="5897"/>
      <sheetData sheetId="5898"/>
      <sheetData sheetId="5899"/>
      <sheetData sheetId="5900"/>
      <sheetData sheetId="5901"/>
      <sheetData sheetId="5902"/>
      <sheetData sheetId="5903"/>
      <sheetData sheetId="5904"/>
      <sheetData sheetId="5905"/>
      <sheetData sheetId="5906"/>
      <sheetData sheetId="5907"/>
      <sheetData sheetId="5908"/>
      <sheetData sheetId="5909"/>
      <sheetData sheetId="5910"/>
      <sheetData sheetId="5911"/>
      <sheetData sheetId="5912"/>
      <sheetData sheetId="5913"/>
      <sheetData sheetId="5914"/>
      <sheetData sheetId="5915"/>
      <sheetData sheetId="5916"/>
      <sheetData sheetId="5917"/>
      <sheetData sheetId="5918"/>
      <sheetData sheetId="5919"/>
      <sheetData sheetId="5920"/>
      <sheetData sheetId="5921"/>
      <sheetData sheetId="5922"/>
      <sheetData sheetId="5923"/>
      <sheetData sheetId="5924"/>
      <sheetData sheetId="5925"/>
      <sheetData sheetId="5926"/>
      <sheetData sheetId="5927"/>
      <sheetData sheetId="5928"/>
      <sheetData sheetId="5929"/>
      <sheetData sheetId="5930"/>
      <sheetData sheetId="5931"/>
      <sheetData sheetId="5932"/>
      <sheetData sheetId="5933"/>
      <sheetData sheetId="5934"/>
      <sheetData sheetId="5935"/>
      <sheetData sheetId="5936"/>
      <sheetData sheetId="5937"/>
      <sheetData sheetId="5938"/>
      <sheetData sheetId="5939"/>
      <sheetData sheetId="5940"/>
      <sheetData sheetId="5941"/>
      <sheetData sheetId="5942"/>
      <sheetData sheetId="5943"/>
      <sheetData sheetId="5944"/>
      <sheetData sheetId="5945"/>
      <sheetData sheetId="5946"/>
      <sheetData sheetId="5947"/>
      <sheetData sheetId="5948"/>
      <sheetData sheetId="5949"/>
      <sheetData sheetId="5950"/>
      <sheetData sheetId="5951"/>
      <sheetData sheetId="5952"/>
      <sheetData sheetId="5953"/>
      <sheetData sheetId="5954"/>
      <sheetData sheetId="5955"/>
      <sheetData sheetId="5956"/>
      <sheetData sheetId="5957"/>
      <sheetData sheetId="5958"/>
      <sheetData sheetId="5959"/>
      <sheetData sheetId="5960"/>
      <sheetData sheetId="5961"/>
      <sheetData sheetId="5962"/>
      <sheetData sheetId="5963"/>
      <sheetData sheetId="5964"/>
      <sheetData sheetId="5965"/>
      <sheetData sheetId="5966"/>
      <sheetData sheetId="5967"/>
      <sheetData sheetId="5968"/>
      <sheetData sheetId="5969"/>
      <sheetData sheetId="5970"/>
      <sheetData sheetId="5971"/>
      <sheetData sheetId="5972"/>
      <sheetData sheetId="5973"/>
      <sheetData sheetId="5974"/>
      <sheetData sheetId="5975"/>
      <sheetData sheetId="5976"/>
      <sheetData sheetId="5977"/>
      <sheetData sheetId="5978"/>
      <sheetData sheetId="5979"/>
      <sheetData sheetId="5980"/>
      <sheetData sheetId="5981"/>
      <sheetData sheetId="5982"/>
      <sheetData sheetId="5983"/>
      <sheetData sheetId="5984"/>
      <sheetData sheetId="5985"/>
      <sheetData sheetId="5986"/>
      <sheetData sheetId="5987"/>
      <sheetData sheetId="5988"/>
      <sheetData sheetId="5989"/>
      <sheetData sheetId="5990"/>
      <sheetData sheetId="5991"/>
      <sheetData sheetId="5992"/>
      <sheetData sheetId="5993"/>
      <sheetData sheetId="5994"/>
      <sheetData sheetId="5995"/>
      <sheetData sheetId="5996"/>
      <sheetData sheetId="5997"/>
      <sheetData sheetId="5998"/>
      <sheetData sheetId="5999"/>
      <sheetData sheetId="6000"/>
      <sheetData sheetId="6001"/>
      <sheetData sheetId="6002"/>
      <sheetData sheetId="6003"/>
      <sheetData sheetId="6004"/>
      <sheetData sheetId="6005"/>
      <sheetData sheetId="6006"/>
      <sheetData sheetId="6007"/>
      <sheetData sheetId="6008"/>
      <sheetData sheetId="6009"/>
      <sheetData sheetId="6010"/>
      <sheetData sheetId="6011"/>
      <sheetData sheetId="6012"/>
      <sheetData sheetId="6013"/>
      <sheetData sheetId="6014"/>
      <sheetData sheetId="6015"/>
      <sheetData sheetId="6016"/>
      <sheetData sheetId="6017"/>
      <sheetData sheetId="6018"/>
      <sheetData sheetId="6019"/>
      <sheetData sheetId="6020"/>
      <sheetData sheetId="6021"/>
      <sheetData sheetId="6022"/>
      <sheetData sheetId="6023"/>
      <sheetData sheetId="6024"/>
      <sheetData sheetId="6025"/>
      <sheetData sheetId="6026"/>
      <sheetData sheetId="6027"/>
      <sheetData sheetId="6028"/>
      <sheetData sheetId="6029"/>
      <sheetData sheetId="6030"/>
      <sheetData sheetId="6031"/>
      <sheetData sheetId="6032"/>
      <sheetData sheetId="6033"/>
      <sheetData sheetId="6034"/>
      <sheetData sheetId="6035"/>
      <sheetData sheetId="6036"/>
      <sheetData sheetId="6037"/>
      <sheetData sheetId="6038"/>
      <sheetData sheetId="6039"/>
      <sheetData sheetId="6040"/>
      <sheetData sheetId="6041"/>
      <sheetData sheetId="6042"/>
      <sheetData sheetId="6043"/>
      <sheetData sheetId="6044"/>
      <sheetData sheetId="6045"/>
      <sheetData sheetId="6046"/>
      <sheetData sheetId="6047"/>
      <sheetData sheetId="6048"/>
      <sheetData sheetId="6049"/>
      <sheetData sheetId="6050"/>
      <sheetData sheetId="6051"/>
      <sheetData sheetId="6052"/>
      <sheetData sheetId="6053"/>
      <sheetData sheetId="6054"/>
      <sheetData sheetId="6055"/>
      <sheetData sheetId="6056"/>
      <sheetData sheetId="6057"/>
      <sheetData sheetId="6058"/>
      <sheetData sheetId="6059"/>
      <sheetData sheetId="6060"/>
      <sheetData sheetId="6061"/>
      <sheetData sheetId="6062"/>
      <sheetData sheetId="6063"/>
      <sheetData sheetId="6064"/>
      <sheetData sheetId="6065"/>
      <sheetData sheetId="6066"/>
      <sheetData sheetId="6067"/>
      <sheetData sheetId="6068"/>
      <sheetData sheetId="6069"/>
      <sheetData sheetId="6070"/>
      <sheetData sheetId="6071"/>
      <sheetData sheetId="6072"/>
      <sheetData sheetId="6073"/>
      <sheetData sheetId="6074"/>
      <sheetData sheetId="6075"/>
      <sheetData sheetId="6076"/>
      <sheetData sheetId="6077"/>
      <sheetData sheetId="6078"/>
      <sheetData sheetId="6079"/>
      <sheetData sheetId="6080"/>
      <sheetData sheetId="6081"/>
      <sheetData sheetId="6082"/>
      <sheetData sheetId="6083"/>
      <sheetData sheetId="6084"/>
      <sheetData sheetId="6085"/>
      <sheetData sheetId="6086"/>
      <sheetData sheetId="6087"/>
      <sheetData sheetId="6088"/>
      <sheetData sheetId="6089"/>
      <sheetData sheetId="6090"/>
      <sheetData sheetId="6091"/>
      <sheetData sheetId="6092"/>
      <sheetData sheetId="6093"/>
      <sheetData sheetId="6094"/>
      <sheetData sheetId="6095"/>
      <sheetData sheetId="6096"/>
      <sheetData sheetId="6097"/>
      <sheetData sheetId="6098"/>
      <sheetData sheetId="6099"/>
      <sheetData sheetId="6100"/>
      <sheetData sheetId="6101"/>
      <sheetData sheetId="6102"/>
      <sheetData sheetId="6103"/>
      <sheetData sheetId="6104"/>
      <sheetData sheetId="6105"/>
      <sheetData sheetId="6106"/>
      <sheetData sheetId="6107"/>
      <sheetData sheetId="6108"/>
      <sheetData sheetId="6109"/>
      <sheetData sheetId="6110"/>
      <sheetData sheetId="6111"/>
      <sheetData sheetId="6112"/>
      <sheetData sheetId="6113"/>
      <sheetData sheetId="6114"/>
      <sheetData sheetId="6115"/>
      <sheetData sheetId="6116"/>
      <sheetData sheetId="6117"/>
      <sheetData sheetId="6118"/>
      <sheetData sheetId="6119"/>
      <sheetData sheetId="6120"/>
      <sheetData sheetId="6121"/>
      <sheetData sheetId="6122"/>
      <sheetData sheetId="6123"/>
      <sheetData sheetId="6124"/>
      <sheetData sheetId="6125"/>
      <sheetData sheetId="6126"/>
      <sheetData sheetId="6127"/>
      <sheetData sheetId="6128"/>
      <sheetData sheetId="6129"/>
      <sheetData sheetId="6130"/>
      <sheetData sheetId="6131"/>
      <sheetData sheetId="6132"/>
      <sheetData sheetId="6133"/>
      <sheetData sheetId="6134"/>
      <sheetData sheetId="6135"/>
      <sheetData sheetId="6136"/>
      <sheetData sheetId="6137"/>
      <sheetData sheetId="6138"/>
      <sheetData sheetId="6139"/>
      <sheetData sheetId="6140"/>
      <sheetData sheetId="6141"/>
      <sheetData sheetId="6142"/>
      <sheetData sheetId="6143"/>
      <sheetData sheetId="6144"/>
      <sheetData sheetId="6145"/>
      <sheetData sheetId="6146"/>
      <sheetData sheetId="6147"/>
      <sheetData sheetId="6148"/>
      <sheetData sheetId="6149"/>
      <sheetData sheetId="6150"/>
      <sheetData sheetId="6151"/>
      <sheetData sheetId="6152"/>
      <sheetData sheetId="6153"/>
      <sheetData sheetId="6154"/>
      <sheetData sheetId="6155"/>
      <sheetData sheetId="6156"/>
      <sheetData sheetId="6157"/>
      <sheetData sheetId="6158"/>
      <sheetData sheetId="6159"/>
      <sheetData sheetId="6160"/>
      <sheetData sheetId="6161"/>
      <sheetData sheetId="6162"/>
      <sheetData sheetId="6163"/>
      <sheetData sheetId="6164"/>
      <sheetData sheetId="6165"/>
      <sheetData sheetId="6166"/>
      <sheetData sheetId="6167"/>
      <sheetData sheetId="6168"/>
      <sheetData sheetId="6169"/>
      <sheetData sheetId="6170"/>
      <sheetData sheetId="6171"/>
      <sheetData sheetId="6172"/>
      <sheetData sheetId="6173"/>
      <sheetData sheetId="6174"/>
      <sheetData sheetId="6175"/>
      <sheetData sheetId="6176"/>
      <sheetData sheetId="6177"/>
      <sheetData sheetId="6178"/>
      <sheetData sheetId="6179"/>
      <sheetData sheetId="6180"/>
      <sheetData sheetId="6181"/>
      <sheetData sheetId="6182"/>
      <sheetData sheetId="6183"/>
      <sheetData sheetId="6184"/>
      <sheetData sheetId="6185"/>
      <sheetData sheetId="6186"/>
      <sheetData sheetId="6187"/>
      <sheetData sheetId="6188"/>
      <sheetData sheetId="6189"/>
      <sheetData sheetId="6190"/>
      <sheetData sheetId="6191"/>
      <sheetData sheetId="6192"/>
      <sheetData sheetId="6193"/>
      <sheetData sheetId="6194"/>
      <sheetData sheetId="6195"/>
      <sheetData sheetId="6196"/>
      <sheetData sheetId="6197"/>
      <sheetData sheetId="6198"/>
      <sheetData sheetId="6199"/>
      <sheetData sheetId="6200"/>
      <sheetData sheetId="6201"/>
      <sheetData sheetId="6202"/>
      <sheetData sheetId="6203"/>
      <sheetData sheetId="6204"/>
      <sheetData sheetId="6205"/>
      <sheetData sheetId="6206"/>
      <sheetData sheetId="6207"/>
      <sheetData sheetId="6208"/>
      <sheetData sheetId="6209"/>
      <sheetData sheetId="6210"/>
      <sheetData sheetId="6211"/>
      <sheetData sheetId="6212"/>
      <sheetData sheetId="6213"/>
      <sheetData sheetId="6214"/>
      <sheetData sheetId="6215"/>
      <sheetData sheetId="6216"/>
      <sheetData sheetId="6217"/>
      <sheetData sheetId="6218"/>
      <sheetData sheetId="6219"/>
      <sheetData sheetId="6220"/>
      <sheetData sheetId="6221"/>
      <sheetData sheetId="6222"/>
      <sheetData sheetId="6223"/>
      <sheetData sheetId="6224"/>
      <sheetData sheetId="6225"/>
      <sheetData sheetId="6226"/>
      <sheetData sheetId="6227"/>
      <sheetData sheetId="6228"/>
      <sheetData sheetId="6229"/>
      <sheetData sheetId="6230"/>
      <sheetData sheetId="6231"/>
      <sheetData sheetId="6232"/>
      <sheetData sheetId="6233"/>
      <sheetData sheetId="6234"/>
      <sheetData sheetId="6235"/>
      <sheetData sheetId="6236"/>
      <sheetData sheetId="6237"/>
      <sheetData sheetId="6238"/>
      <sheetData sheetId="6239"/>
      <sheetData sheetId="6240"/>
      <sheetData sheetId="6241"/>
      <sheetData sheetId="6242"/>
      <sheetData sheetId="6243"/>
      <sheetData sheetId="6244"/>
      <sheetData sheetId="6245"/>
      <sheetData sheetId="6246"/>
      <sheetData sheetId="6247"/>
      <sheetData sheetId="6248"/>
      <sheetData sheetId="6249"/>
      <sheetData sheetId="6250"/>
      <sheetData sheetId="6251"/>
      <sheetData sheetId="6252"/>
      <sheetData sheetId="6253"/>
      <sheetData sheetId="6254"/>
      <sheetData sheetId="6255"/>
      <sheetData sheetId="6256"/>
      <sheetData sheetId="6257"/>
      <sheetData sheetId="6258"/>
      <sheetData sheetId="6259"/>
      <sheetData sheetId="6260"/>
      <sheetData sheetId="6261"/>
      <sheetData sheetId="6262"/>
      <sheetData sheetId="6263"/>
      <sheetData sheetId="6264"/>
      <sheetData sheetId="6265"/>
      <sheetData sheetId="6266"/>
      <sheetData sheetId="6267"/>
      <sheetData sheetId="6268"/>
      <sheetData sheetId="6269"/>
      <sheetData sheetId="6270"/>
      <sheetData sheetId="6271"/>
      <sheetData sheetId="6272"/>
      <sheetData sheetId="6273"/>
      <sheetData sheetId="6274"/>
      <sheetData sheetId="6275"/>
      <sheetData sheetId="6276"/>
      <sheetData sheetId="6277"/>
      <sheetData sheetId="6278"/>
      <sheetData sheetId="6279"/>
      <sheetData sheetId="6280"/>
      <sheetData sheetId="6281"/>
      <sheetData sheetId="6282"/>
      <sheetData sheetId="6283"/>
      <sheetData sheetId="6284"/>
      <sheetData sheetId="6285"/>
      <sheetData sheetId="6286"/>
      <sheetData sheetId="6287"/>
      <sheetData sheetId="6288"/>
      <sheetData sheetId="6289"/>
      <sheetData sheetId="6290"/>
      <sheetData sheetId="6291"/>
      <sheetData sheetId="6292"/>
      <sheetData sheetId="6293"/>
      <sheetData sheetId="6294"/>
      <sheetData sheetId="6295"/>
      <sheetData sheetId="6296"/>
      <sheetData sheetId="6297"/>
      <sheetData sheetId="6298"/>
      <sheetData sheetId="6299"/>
      <sheetData sheetId="6300"/>
      <sheetData sheetId="6301"/>
      <sheetData sheetId="6302"/>
      <sheetData sheetId="6303"/>
      <sheetData sheetId="6304"/>
      <sheetData sheetId="6305"/>
      <sheetData sheetId="6306"/>
      <sheetData sheetId="6307"/>
      <sheetData sheetId="6308"/>
      <sheetData sheetId="6309"/>
      <sheetData sheetId="6310"/>
      <sheetData sheetId="6311"/>
      <sheetData sheetId="6312"/>
      <sheetData sheetId="6313"/>
      <sheetData sheetId="6314"/>
      <sheetData sheetId="6315"/>
      <sheetData sheetId="6316"/>
      <sheetData sheetId="6317"/>
      <sheetData sheetId="6318"/>
      <sheetData sheetId="6319"/>
      <sheetData sheetId="6320"/>
      <sheetData sheetId="6321"/>
      <sheetData sheetId="6322"/>
      <sheetData sheetId="6323"/>
      <sheetData sheetId="6324"/>
      <sheetData sheetId="6325"/>
      <sheetData sheetId="6326"/>
      <sheetData sheetId="6327"/>
      <sheetData sheetId="6328"/>
      <sheetData sheetId="6329"/>
      <sheetData sheetId="6330"/>
      <sheetData sheetId="6331"/>
      <sheetData sheetId="6332"/>
      <sheetData sheetId="6333"/>
      <sheetData sheetId="6334"/>
      <sheetData sheetId="6335"/>
      <sheetData sheetId="6336"/>
      <sheetData sheetId="6337"/>
      <sheetData sheetId="6338"/>
      <sheetData sheetId="6339"/>
      <sheetData sheetId="6340"/>
      <sheetData sheetId="6341"/>
      <sheetData sheetId="6342"/>
      <sheetData sheetId="6343"/>
      <sheetData sheetId="6344"/>
      <sheetData sheetId="6345"/>
      <sheetData sheetId="6346"/>
      <sheetData sheetId="6347"/>
      <sheetData sheetId="6348"/>
      <sheetData sheetId="6349"/>
      <sheetData sheetId="6350"/>
      <sheetData sheetId="6351"/>
      <sheetData sheetId="6352"/>
      <sheetData sheetId="6353"/>
      <sheetData sheetId="6354"/>
      <sheetData sheetId="6355"/>
      <sheetData sheetId="6356"/>
      <sheetData sheetId="6357"/>
      <sheetData sheetId="6358"/>
      <sheetData sheetId="6359"/>
      <sheetData sheetId="6360"/>
      <sheetData sheetId="6361"/>
      <sheetData sheetId="6362"/>
      <sheetData sheetId="6363"/>
      <sheetData sheetId="6364"/>
      <sheetData sheetId="6365"/>
      <sheetData sheetId="6366"/>
      <sheetData sheetId="6367"/>
      <sheetData sheetId="6368"/>
      <sheetData sheetId="6369"/>
      <sheetData sheetId="6370"/>
      <sheetData sheetId="6371"/>
      <sheetData sheetId="6372"/>
      <sheetData sheetId="6373"/>
      <sheetData sheetId="6374"/>
      <sheetData sheetId="6375"/>
      <sheetData sheetId="6376"/>
      <sheetData sheetId="6377"/>
      <sheetData sheetId="6378"/>
      <sheetData sheetId="6379"/>
      <sheetData sheetId="6380"/>
      <sheetData sheetId="6381"/>
      <sheetData sheetId="6382"/>
      <sheetData sheetId="6383"/>
      <sheetData sheetId="6384"/>
      <sheetData sheetId="6385"/>
      <sheetData sheetId="6386"/>
      <sheetData sheetId="6387"/>
      <sheetData sheetId="6388"/>
      <sheetData sheetId="6389"/>
      <sheetData sheetId="6390"/>
      <sheetData sheetId="6391"/>
      <sheetData sheetId="6392"/>
      <sheetData sheetId="6393"/>
      <sheetData sheetId="6394"/>
      <sheetData sheetId="6395"/>
      <sheetData sheetId="6396"/>
      <sheetData sheetId="6397"/>
      <sheetData sheetId="6398"/>
      <sheetData sheetId="6399"/>
      <sheetData sheetId="6400"/>
      <sheetData sheetId="6401"/>
      <sheetData sheetId="6402"/>
      <sheetData sheetId="6403"/>
      <sheetData sheetId="6404"/>
      <sheetData sheetId="6405"/>
      <sheetData sheetId="6406"/>
      <sheetData sheetId="6407"/>
      <sheetData sheetId="6408"/>
      <sheetData sheetId="6409"/>
      <sheetData sheetId="6410"/>
      <sheetData sheetId="6411"/>
      <sheetData sheetId="6412"/>
      <sheetData sheetId="6413"/>
      <sheetData sheetId="6414"/>
      <sheetData sheetId="6415"/>
      <sheetData sheetId="6416"/>
      <sheetData sheetId="6417"/>
      <sheetData sheetId="6418"/>
      <sheetData sheetId="6419"/>
      <sheetData sheetId="6420"/>
      <sheetData sheetId="6421"/>
      <sheetData sheetId="6422"/>
      <sheetData sheetId="6423"/>
      <sheetData sheetId="6424"/>
      <sheetData sheetId="6425"/>
      <sheetData sheetId="6426"/>
      <sheetData sheetId="6427"/>
      <sheetData sheetId="6428"/>
      <sheetData sheetId="6429"/>
      <sheetData sheetId="6430"/>
      <sheetData sheetId="6431"/>
      <sheetData sheetId="6432"/>
      <sheetData sheetId="6433"/>
      <sheetData sheetId="6434"/>
      <sheetData sheetId="6435"/>
      <sheetData sheetId="6436"/>
      <sheetData sheetId="6437"/>
      <sheetData sheetId="6438"/>
      <sheetData sheetId="6439"/>
      <sheetData sheetId="6440"/>
      <sheetData sheetId="6441"/>
      <sheetData sheetId="6442"/>
      <sheetData sheetId="6443"/>
      <sheetData sheetId="6444"/>
      <sheetData sheetId="6445"/>
      <sheetData sheetId="6446"/>
      <sheetData sheetId="6447"/>
      <sheetData sheetId="6448"/>
      <sheetData sheetId="6449"/>
      <sheetData sheetId="6450"/>
      <sheetData sheetId="6451"/>
      <sheetData sheetId="6452"/>
      <sheetData sheetId="6453"/>
      <sheetData sheetId="6454"/>
      <sheetData sheetId="6455"/>
      <sheetData sheetId="6456"/>
      <sheetData sheetId="6457"/>
      <sheetData sheetId="6458"/>
      <sheetData sheetId="6459"/>
      <sheetData sheetId="6460"/>
      <sheetData sheetId="6461"/>
      <sheetData sheetId="6462"/>
      <sheetData sheetId="6463"/>
      <sheetData sheetId="6464"/>
      <sheetData sheetId="6465"/>
      <sheetData sheetId="6466"/>
      <sheetData sheetId="6467"/>
      <sheetData sheetId="6468"/>
      <sheetData sheetId="6469"/>
      <sheetData sheetId="6470"/>
      <sheetData sheetId="6471"/>
      <sheetData sheetId="6472"/>
      <sheetData sheetId="6473"/>
      <sheetData sheetId="6474"/>
      <sheetData sheetId="6475"/>
      <sheetData sheetId="6476"/>
      <sheetData sheetId="6477"/>
      <sheetData sheetId="6478"/>
      <sheetData sheetId="6479"/>
      <sheetData sheetId="6480"/>
      <sheetData sheetId="6481"/>
      <sheetData sheetId="6482"/>
      <sheetData sheetId="6483"/>
      <sheetData sheetId="6484"/>
      <sheetData sheetId="6485"/>
      <sheetData sheetId="6486"/>
      <sheetData sheetId="6487"/>
      <sheetData sheetId="6488"/>
      <sheetData sheetId="6489"/>
      <sheetData sheetId="6490"/>
      <sheetData sheetId="6491"/>
      <sheetData sheetId="6492"/>
      <sheetData sheetId="6493"/>
      <sheetData sheetId="6494"/>
      <sheetData sheetId="6495"/>
      <sheetData sheetId="6496"/>
      <sheetData sheetId="6497"/>
      <sheetData sheetId="6498"/>
      <sheetData sheetId="6499"/>
      <sheetData sheetId="6500"/>
      <sheetData sheetId="6501"/>
      <sheetData sheetId="6502"/>
      <sheetData sheetId="6503"/>
      <sheetData sheetId="6504"/>
      <sheetData sheetId="6505"/>
      <sheetData sheetId="6506"/>
      <sheetData sheetId="6507"/>
      <sheetData sheetId="6508"/>
      <sheetData sheetId="6509"/>
      <sheetData sheetId="6510"/>
      <sheetData sheetId="6511"/>
      <sheetData sheetId="6512"/>
      <sheetData sheetId="6513"/>
      <sheetData sheetId="6514"/>
      <sheetData sheetId="6515"/>
      <sheetData sheetId="6516"/>
      <sheetData sheetId="6517"/>
      <sheetData sheetId="6518"/>
      <sheetData sheetId="6519"/>
      <sheetData sheetId="6520"/>
      <sheetData sheetId="6521"/>
      <sheetData sheetId="6522"/>
      <sheetData sheetId="6523"/>
      <sheetData sheetId="6524"/>
      <sheetData sheetId="6525"/>
      <sheetData sheetId="6526"/>
      <sheetData sheetId="6527"/>
      <sheetData sheetId="6528"/>
      <sheetData sheetId="6529"/>
      <sheetData sheetId="6530"/>
      <sheetData sheetId="6531"/>
      <sheetData sheetId="6532"/>
      <sheetData sheetId="6533"/>
      <sheetData sheetId="6534"/>
      <sheetData sheetId="6535"/>
      <sheetData sheetId="6536"/>
      <sheetData sheetId="6537"/>
      <sheetData sheetId="6538"/>
      <sheetData sheetId="6539"/>
      <sheetData sheetId="6540"/>
      <sheetData sheetId="6541"/>
      <sheetData sheetId="6542"/>
      <sheetData sheetId="6543"/>
      <sheetData sheetId="6544"/>
      <sheetData sheetId="6545"/>
      <sheetData sheetId="6546"/>
      <sheetData sheetId="6547"/>
      <sheetData sheetId="6548"/>
      <sheetData sheetId="6549"/>
      <sheetData sheetId="6550"/>
      <sheetData sheetId="6551"/>
      <sheetData sheetId="6552"/>
      <sheetData sheetId="6553"/>
      <sheetData sheetId="6554"/>
      <sheetData sheetId="6555"/>
      <sheetData sheetId="6556"/>
      <sheetData sheetId="6557"/>
      <sheetData sheetId="6558"/>
      <sheetData sheetId="6559"/>
      <sheetData sheetId="6560"/>
      <sheetData sheetId="6561"/>
      <sheetData sheetId="6562"/>
      <sheetData sheetId="6563"/>
      <sheetData sheetId="6564"/>
      <sheetData sheetId="6565"/>
      <sheetData sheetId="6566"/>
      <sheetData sheetId="6567"/>
      <sheetData sheetId="6568"/>
      <sheetData sheetId="6569"/>
      <sheetData sheetId="6570"/>
      <sheetData sheetId="6571"/>
      <sheetData sheetId="6572"/>
      <sheetData sheetId="6573"/>
      <sheetData sheetId="6574"/>
      <sheetData sheetId="6575"/>
      <sheetData sheetId="6576"/>
      <sheetData sheetId="6577"/>
      <sheetData sheetId="6578"/>
      <sheetData sheetId="6579"/>
      <sheetData sheetId="6580"/>
      <sheetData sheetId="6581"/>
      <sheetData sheetId="6582"/>
      <sheetData sheetId="6583"/>
      <sheetData sheetId="6584"/>
      <sheetData sheetId="6585"/>
      <sheetData sheetId="6586"/>
      <sheetData sheetId="6587"/>
      <sheetData sheetId="6588"/>
      <sheetData sheetId="6589"/>
      <sheetData sheetId="6590"/>
      <sheetData sheetId="6591"/>
      <sheetData sheetId="6592"/>
      <sheetData sheetId="6593"/>
      <sheetData sheetId="6594"/>
      <sheetData sheetId="6595"/>
      <sheetData sheetId="6596"/>
      <sheetData sheetId="6597"/>
      <sheetData sheetId="6598"/>
      <sheetData sheetId="6599"/>
      <sheetData sheetId="6600"/>
      <sheetData sheetId="6601"/>
      <sheetData sheetId="6602"/>
      <sheetData sheetId="6603"/>
      <sheetData sheetId="6604"/>
      <sheetData sheetId="6605"/>
      <sheetData sheetId="6606"/>
      <sheetData sheetId="6607"/>
      <sheetData sheetId="6608"/>
      <sheetData sheetId="6609"/>
      <sheetData sheetId="6610"/>
      <sheetData sheetId="6611"/>
      <sheetData sheetId="6612"/>
      <sheetData sheetId="6613"/>
      <sheetData sheetId="6614"/>
      <sheetData sheetId="6615"/>
      <sheetData sheetId="6616"/>
      <sheetData sheetId="6617"/>
      <sheetData sheetId="6618"/>
      <sheetData sheetId="6619"/>
      <sheetData sheetId="6620"/>
      <sheetData sheetId="6621"/>
      <sheetData sheetId="6622"/>
      <sheetData sheetId="6623"/>
      <sheetData sheetId="6624"/>
      <sheetData sheetId="6625"/>
      <sheetData sheetId="6626"/>
      <sheetData sheetId="6627"/>
      <sheetData sheetId="6628"/>
      <sheetData sheetId="6629"/>
      <sheetData sheetId="6630"/>
      <sheetData sheetId="6631"/>
      <sheetData sheetId="6632"/>
      <sheetData sheetId="6633"/>
      <sheetData sheetId="6634"/>
      <sheetData sheetId="6635"/>
      <sheetData sheetId="6636"/>
      <sheetData sheetId="6637"/>
      <sheetData sheetId="6638"/>
      <sheetData sheetId="6639"/>
      <sheetData sheetId="6640"/>
      <sheetData sheetId="6641"/>
      <sheetData sheetId="6642"/>
      <sheetData sheetId="6643"/>
      <sheetData sheetId="6644"/>
      <sheetData sheetId="6645"/>
      <sheetData sheetId="6646"/>
      <sheetData sheetId="6647"/>
      <sheetData sheetId="6648"/>
      <sheetData sheetId="6649"/>
      <sheetData sheetId="6650"/>
      <sheetData sheetId="6651"/>
      <sheetData sheetId="6652"/>
      <sheetData sheetId="6653"/>
      <sheetData sheetId="6654"/>
      <sheetData sheetId="6655"/>
      <sheetData sheetId="6656"/>
      <sheetData sheetId="6657"/>
      <sheetData sheetId="6658"/>
      <sheetData sheetId="6659"/>
      <sheetData sheetId="6660"/>
      <sheetData sheetId="6661"/>
      <sheetData sheetId="6662"/>
      <sheetData sheetId="6663"/>
      <sheetData sheetId="6664"/>
      <sheetData sheetId="6665"/>
      <sheetData sheetId="6666"/>
      <sheetData sheetId="6667"/>
      <sheetData sheetId="6668"/>
      <sheetData sheetId="6669"/>
      <sheetData sheetId="6670"/>
      <sheetData sheetId="6671"/>
      <sheetData sheetId="6672"/>
      <sheetData sheetId="6673"/>
      <sheetData sheetId="6674"/>
      <sheetData sheetId="6675"/>
      <sheetData sheetId="6676"/>
      <sheetData sheetId="6677"/>
      <sheetData sheetId="6678"/>
      <sheetData sheetId="6679"/>
      <sheetData sheetId="6680"/>
      <sheetData sheetId="6681"/>
      <sheetData sheetId="6682"/>
      <sheetData sheetId="6683"/>
      <sheetData sheetId="6684"/>
      <sheetData sheetId="6685"/>
      <sheetData sheetId="6686"/>
      <sheetData sheetId="6687"/>
      <sheetData sheetId="6688"/>
      <sheetData sheetId="6689"/>
      <sheetData sheetId="6690"/>
      <sheetData sheetId="6691"/>
      <sheetData sheetId="6692"/>
      <sheetData sheetId="6693"/>
      <sheetData sheetId="6694"/>
      <sheetData sheetId="6695"/>
      <sheetData sheetId="6696"/>
      <sheetData sheetId="6697"/>
      <sheetData sheetId="6698"/>
      <sheetData sheetId="6699"/>
      <sheetData sheetId="6700"/>
      <sheetData sheetId="6701"/>
      <sheetData sheetId="6702"/>
      <sheetData sheetId="6703"/>
      <sheetData sheetId="6704"/>
      <sheetData sheetId="6705"/>
      <sheetData sheetId="6706"/>
      <sheetData sheetId="6707"/>
      <sheetData sheetId="6708"/>
      <sheetData sheetId="6709"/>
      <sheetData sheetId="6710"/>
      <sheetData sheetId="6711"/>
      <sheetData sheetId="6712"/>
      <sheetData sheetId="6713"/>
      <sheetData sheetId="6714"/>
      <sheetData sheetId="6715"/>
      <sheetData sheetId="6716"/>
      <sheetData sheetId="6717"/>
      <sheetData sheetId="6718"/>
      <sheetData sheetId="6719"/>
      <sheetData sheetId="6720"/>
      <sheetData sheetId="6721"/>
      <sheetData sheetId="6722"/>
      <sheetData sheetId="6723"/>
      <sheetData sheetId="6724"/>
      <sheetData sheetId="6725"/>
      <sheetData sheetId="6726"/>
      <sheetData sheetId="6727"/>
      <sheetData sheetId="6728"/>
      <sheetData sheetId="6729"/>
      <sheetData sheetId="6730"/>
      <sheetData sheetId="6731"/>
      <sheetData sheetId="6732"/>
      <sheetData sheetId="6733"/>
      <sheetData sheetId="6734"/>
      <sheetData sheetId="6735"/>
      <sheetData sheetId="6736"/>
      <sheetData sheetId="6737"/>
      <sheetData sheetId="6738"/>
      <sheetData sheetId="6739"/>
      <sheetData sheetId="6740"/>
      <sheetData sheetId="6741"/>
      <sheetData sheetId="6742"/>
      <sheetData sheetId="6743"/>
      <sheetData sheetId="6744"/>
      <sheetData sheetId="6745"/>
      <sheetData sheetId="6746"/>
      <sheetData sheetId="6747"/>
      <sheetData sheetId="6748"/>
      <sheetData sheetId="6749"/>
      <sheetData sheetId="6750"/>
      <sheetData sheetId="6751"/>
      <sheetData sheetId="6752"/>
      <sheetData sheetId="6753"/>
      <sheetData sheetId="6754"/>
      <sheetData sheetId="6755"/>
      <sheetData sheetId="6756"/>
      <sheetData sheetId="6757"/>
      <sheetData sheetId="6758"/>
      <sheetData sheetId="6759"/>
      <sheetData sheetId="6760"/>
      <sheetData sheetId="6761"/>
      <sheetData sheetId="6762"/>
      <sheetData sheetId="6763"/>
      <sheetData sheetId="6764"/>
      <sheetData sheetId="6765"/>
      <sheetData sheetId="6766"/>
      <sheetData sheetId="6767"/>
      <sheetData sheetId="6768"/>
      <sheetData sheetId="6769"/>
      <sheetData sheetId="6770"/>
      <sheetData sheetId="6771"/>
      <sheetData sheetId="6772"/>
      <sheetData sheetId="6773"/>
      <sheetData sheetId="6774"/>
      <sheetData sheetId="6775"/>
      <sheetData sheetId="6776"/>
      <sheetData sheetId="6777"/>
      <sheetData sheetId="6778"/>
      <sheetData sheetId="6779"/>
      <sheetData sheetId="6780"/>
      <sheetData sheetId="6781"/>
      <sheetData sheetId="6782"/>
      <sheetData sheetId="6783"/>
      <sheetData sheetId="6784"/>
      <sheetData sheetId="6785"/>
      <sheetData sheetId="6786"/>
      <sheetData sheetId="6787"/>
      <sheetData sheetId="6788"/>
      <sheetData sheetId="6789"/>
      <sheetData sheetId="6790"/>
      <sheetData sheetId="6791"/>
      <sheetData sheetId="6792"/>
      <sheetData sheetId="6793"/>
      <sheetData sheetId="6794"/>
      <sheetData sheetId="6795"/>
      <sheetData sheetId="6796"/>
      <sheetData sheetId="6797"/>
      <sheetData sheetId="6798"/>
      <sheetData sheetId="6799"/>
      <sheetData sheetId="6800"/>
      <sheetData sheetId="6801"/>
      <sheetData sheetId="6802"/>
      <sheetData sheetId="6803"/>
      <sheetData sheetId="6804"/>
      <sheetData sheetId="6805"/>
      <sheetData sheetId="6806"/>
      <sheetData sheetId="6807"/>
      <sheetData sheetId="6808"/>
      <sheetData sheetId="6809"/>
      <sheetData sheetId="6810"/>
      <sheetData sheetId="6811"/>
      <sheetData sheetId="6812"/>
      <sheetData sheetId="6813"/>
      <sheetData sheetId="6814"/>
      <sheetData sheetId="6815"/>
      <sheetData sheetId="6816"/>
      <sheetData sheetId="6817"/>
      <sheetData sheetId="6818"/>
      <sheetData sheetId="6819"/>
      <sheetData sheetId="6820"/>
      <sheetData sheetId="6821"/>
      <sheetData sheetId="6822"/>
      <sheetData sheetId="6823"/>
      <sheetData sheetId="6824"/>
      <sheetData sheetId="6825"/>
      <sheetData sheetId="6826"/>
      <sheetData sheetId="6827"/>
      <sheetData sheetId="6828"/>
      <sheetData sheetId="6829"/>
      <sheetData sheetId="6830"/>
      <sheetData sheetId="6831"/>
      <sheetData sheetId="6832"/>
      <sheetData sheetId="6833"/>
      <sheetData sheetId="6834"/>
      <sheetData sheetId="6835"/>
      <sheetData sheetId="6836"/>
      <sheetData sheetId="6837"/>
      <sheetData sheetId="6838"/>
      <sheetData sheetId="6839"/>
      <sheetData sheetId="6840"/>
      <sheetData sheetId="6841"/>
      <sheetData sheetId="6842"/>
      <sheetData sheetId="6843"/>
      <sheetData sheetId="6844"/>
      <sheetData sheetId="6845"/>
      <sheetData sheetId="6846"/>
      <sheetData sheetId="6847"/>
      <sheetData sheetId="6848"/>
      <sheetData sheetId="6849"/>
      <sheetData sheetId="6850"/>
      <sheetData sheetId="6851"/>
      <sheetData sheetId="6852"/>
      <sheetData sheetId="6853"/>
      <sheetData sheetId="6854"/>
      <sheetData sheetId="6855"/>
      <sheetData sheetId="6856"/>
      <sheetData sheetId="6857"/>
      <sheetData sheetId="6858"/>
      <sheetData sheetId="6859"/>
      <sheetData sheetId="6860"/>
      <sheetData sheetId="6861"/>
      <sheetData sheetId="6862"/>
      <sheetData sheetId="6863"/>
      <sheetData sheetId="6864"/>
      <sheetData sheetId="6865"/>
      <sheetData sheetId="6866"/>
      <sheetData sheetId="6867"/>
      <sheetData sheetId="6868"/>
      <sheetData sheetId="6869"/>
      <sheetData sheetId="6870"/>
      <sheetData sheetId="6871"/>
      <sheetData sheetId="6872"/>
      <sheetData sheetId="6873"/>
      <sheetData sheetId="6874"/>
      <sheetData sheetId="6875"/>
      <sheetData sheetId="6876"/>
      <sheetData sheetId="6877"/>
      <sheetData sheetId="6878"/>
      <sheetData sheetId="6879"/>
      <sheetData sheetId="6880"/>
      <sheetData sheetId="6881"/>
      <sheetData sheetId="6882"/>
      <sheetData sheetId="6883"/>
      <sheetData sheetId="6884"/>
      <sheetData sheetId="6885"/>
      <sheetData sheetId="6886"/>
      <sheetData sheetId="6887"/>
      <sheetData sheetId="6888"/>
      <sheetData sheetId="6889"/>
      <sheetData sheetId="6890"/>
      <sheetData sheetId="6891"/>
      <sheetData sheetId="6892"/>
      <sheetData sheetId="6893"/>
      <sheetData sheetId="6894"/>
      <sheetData sheetId="6895"/>
      <sheetData sheetId="6896"/>
      <sheetData sheetId="6897"/>
      <sheetData sheetId="6898"/>
      <sheetData sheetId="6899"/>
      <sheetData sheetId="6900"/>
      <sheetData sheetId="6901"/>
      <sheetData sheetId="6902"/>
      <sheetData sheetId="6903"/>
      <sheetData sheetId="6904"/>
      <sheetData sheetId="6905"/>
      <sheetData sheetId="6906"/>
      <sheetData sheetId="6907"/>
      <sheetData sheetId="6908"/>
      <sheetData sheetId="6909"/>
      <sheetData sheetId="6910"/>
      <sheetData sheetId="6911"/>
      <sheetData sheetId="6912"/>
      <sheetData sheetId="6913"/>
      <sheetData sheetId="6914"/>
      <sheetData sheetId="6915"/>
      <sheetData sheetId="6916"/>
      <sheetData sheetId="6917"/>
      <sheetData sheetId="6918"/>
      <sheetData sheetId="6919"/>
      <sheetData sheetId="6920"/>
      <sheetData sheetId="6921"/>
      <sheetData sheetId="6922"/>
      <sheetData sheetId="6923"/>
      <sheetData sheetId="6924"/>
      <sheetData sheetId="6925"/>
      <sheetData sheetId="6926"/>
      <sheetData sheetId="6927"/>
      <sheetData sheetId="6928"/>
      <sheetData sheetId="6929"/>
      <sheetData sheetId="6930"/>
      <sheetData sheetId="6931"/>
      <sheetData sheetId="6932"/>
      <sheetData sheetId="6933"/>
      <sheetData sheetId="6934"/>
      <sheetData sheetId="6935"/>
      <sheetData sheetId="6936"/>
      <sheetData sheetId="6937"/>
      <sheetData sheetId="6938"/>
      <sheetData sheetId="6939"/>
      <sheetData sheetId="6940"/>
      <sheetData sheetId="6941"/>
      <sheetData sheetId="6942"/>
      <sheetData sheetId="6943"/>
      <sheetData sheetId="6944"/>
      <sheetData sheetId="6945"/>
      <sheetData sheetId="6946"/>
      <sheetData sheetId="6947"/>
      <sheetData sheetId="6948"/>
      <sheetData sheetId="6949"/>
      <sheetData sheetId="6950"/>
      <sheetData sheetId="6951"/>
      <sheetData sheetId="6952"/>
      <sheetData sheetId="6953"/>
      <sheetData sheetId="6954"/>
      <sheetData sheetId="6955"/>
      <sheetData sheetId="6956"/>
      <sheetData sheetId="6957"/>
      <sheetData sheetId="6958"/>
      <sheetData sheetId="6959"/>
      <sheetData sheetId="6960"/>
      <sheetData sheetId="6961"/>
      <sheetData sheetId="6962"/>
      <sheetData sheetId="6963"/>
      <sheetData sheetId="6964"/>
      <sheetData sheetId="6965"/>
      <sheetData sheetId="6966"/>
      <sheetData sheetId="6967"/>
      <sheetData sheetId="6968"/>
      <sheetData sheetId="6969"/>
      <sheetData sheetId="6970"/>
      <sheetData sheetId="6971"/>
      <sheetData sheetId="6972"/>
      <sheetData sheetId="6973"/>
      <sheetData sheetId="6974"/>
      <sheetData sheetId="6975"/>
      <sheetData sheetId="6976"/>
      <sheetData sheetId="6977"/>
      <sheetData sheetId="6978"/>
      <sheetData sheetId="6979"/>
      <sheetData sheetId="6980"/>
      <sheetData sheetId="6981"/>
      <sheetData sheetId="6982"/>
      <sheetData sheetId="6983"/>
      <sheetData sheetId="6984"/>
      <sheetData sheetId="6985"/>
      <sheetData sheetId="6986"/>
      <sheetData sheetId="6987"/>
      <sheetData sheetId="6988"/>
      <sheetData sheetId="6989"/>
      <sheetData sheetId="6990"/>
      <sheetData sheetId="6991"/>
      <sheetData sheetId="6992"/>
      <sheetData sheetId="6993"/>
      <sheetData sheetId="6994"/>
      <sheetData sheetId="6995"/>
      <sheetData sheetId="6996"/>
      <sheetData sheetId="6997"/>
      <sheetData sheetId="6998"/>
      <sheetData sheetId="6999"/>
      <sheetData sheetId="7000"/>
      <sheetData sheetId="7001"/>
      <sheetData sheetId="7002"/>
      <sheetData sheetId="7003"/>
      <sheetData sheetId="7004"/>
      <sheetData sheetId="7005"/>
      <sheetData sheetId="7006"/>
      <sheetData sheetId="7007"/>
      <sheetData sheetId="7008"/>
      <sheetData sheetId="7009"/>
      <sheetData sheetId="7010"/>
      <sheetData sheetId="7011"/>
      <sheetData sheetId="7012"/>
      <sheetData sheetId="7013"/>
      <sheetData sheetId="7014"/>
      <sheetData sheetId="7015"/>
      <sheetData sheetId="7016"/>
      <sheetData sheetId="7017"/>
      <sheetData sheetId="7018"/>
      <sheetData sheetId="7019"/>
      <sheetData sheetId="7020"/>
      <sheetData sheetId="7021"/>
      <sheetData sheetId="7022"/>
      <sheetData sheetId="7023"/>
      <sheetData sheetId="7024"/>
      <sheetData sheetId="7025"/>
      <sheetData sheetId="7026"/>
      <sheetData sheetId="7027"/>
      <sheetData sheetId="7028"/>
      <sheetData sheetId="7029"/>
      <sheetData sheetId="7030"/>
      <sheetData sheetId="7031"/>
      <sheetData sheetId="7032"/>
      <sheetData sheetId="7033"/>
      <sheetData sheetId="7034"/>
      <sheetData sheetId="7035"/>
      <sheetData sheetId="7036"/>
      <sheetData sheetId="7037"/>
      <sheetData sheetId="7038"/>
      <sheetData sheetId="7039"/>
      <sheetData sheetId="7040"/>
      <sheetData sheetId="7041"/>
      <sheetData sheetId="7042"/>
      <sheetData sheetId="7043"/>
      <sheetData sheetId="7044"/>
      <sheetData sheetId="7045"/>
      <sheetData sheetId="7046"/>
      <sheetData sheetId="7047"/>
      <sheetData sheetId="7048"/>
      <sheetData sheetId="7049"/>
      <sheetData sheetId="7050"/>
      <sheetData sheetId="7051"/>
      <sheetData sheetId="7052"/>
      <sheetData sheetId="7053"/>
      <sheetData sheetId="7054"/>
      <sheetData sheetId="7055"/>
      <sheetData sheetId="7056"/>
      <sheetData sheetId="7057"/>
      <sheetData sheetId="7058"/>
      <sheetData sheetId="7059"/>
      <sheetData sheetId="7060"/>
      <sheetData sheetId="7061"/>
      <sheetData sheetId="7062"/>
      <sheetData sheetId="7063"/>
      <sheetData sheetId="7064"/>
      <sheetData sheetId="7065"/>
      <sheetData sheetId="7066"/>
      <sheetData sheetId="7067"/>
      <sheetData sheetId="7068"/>
      <sheetData sheetId="7069"/>
      <sheetData sheetId="7070"/>
      <sheetData sheetId="7071"/>
      <sheetData sheetId="7072"/>
      <sheetData sheetId="7073"/>
      <sheetData sheetId="7074"/>
      <sheetData sheetId="7075"/>
      <sheetData sheetId="7076"/>
      <sheetData sheetId="7077"/>
      <sheetData sheetId="7078"/>
      <sheetData sheetId="7079"/>
      <sheetData sheetId="7080"/>
      <sheetData sheetId="7081"/>
      <sheetData sheetId="7082"/>
      <sheetData sheetId="7083"/>
      <sheetData sheetId="7084"/>
      <sheetData sheetId="7085"/>
      <sheetData sheetId="7086"/>
      <sheetData sheetId="7087"/>
      <sheetData sheetId="7088"/>
      <sheetData sheetId="7089"/>
      <sheetData sheetId="7090"/>
      <sheetData sheetId="7091"/>
      <sheetData sheetId="7092"/>
      <sheetData sheetId="7093"/>
      <sheetData sheetId="7094"/>
      <sheetData sheetId="7095"/>
      <sheetData sheetId="7096"/>
      <sheetData sheetId="7097"/>
      <sheetData sheetId="7098"/>
      <sheetData sheetId="7099"/>
      <sheetData sheetId="7100"/>
      <sheetData sheetId="7101"/>
      <sheetData sheetId="7102"/>
      <sheetData sheetId="7103"/>
      <sheetData sheetId="7104"/>
      <sheetData sheetId="7105"/>
      <sheetData sheetId="7106"/>
      <sheetData sheetId="7107"/>
      <sheetData sheetId="7108"/>
      <sheetData sheetId="7109"/>
      <sheetData sheetId="7110"/>
      <sheetData sheetId="7111"/>
      <sheetData sheetId="7112"/>
      <sheetData sheetId="7113"/>
      <sheetData sheetId="7114"/>
      <sheetData sheetId="7115"/>
      <sheetData sheetId="7116"/>
      <sheetData sheetId="7117"/>
      <sheetData sheetId="7118"/>
      <sheetData sheetId="7119"/>
      <sheetData sheetId="7120"/>
      <sheetData sheetId="7121"/>
      <sheetData sheetId="7122"/>
      <sheetData sheetId="7123"/>
      <sheetData sheetId="7124"/>
      <sheetData sheetId="7125"/>
      <sheetData sheetId="7126"/>
      <sheetData sheetId="7127"/>
      <sheetData sheetId="7128"/>
      <sheetData sheetId="7129"/>
      <sheetData sheetId="7130"/>
      <sheetData sheetId="7131"/>
      <sheetData sheetId="7132"/>
      <sheetData sheetId="7133"/>
      <sheetData sheetId="7134"/>
      <sheetData sheetId="7135"/>
      <sheetData sheetId="7136"/>
      <sheetData sheetId="7137"/>
      <sheetData sheetId="7138"/>
      <sheetData sheetId="7139"/>
      <sheetData sheetId="7140"/>
      <sheetData sheetId="7141"/>
      <sheetData sheetId="7142"/>
      <sheetData sheetId="7143"/>
      <sheetData sheetId="7144"/>
      <sheetData sheetId="7145"/>
      <sheetData sheetId="7146"/>
      <sheetData sheetId="7147"/>
      <sheetData sheetId="7148"/>
      <sheetData sheetId="7149"/>
      <sheetData sheetId="7150"/>
      <sheetData sheetId="7151"/>
      <sheetData sheetId="7152"/>
      <sheetData sheetId="7153"/>
      <sheetData sheetId="7154"/>
      <sheetData sheetId="7155"/>
      <sheetData sheetId="7156"/>
      <sheetData sheetId="7157"/>
      <sheetData sheetId="7158"/>
      <sheetData sheetId="7159"/>
      <sheetData sheetId="7160"/>
      <sheetData sheetId="7161"/>
      <sheetData sheetId="7162"/>
      <sheetData sheetId="7163"/>
      <sheetData sheetId="7164"/>
      <sheetData sheetId="7165"/>
      <sheetData sheetId="7166"/>
      <sheetData sheetId="7167"/>
      <sheetData sheetId="7168"/>
      <sheetData sheetId="7169"/>
      <sheetData sheetId="7170"/>
      <sheetData sheetId="7171"/>
      <sheetData sheetId="7172"/>
      <sheetData sheetId="7173"/>
      <sheetData sheetId="7174"/>
      <sheetData sheetId="7175"/>
      <sheetData sheetId="7176"/>
      <sheetData sheetId="7177"/>
      <sheetData sheetId="7178"/>
      <sheetData sheetId="7179"/>
      <sheetData sheetId="7180"/>
      <sheetData sheetId="7181"/>
      <sheetData sheetId="7182"/>
      <sheetData sheetId="7183"/>
      <sheetData sheetId="7184"/>
      <sheetData sheetId="7185"/>
      <sheetData sheetId="7186"/>
      <sheetData sheetId="7187"/>
      <sheetData sheetId="7188"/>
      <sheetData sheetId="7189"/>
      <sheetData sheetId="7190"/>
      <sheetData sheetId="7191"/>
      <sheetData sheetId="7192"/>
      <sheetData sheetId="7193"/>
      <sheetData sheetId="7194"/>
      <sheetData sheetId="7195"/>
      <sheetData sheetId="7196"/>
      <sheetData sheetId="7197"/>
      <sheetData sheetId="7198"/>
      <sheetData sheetId="7199"/>
      <sheetData sheetId="7200"/>
      <sheetData sheetId="7201"/>
      <sheetData sheetId="7202"/>
      <sheetData sheetId="7203"/>
      <sheetData sheetId="7204"/>
      <sheetData sheetId="7205"/>
      <sheetData sheetId="7206"/>
      <sheetData sheetId="7207"/>
      <sheetData sheetId="7208"/>
      <sheetData sheetId="7209"/>
      <sheetData sheetId="7210"/>
      <sheetData sheetId="7211"/>
      <sheetData sheetId="7212"/>
      <sheetData sheetId="7213"/>
      <sheetData sheetId="7214"/>
      <sheetData sheetId="7215"/>
      <sheetData sheetId="7216"/>
      <sheetData sheetId="7217"/>
      <sheetData sheetId="7218"/>
      <sheetData sheetId="7219"/>
      <sheetData sheetId="7220"/>
      <sheetData sheetId="7221"/>
      <sheetData sheetId="7222"/>
      <sheetData sheetId="7223"/>
      <sheetData sheetId="7224"/>
      <sheetData sheetId="7225"/>
      <sheetData sheetId="7226"/>
      <sheetData sheetId="7227"/>
      <sheetData sheetId="7228"/>
      <sheetData sheetId="7229"/>
      <sheetData sheetId="7230"/>
      <sheetData sheetId="7231"/>
      <sheetData sheetId="7232"/>
      <sheetData sheetId="7233"/>
      <sheetData sheetId="7234"/>
      <sheetData sheetId="7235"/>
      <sheetData sheetId="7236"/>
      <sheetData sheetId="7237"/>
      <sheetData sheetId="7238"/>
      <sheetData sheetId="7239"/>
      <sheetData sheetId="7240"/>
      <sheetData sheetId="7241"/>
      <sheetData sheetId="7242"/>
      <sheetData sheetId="7243"/>
      <sheetData sheetId="7244"/>
      <sheetData sheetId="7245"/>
      <sheetData sheetId="7246"/>
      <sheetData sheetId="7247"/>
      <sheetData sheetId="7248"/>
      <sheetData sheetId="7249"/>
      <sheetData sheetId="7250"/>
      <sheetData sheetId="7251"/>
      <sheetData sheetId="7252"/>
      <sheetData sheetId="7253"/>
      <sheetData sheetId="7254"/>
      <sheetData sheetId="7255"/>
      <sheetData sheetId="7256"/>
      <sheetData sheetId="7257"/>
      <sheetData sheetId="7258"/>
      <sheetData sheetId="7259"/>
      <sheetData sheetId="7260"/>
      <sheetData sheetId="7261"/>
      <sheetData sheetId="7262"/>
      <sheetData sheetId="7263"/>
      <sheetData sheetId="7264"/>
      <sheetData sheetId="7265"/>
      <sheetData sheetId="7266"/>
      <sheetData sheetId="7267"/>
      <sheetData sheetId="7268"/>
      <sheetData sheetId="7269"/>
      <sheetData sheetId="7270"/>
      <sheetData sheetId="7271"/>
      <sheetData sheetId="7272"/>
      <sheetData sheetId="7273"/>
      <sheetData sheetId="7274"/>
      <sheetData sheetId="7275"/>
      <sheetData sheetId="7276"/>
      <sheetData sheetId="7277"/>
      <sheetData sheetId="7278"/>
      <sheetData sheetId="7279"/>
      <sheetData sheetId="7280"/>
      <sheetData sheetId="7281"/>
      <sheetData sheetId="7282"/>
      <sheetData sheetId="7283"/>
      <sheetData sheetId="7284"/>
      <sheetData sheetId="7285"/>
      <sheetData sheetId="7286"/>
      <sheetData sheetId="7287"/>
      <sheetData sheetId="7288"/>
      <sheetData sheetId="7289"/>
      <sheetData sheetId="7290"/>
      <sheetData sheetId="7291"/>
      <sheetData sheetId="7292"/>
      <sheetData sheetId="7293"/>
      <sheetData sheetId="7294"/>
      <sheetData sheetId="7295"/>
      <sheetData sheetId="7296"/>
      <sheetData sheetId="7297"/>
      <sheetData sheetId="7298"/>
      <sheetData sheetId="7299"/>
      <sheetData sheetId="7300"/>
      <sheetData sheetId="7301"/>
      <sheetData sheetId="7302"/>
      <sheetData sheetId="7303"/>
      <sheetData sheetId="7304"/>
      <sheetData sheetId="7305"/>
      <sheetData sheetId="7306"/>
      <sheetData sheetId="7307"/>
      <sheetData sheetId="7308"/>
      <sheetData sheetId="7309"/>
      <sheetData sheetId="7310"/>
      <sheetData sheetId="7311" refreshError="1"/>
      <sheetData sheetId="7312" refreshError="1"/>
      <sheetData sheetId="7313" refreshError="1"/>
      <sheetData sheetId="7314" refreshError="1"/>
      <sheetData sheetId="7315"/>
      <sheetData sheetId="7316"/>
      <sheetData sheetId="7317"/>
      <sheetData sheetId="7318"/>
      <sheetData sheetId="7319"/>
      <sheetData sheetId="7320"/>
      <sheetData sheetId="7321"/>
      <sheetData sheetId="7322"/>
      <sheetData sheetId="7323"/>
      <sheetData sheetId="7324"/>
      <sheetData sheetId="7325"/>
      <sheetData sheetId="7326"/>
      <sheetData sheetId="7327"/>
      <sheetData sheetId="7328"/>
      <sheetData sheetId="7329"/>
      <sheetData sheetId="7330"/>
      <sheetData sheetId="7331"/>
      <sheetData sheetId="7332"/>
      <sheetData sheetId="7333"/>
      <sheetData sheetId="7334"/>
      <sheetData sheetId="7335"/>
      <sheetData sheetId="7336"/>
      <sheetData sheetId="7337"/>
      <sheetData sheetId="7338"/>
      <sheetData sheetId="7339"/>
      <sheetData sheetId="7340"/>
      <sheetData sheetId="7341"/>
      <sheetData sheetId="7342"/>
      <sheetData sheetId="7343"/>
      <sheetData sheetId="7344"/>
      <sheetData sheetId="7345"/>
      <sheetData sheetId="7346"/>
      <sheetData sheetId="7347"/>
      <sheetData sheetId="7348"/>
      <sheetData sheetId="7349"/>
      <sheetData sheetId="7350"/>
      <sheetData sheetId="7351"/>
      <sheetData sheetId="7352"/>
      <sheetData sheetId="7353"/>
      <sheetData sheetId="7354"/>
      <sheetData sheetId="7355"/>
      <sheetData sheetId="7356"/>
      <sheetData sheetId="7357"/>
      <sheetData sheetId="7358"/>
      <sheetData sheetId="7359"/>
      <sheetData sheetId="7360"/>
      <sheetData sheetId="7361"/>
      <sheetData sheetId="7362"/>
      <sheetData sheetId="7363"/>
      <sheetData sheetId="7364"/>
      <sheetData sheetId="7365"/>
      <sheetData sheetId="7366"/>
      <sheetData sheetId="7367"/>
      <sheetData sheetId="7368"/>
      <sheetData sheetId="7369"/>
      <sheetData sheetId="7370"/>
      <sheetData sheetId="7371"/>
      <sheetData sheetId="7372"/>
      <sheetData sheetId="7373"/>
      <sheetData sheetId="7374"/>
      <sheetData sheetId="7375"/>
      <sheetData sheetId="7376"/>
      <sheetData sheetId="7377"/>
      <sheetData sheetId="7378"/>
      <sheetData sheetId="7379"/>
      <sheetData sheetId="7380"/>
      <sheetData sheetId="7381"/>
      <sheetData sheetId="7382"/>
      <sheetData sheetId="7383"/>
      <sheetData sheetId="7384"/>
      <sheetData sheetId="7385"/>
      <sheetData sheetId="7386"/>
      <sheetData sheetId="7387"/>
      <sheetData sheetId="7388"/>
      <sheetData sheetId="7389"/>
      <sheetData sheetId="7390"/>
      <sheetData sheetId="7391"/>
      <sheetData sheetId="7392"/>
      <sheetData sheetId="7393"/>
      <sheetData sheetId="7394"/>
      <sheetData sheetId="7395"/>
      <sheetData sheetId="7396"/>
      <sheetData sheetId="7397"/>
      <sheetData sheetId="7398"/>
      <sheetData sheetId="7399"/>
      <sheetData sheetId="7400"/>
      <sheetData sheetId="7401"/>
      <sheetData sheetId="7402"/>
      <sheetData sheetId="7403"/>
      <sheetData sheetId="7404"/>
      <sheetData sheetId="7405"/>
      <sheetData sheetId="7406"/>
      <sheetData sheetId="7407"/>
      <sheetData sheetId="7408"/>
      <sheetData sheetId="7409"/>
      <sheetData sheetId="7410"/>
      <sheetData sheetId="7411"/>
      <sheetData sheetId="7412"/>
      <sheetData sheetId="7413"/>
      <sheetData sheetId="7414"/>
      <sheetData sheetId="7415"/>
      <sheetData sheetId="7416"/>
      <sheetData sheetId="7417"/>
      <sheetData sheetId="7418"/>
      <sheetData sheetId="7419"/>
      <sheetData sheetId="7420"/>
      <sheetData sheetId="7421"/>
      <sheetData sheetId="7422"/>
      <sheetData sheetId="7423"/>
      <sheetData sheetId="7424"/>
      <sheetData sheetId="7425"/>
      <sheetData sheetId="7426"/>
      <sheetData sheetId="7427"/>
      <sheetData sheetId="7428"/>
      <sheetData sheetId="7429"/>
      <sheetData sheetId="7430"/>
      <sheetData sheetId="7431"/>
      <sheetData sheetId="7432"/>
      <sheetData sheetId="7433"/>
      <sheetData sheetId="7434"/>
      <sheetData sheetId="7435"/>
      <sheetData sheetId="7436"/>
      <sheetData sheetId="7437"/>
      <sheetData sheetId="7438"/>
      <sheetData sheetId="7439"/>
      <sheetData sheetId="7440"/>
      <sheetData sheetId="7441"/>
      <sheetData sheetId="7442"/>
      <sheetData sheetId="7443"/>
      <sheetData sheetId="7444"/>
      <sheetData sheetId="7445"/>
      <sheetData sheetId="7446"/>
      <sheetData sheetId="7447"/>
      <sheetData sheetId="7448"/>
      <sheetData sheetId="7449"/>
      <sheetData sheetId="7450"/>
      <sheetData sheetId="7451"/>
      <sheetData sheetId="7452"/>
      <sheetData sheetId="7453"/>
      <sheetData sheetId="7454"/>
      <sheetData sheetId="7455"/>
      <sheetData sheetId="7456"/>
      <sheetData sheetId="7457"/>
      <sheetData sheetId="7458"/>
      <sheetData sheetId="7459"/>
      <sheetData sheetId="7460"/>
      <sheetData sheetId="7461"/>
      <sheetData sheetId="7462"/>
      <sheetData sheetId="7463"/>
      <sheetData sheetId="7464"/>
      <sheetData sheetId="7465"/>
      <sheetData sheetId="7466"/>
      <sheetData sheetId="7467"/>
      <sheetData sheetId="7468"/>
      <sheetData sheetId="7469"/>
      <sheetData sheetId="7470"/>
      <sheetData sheetId="7471"/>
      <sheetData sheetId="7472"/>
      <sheetData sheetId="7473"/>
      <sheetData sheetId="7474"/>
      <sheetData sheetId="7475"/>
      <sheetData sheetId="7476"/>
      <sheetData sheetId="7477"/>
      <sheetData sheetId="7478"/>
      <sheetData sheetId="7479"/>
      <sheetData sheetId="7480"/>
      <sheetData sheetId="7481"/>
      <sheetData sheetId="7482"/>
      <sheetData sheetId="7483"/>
      <sheetData sheetId="7484"/>
      <sheetData sheetId="7485"/>
      <sheetData sheetId="7486"/>
      <sheetData sheetId="7487"/>
      <sheetData sheetId="7488"/>
      <sheetData sheetId="7489"/>
      <sheetData sheetId="7490"/>
      <sheetData sheetId="7491"/>
      <sheetData sheetId="7492"/>
      <sheetData sheetId="7493"/>
      <sheetData sheetId="7494"/>
      <sheetData sheetId="7495"/>
      <sheetData sheetId="7496"/>
      <sheetData sheetId="7497"/>
      <sheetData sheetId="7498"/>
      <sheetData sheetId="7499"/>
      <sheetData sheetId="7500"/>
      <sheetData sheetId="7501"/>
      <sheetData sheetId="7502"/>
      <sheetData sheetId="7503"/>
      <sheetData sheetId="7504"/>
      <sheetData sheetId="7505"/>
      <sheetData sheetId="7506"/>
      <sheetData sheetId="7507"/>
      <sheetData sheetId="7508"/>
      <sheetData sheetId="7509"/>
      <sheetData sheetId="7510"/>
      <sheetData sheetId="7511"/>
      <sheetData sheetId="7512"/>
      <sheetData sheetId="7513"/>
      <sheetData sheetId="7514"/>
      <sheetData sheetId="7515"/>
      <sheetData sheetId="7516"/>
      <sheetData sheetId="7517"/>
      <sheetData sheetId="7518"/>
      <sheetData sheetId="7519"/>
      <sheetData sheetId="7520"/>
      <sheetData sheetId="7521"/>
      <sheetData sheetId="7522"/>
      <sheetData sheetId="7523"/>
      <sheetData sheetId="7524"/>
      <sheetData sheetId="7525"/>
      <sheetData sheetId="7526"/>
      <sheetData sheetId="7527"/>
      <sheetData sheetId="7528"/>
      <sheetData sheetId="7529"/>
      <sheetData sheetId="7530"/>
      <sheetData sheetId="7531"/>
      <sheetData sheetId="7532"/>
      <sheetData sheetId="7533"/>
      <sheetData sheetId="7534"/>
      <sheetData sheetId="7535"/>
      <sheetData sheetId="7536"/>
      <sheetData sheetId="7537"/>
      <sheetData sheetId="7538"/>
      <sheetData sheetId="7539"/>
      <sheetData sheetId="7540"/>
      <sheetData sheetId="7541"/>
      <sheetData sheetId="7542"/>
      <sheetData sheetId="7543"/>
      <sheetData sheetId="7544"/>
      <sheetData sheetId="7545"/>
      <sheetData sheetId="7546"/>
      <sheetData sheetId="7547"/>
      <sheetData sheetId="7548"/>
      <sheetData sheetId="7549"/>
      <sheetData sheetId="7550"/>
      <sheetData sheetId="7551"/>
      <sheetData sheetId="7552"/>
      <sheetData sheetId="7553"/>
      <sheetData sheetId="7554"/>
      <sheetData sheetId="7555"/>
      <sheetData sheetId="7556"/>
      <sheetData sheetId="7557"/>
      <sheetData sheetId="7558"/>
      <sheetData sheetId="7559"/>
      <sheetData sheetId="7560"/>
      <sheetData sheetId="7561"/>
      <sheetData sheetId="7562"/>
      <sheetData sheetId="7563"/>
      <sheetData sheetId="7564"/>
      <sheetData sheetId="7565"/>
      <sheetData sheetId="7566"/>
      <sheetData sheetId="7567"/>
      <sheetData sheetId="7568"/>
      <sheetData sheetId="7569"/>
      <sheetData sheetId="7570"/>
      <sheetData sheetId="7571"/>
      <sheetData sheetId="7572"/>
      <sheetData sheetId="7573"/>
      <sheetData sheetId="7574"/>
      <sheetData sheetId="7575"/>
      <sheetData sheetId="7576"/>
      <sheetData sheetId="7577"/>
      <sheetData sheetId="7578"/>
      <sheetData sheetId="7579"/>
      <sheetData sheetId="7580"/>
      <sheetData sheetId="7581"/>
      <sheetData sheetId="7582"/>
      <sheetData sheetId="7583"/>
      <sheetData sheetId="7584"/>
      <sheetData sheetId="7585"/>
      <sheetData sheetId="7586"/>
      <sheetData sheetId="7587"/>
      <sheetData sheetId="7588"/>
      <sheetData sheetId="7589"/>
      <sheetData sheetId="7590"/>
      <sheetData sheetId="7591"/>
      <sheetData sheetId="7592"/>
      <sheetData sheetId="7593"/>
      <sheetData sheetId="7594"/>
      <sheetData sheetId="7595"/>
      <sheetData sheetId="7596"/>
      <sheetData sheetId="7597"/>
      <sheetData sheetId="7598"/>
      <sheetData sheetId="7599"/>
      <sheetData sheetId="7600"/>
      <sheetData sheetId="7601"/>
      <sheetData sheetId="7602"/>
      <sheetData sheetId="7603"/>
      <sheetData sheetId="7604"/>
      <sheetData sheetId="7605"/>
      <sheetData sheetId="7606"/>
      <sheetData sheetId="7607"/>
      <sheetData sheetId="7608"/>
      <sheetData sheetId="7609"/>
      <sheetData sheetId="7610"/>
      <sheetData sheetId="7611"/>
      <sheetData sheetId="7612"/>
      <sheetData sheetId="7613"/>
      <sheetData sheetId="7614"/>
      <sheetData sheetId="7615"/>
      <sheetData sheetId="7616"/>
      <sheetData sheetId="7617"/>
      <sheetData sheetId="7618"/>
      <sheetData sheetId="7619"/>
      <sheetData sheetId="7620"/>
      <sheetData sheetId="7621"/>
      <sheetData sheetId="7622"/>
      <sheetData sheetId="7623"/>
      <sheetData sheetId="7624"/>
      <sheetData sheetId="7625"/>
      <sheetData sheetId="7626"/>
      <sheetData sheetId="7627"/>
      <sheetData sheetId="7628"/>
      <sheetData sheetId="7629"/>
      <sheetData sheetId="7630"/>
      <sheetData sheetId="7631"/>
      <sheetData sheetId="7632"/>
      <sheetData sheetId="7633"/>
      <sheetData sheetId="7634"/>
      <sheetData sheetId="7635"/>
      <sheetData sheetId="7636"/>
      <sheetData sheetId="7637"/>
      <sheetData sheetId="7638"/>
      <sheetData sheetId="7639"/>
      <sheetData sheetId="7640"/>
      <sheetData sheetId="7641"/>
      <sheetData sheetId="7642"/>
      <sheetData sheetId="7643"/>
      <sheetData sheetId="7644"/>
      <sheetData sheetId="7645"/>
      <sheetData sheetId="7646"/>
      <sheetData sheetId="7647"/>
      <sheetData sheetId="7648"/>
      <sheetData sheetId="7649"/>
      <sheetData sheetId="7650"/>
      <sheetData sheetId="7651"/>
      <sheetData sheetId="7652"/>
      <sheetData sheetId="7653"/>
      <sheetData sheetId="7654"/>
      <sheetData sheetId="7655"/>
      <sheetData sheetId="7656"/>
      <sheetData sheetId="7657"/>
      <sheetData sheetId="7658"/>
      <sheetData sheetId="7659"/>
      <sheetData sheetId="7660"/>
      <sheetData sheetId="7661"/>
      <sheetData sheetId="7662"/>
      <sheetData sheetId="7663"/>
      <sheetData sheetId="7664"/>
      <sheetData sheetId="7665"/>
      <sheetData sheetId="7666"/>
      <sheetData sheetId="7667"/>
      <sheetData sheetId="7668"/>
      <sheetData sheetId="7669"/>
      <sheetData sheetId="7670"/>
      <sheetData sheetId="7671"/>
      <sheetData sheetId="7672"/>
      <sheetData sheetId="7673"/>
      <sheetData sheetId="7674"/>
      <sheetData sheetId="7675"/>
      <sheetData sheetId="7676"/>
      <sheetData sheetId="7677"/>
      <sheetData sheetId="7678"/>
      <sheetData sheetId="7679"/>
      <sheetData sheetId="7680"/>
      <sheetData sheetId="7681"/>
      <sheetData sheetId="7682"/>
      <sheetData sheetId="7683"/>
      <sheetData sheetId="7684"/>
      <sheetData sheetId="7685"/>
      <sheetData sheetId="7686"/>
      <sheetData sheetId="7687"/>
      <sheetData sheetId="7688"/>
      <sheetData sheetId="7689"/>
      <sheetData sheetId="7690"/>
      <sheetData sheetId="7691"/>
      <sheetData sheetId="7692"/>
      <sheetData sheetId="7693"/>
      <sheetData sheetId="7694"/>
      <sheetData sheetId="7695"/>
      <sheetData sheetId="7696"/>
      <sheetData sheetId="7697"/>
      <sheetData sheetId="7698"/>
      <sheetData sheetId="7699"/>
      <sheetData sheetId="7700"/>
      <sheetData sheetId="7701"/>
      <sheetData sheetId="7702"/>
      <sheetData sheetId="7703"/>
      <sheetData sheetId="7704"/>
      <sheetData sheetId="7705"/>
      <sheetData sheetId="7706"/>
      <sheetData sheetId="7707"/>
      <sheetData sheetId="7708"/>
      <sheetData sheetId="7709"/>
      <sheetData sheetId="7710"/>
      <sheetData sheetId="7711"/>
      <sheetData sheetId="7712"/>
      <sheetData sheetId="7713"/>
      <sheetData sheetId="7714"/>
      <sheetData sheetId="7715"/>
      <sheetData sheetId="7716"/>
      <sheetData sheetId="7717"/>
      <sheetData sheetId="7718"/>
      <sheetData sheetId="7719"/>
      <sheetData sheetId="7720"/>
      <sheetData sheetId="7721"/>
      <sheetData sheetId="7722"/>
      <sheetData sheetId="7723"/>
      <sheetData sheetId="7724"/>
      <sheetData sheetId="7725"/>
      <sheetData sheetId="7726"/>
      <sheetData sheetId="7727"/>
      <sheetData sheetId="7728"/>
      <sheetData sheetId="7729"/>
      <sheetData sheetId="7730"/>
      <sheetData sheetId="7731"/>
      <sheetData sheetId="7732"/>
      <sheetData sheetId="7733"/>
      <sheetData sheetId="7734"/>
      <sheetData sheetId="7735"/>
      <sheetData sheetId="7736"/>
      <sheetData sheetId="7737"/>
      <sheetData sheetId="7738"/>
      <sheetData sheetId="7739"/>
      <sheetData sheetId="7740"/>
      <sheetData sheetId="7741"/>
      <sheetData sheetId="7742"/>
      <sheetData sheetId="7743"/>
      <sheetData sheetId="7744"/>
      <sheetData sheetId="7745"/>
      <sheetData sheetId="7746"/>
      <sheetData sheetId="7747"/>
      <sheetData sheetId="7748"/>
      <sheetData sheetId="7749"/>
      <sheetData sheetId="7750"/>
      <sheetData sheetId="7751"/>
      <sheetData sheetId="7752"/>
      <sheetData sheetId="7753"/>
      <sheetData sheetId="7754"/>
      <sheetData sheetId="7755"/>
      <sheetData sheetId="7756"/>
      <sheetData sheetId="7757"/>
      <sheetData sheetId="7758"/>
      <sheetData sheetId="7759"/>
      <sheetData sheetId="7760"/>
      <sheetData sheetId="7761"/>
      <sheetData sheetId="7762"/>
      <sheetData sheetId="7763"/>
      <sheetData sheetId="7764"/>
      <sheetData sheetId="7765"/>
      <sheetData sheetId="7766"/>
      <sheetData sheetId="7767"/>
      <sheetData sheetId="7768"/>
      <sheetData sheetId="7769"/>
      <sheetData sheetId="7770"/>
      <sheetData sheetId="7771"/>
      <sheetData sheetId="7772"/>
      <sheetData sheetId="7773"/>
      <sheetData sheetId="7774"/>
      <sheetData sheetId="7775"/>
      <sheetData sheetId="7776"/>
      <sheetData sheetId="7777"/>
      <sheetData sheetId="7778"/>
      <sheetData sheetId="7779"/>
      <sheetData sheetId="7780"/>
      <sheetData sheetId="7781"/>
      <sheetData sheetId="7782"/>
      <sheetData sheetId="7783"/>
      <sheetData sheetId="7784"/>
      <sheetData sheetId="7785"/>
      <sheetData sheetId="7786"/>
      <sheetData sheetId="7787"/>
      <sheetData sheetId="7788"/>
      <sheetData sheetId="7789"/>
      <sheetData sheetId="7790"/>
      <sheetData sheetId="7791"/>
      <sheetData sheetId="7792"/>
      <sheetData sheetId="7793"/>
      <sheetData sheetId="7794"/>
      <sheetData sheetId="7795"/>
      <sheetData sheetId="7796"/>
      <sheetData sheetId="7797"/>
      <sheetData sheetId="7798"/>
      <sheetData sheetId="7799"/>
      <sheetData sheetId="7800"/>
      <sheetData sheetId="7801"/>
      <sheetData sheetId="7802"/>
      <sheetData sheetId="7803"/>
      <sheetData sheetId="7804"/>
      <sheetData sheetId="7805"/>
      <sheetData sheetId="7806"/>
      <sheetData sheetId="7807"/>
      <sheetData sheetId="7808"/>
      <sheetData sheetId="7809"/>
      <sheetData sheetId="7810"/>
      <sheetData sheetId="7811"/>
      <sheetData sheetId="7812"/>
      <sheetData sheetId="7813"/>
      <sheetData sheetId="7814"/>
      <sheetData sheetId="7815"/>
      <sheetData sheetId="7816"/>
      <sheetData sheetId="7817"/>
      <sheetData sheetId="7818"/>
      <sheetData sheetId="7819"/>
      <sheetData sheetId="7820"/>
      <sheetData sheetId="7821"/>
      <sheetData sheetId="7822"/>
      <sheetData sheetId="7823"/>
      <sheetData sheetId="7824"/>
      <sheetData sheetId="7825"/>
      <sheetData sheetId="7826"/>
      <sheetData sheetId="7827"/>
      <sheetData sheetId="7828"/>
      <sheetData sheetId="7829"/>
      <sheetData sheetId="7830"/>
      <sheetData sheetId="7831"/>
      <sheetData sheetId="7832"/>
      <sheetData sheetId="7833"/>
      <sheetData sheetId="7834"/>
      <sheetData sheetId="7835"/>
      <sheetData sheetId="7836"/>
      <sheetData sheetId="7837"/>
      <sheetData sheetId="7838"/>
      <sheetData sheetId="7839"/>
      <sheetData sheetId="7840"/>
      <sheetData sheetId="7841"/>
      <sheetData sheetId="7842"/>
      <sheetData sheetId="7843"/>
      <sheetData sheetId="7844"/>
      <sheetData sheetId="7845"/>
      <sheetData sheetId="7846"/>
      <sheetData sheetId="7847"/>
      <sheetData sheetId="7848"/>
      <sheetData sheetId="7849"/>
      <sheetData sheetId="7850"/>
      <sheetData sheetId="7851"/>
      <sheetData sheetId="7852"/>
      <sheetData sheetId="7853"/>
      <sheetData sheetId="7854"/>
      <sheetData sheetId="7855"/>
      <sheetData sheetId="7856"/>
      <sheetData sheetId="7857"/>
      <sheetData sheetId="7858"/>
      <sheetData sheetId="7859"/>
      <sheetData sheetId="7860"/>
      <sheetData sheetId="7861"/>
      <sheetData sheetId="7862"/>
      <sheetData sheetId="7863"/>
      <sheetData sheetId="7864"/>
      <sheetData sheetId="7865"/>
      <sheetData sheetId="7866"/>
      <sheetData sheetId="7867"/>
      <sheetData sheetId="7868"/>
      <sheetData sheetId="7869"/>
      <sheetData sheetId="7870"/>
      <sheetData sheetId="7871"/>
      <sheetData sheetId="7872"/>
      <sheetData sheetId="7873"/>
      <sheetData sheetId="7874"/>
      <sheetData sheetId="7875"/>
      <sheetData sheetId="7876"/>
      <sheetData sheetId="7877"/>
      <sheetData sheetId="7878"/>
      <sheetData sheetId="7879"/>
      <sheetData sheetId="7880"/>
      <sheetData sheetId="7881"/>
      <sheetData sheetId="7882"/>
      <sheetData sheetId="7883"/>
      <sheetData sheetId="7884"/>
      <sheetData sheetId="7885"/>
      <sheetData sheetId="7886"/>
      <sheetData sheetId="7887"/>
      <sheetData sheetId="7888"/>
      <sheetData sheetId="7889"/>
      <sheetData sheetId="7890"/>
      <sheetData sheetId="7891"/>
      <sheetData sheetId="7892"/>
      <sheetData sheetId="7893"/>
      <sheetData sheetId="7894"/>
      <sheetData sheetId="7895"/>
      <sheetData sheetId="7896"/>
      <sheetData sheetId="7897"/>
      <sheetData sheetId="7898"/>
      <sheetData sheetId="7899"/>
      <sheetData sheetId="7900"/>
      <sheetData sheetId="7901"/>
      <sheetData sheetId="7902"/>
      <sheetData sheetId="7903"/>
      <sheetData sheetId="7904"/>
      <sheetData sheetId="7905"/>
      <sheetData sheetId="7906"/>
      <sheetData sheetId="7907"/>
      <sheetData sheetId="7908"/>
      <sheetData sheetId="7909"/>
      <sheetData sheetId="7910"/>
      <sheetData sheetId="7911"/>
      <sheetData sheetId="7912"/>
      <sheetData sheetId="7913"/>
      <sheetData sheetId="7914"/>
      <sheetData sheetId="7915"/>
      <sheetData sheetId="7916"/>
      <sheetData sheetId="7917"/>
      <sheetData sheetId="7918"/>
      <sheetData sheetId="7919"/>
      <sheetData sheetId="7920"/>
      <sheetData sheetId="7921"/>
      <sheetData sheetId="7922"/>
      <sheetData sheetId="7923"/>
      <sheetData sheetId="7924"/>
      <sheetData sheetId="7925"/>
      <sheetData sheetId="7926"/>
      <sheetData sheetId="7927"/>
      <sheetData sheetId="7928"/>
      <sheetData sheetId="7929"/>
      <sheetData sheetId="7930"/>
      <sheetData sheetId="7931"/>
      <sheetData sheetId="7932"/>
      <sheetData sheetId="7933"/>
      <sheetData sheetId="7934"/>
      <sheetData sheetId="7935"/>
      <sheetData sheetId="7936"/>
      <sheetData sheetId="7937"/>
      <sheetData sheetId="7938"/>
      <sheetData sheetId="7939"/>
      <sheetData sheetId="7940"/>
      <sheetData sheetId="7941"/>
      <sheetData sheetId="7942"/>
      <sheetData sheetId="7943"/>
      <sheetData sheetId="7944"/>
      <sheetData sheetId="7945"/>
      <sheetData sheetId="7946"/>
      <sheetData sheetId="7947"/>
      <sheetData sheetId="7948"/>
      <sheetData sheetId="7949"/>
      <sheetData sheetId="7950"/>
      <sheetData sheetId="7951"/>
      <sheetData sheetId="7952"/>
      <sheetData sheetId="7953"/>
      <sheetData sheetId="7954"/>
      <sheetData sheetId="7955"/>
      <sheetData sheetId="7956"/>
      <sheetData sheetId="7957"/>
      <sheetData sheetId="7958"/>
      <sheetData sheetId="7959"/>
      <sheetData sheetId="7960"/>
      <sheetData sheetId="7961"/>
      <sheetData sheetId="7962"/>
      <sheetData sheetId="7963"/>
      <sheetData sheetId="7964"/>
      <sheetData sheetId="7965"/>
      <sheetData sheetId="7966"/>
      <sheetData sheetId="7967"/>
      <sheetData sheetId="7968"/>
      <sheetData sheetId="7969"/>
      <sheetData sheetId="7970"/>
      <sheetData sheetId="7971"/>
      <sheetData sheetId="7972"/>
      <sheetData sheetId="7973"/>
      <sheetData sheetId="7974"/>
      <sheetData sheetId="7975"/>
      <sheetData sheetId="7976"/>
      <sheetData sheetId="7977"/>
      <sheetData sheetId="7978"/>
      <sheetData sheetId="7979"/>
      <sheetData sheetId="7980"/>
      <sheetData sheetId="7981"/>
      <sheetData sheetId="7982"/>
      <sheetData sheetId="7983"/>
      <sheetData sheetId="7984"/>
      <sheetData sheetId="7985"/>
      <sheetData sheetId="7986"/>
      <sheetData sheetId="7987"/>
      <sheetData sheetId="7988"/>
      <sheetData sheetId="7989"/>
      <sheetData sheetId="7990"/>
      <sheetData sheetId="7991"/>
      <sheetData sheetId="7992"/>
      <sheetData sheetId="7993"/>
      <sheetData sheetId="7994"/>
      <sheetData sheetId="7995"/>
      <sheetData sheetId="7996"/>
      <sheetData sheetId="7997"/>
      <sheetData sheetId="7998"/>
      <sheetData sheetId="7999"/>
      <sheetData sheetId="8000"/>
      <sheetData sheetId="8001"/>
      <sheetData sheetId="8002"/>
      <sheetData sheetId="8003"/>
      <sheetData sheetId="8004"/>
      <sheetData sheetId="8005"/>
      <sheetData sheetId="8006"/>
      <sheetData sheetId="8007"/>
      <sheetData sheetId="8008"/>
      <sheetData sheetId="8009"/>
      <sheetData sheetId="8010"/>
      <sheetData sheetId="8011"/>
      <sheetData sheetId="8012"/>
      <sheetData sheetId="8013"/>
      <sheetData sheetId="8014"/>
      <sheetData sheetId="8015"/>
      <sheetData sheetId="8016"/>
      <sheetData sheetId="8017"/>
      <sheetData sheetId="8018"/>
      <sheetData sheetId="8019"/>
      <sheetData sheetId="8020"/>
      <sheetData sheetId="8021"/>
      <sheetData sheetId="8022"/>
      <sheetData sheetId="8023"/>
      <sheetData sheetId="8024"/>
      <sheetData sheetId="8025"/>
      <sheetData sheetId="8026"/>
      <sheetData sheetId="8027"/>
      <sheetData sheetId="8028"/>
      <sheetData sheetId="8029"/>
      <sheetData sheetId="8030"/>
      <sheetData sheetId="8031"/>
      <sheetData sheetId="8032"/>
      <sheetData sheetId="8033"/>
      <sheetData sheetId="8034"/>
      <sheetData sheetId="8035"/>
      <sheetData sheetId="8036"/>
      <sheetData sheetId="8037"/>
      <sheetData sheetId="8038"/>
      <sheetData sheetId="8039"/>
      <sheetData sheetId="8040"/>
      <sheetData sheetId="8041"/>
      <sheetData sheetId="8042"/>
      <sheetData sheetId="8043"/>
      <sheetData sheetId="8044"/>
      <sheetData sheetId="8045"/>
      <sheetData sheetId="8046"/>
      <sheetData sheetId="8047"/>
      <sheetData sheetId="8048"/>
      <sheetData sheetId="8049"/>
      <sheetData sheetId="8050"/>
      <sheetData sheetId="8051"/>
      <sheetData sheetId="8052"/>
      <sheetData sheetId="8053"/>
      <sheetData sheetId="8054"/>
      <sheetData sheetId="8055"/>
      <sheetData sheetId="8056"/>
      <sheetData sheetId="8057"/>
      <sheetData sheetId="8058"/>
      <sheetData sheetId="8059"/>
      <sheetData sheetId="8060"/>
      <sheetData sheetId="8061"/>
      <sheetData sheetId="8062"/>
      <sheetData sheetId="8063"/>
      <sheetData sheetId="8064"/>
      <sheetData sheetId="8065"/>
      <sheetData sheetId="8066"/>
      <sheetData sheetId="8067"/>
      <sheetData sheetId="8068"/>
      <sheetData sheetId="8069"/>
      <sheetData sheetId="8070"/>
      <sheetData sheetId="8071"/>
      <sheetData sheetId="8072"/>
      <sheetData sheetId="8073"/>
      <sheetData sheetId="8074"/>
      <sheetData sheetId="8075"/>
      <sheetData sheetId="8076"/>
      <sheetData sheetId="8077"/>
      <sheetData sheetId="8078"/>
      <sheetData sheetId="8079"/>
      <sheetData sheetId="8080"/>
      <sheetData sheetId="8081"/>
      <sheetData sheetId="8082"/>
      <sheetData sheetId="8083"/>
      <sheetData sheetId="8084"/>
      <sheetData sheetId="8085"/>
      <sheetData sheetId="8086"/>
      <sheetData sheetId="8087"/>
      <sheetData sheetId="8088"/>
      <sheetData sheetId="8089"/>
      <sheetData sheetId="8090"/>
      <sheetData sheetId="8091"/>
      <sheetData sheetId="8092"/>
      <sheetData sheetId="8093"/>
      <sheetData sheetId="8094"/>
      <sheetData sheetId="8095"/>
      <sheetData sheetId="8096"/>
      <sheetData sheetId="8097"/>
      <sheetData sheetId="8098"/>
      <sheetData sheetId="8099"/>
      <sheetData sheetId="8100"/>
      <sheetData sheetId="8101"/>
      <sheetData sheetId="8102"/>
      <sheetData sheetId="8103"/>
      <sheetData sheetId="8104"/>
      <sheetData sheetId="8105"/>
      <sheetData sheetId="8106"/>
      <sheetData sheetId="8107"/>
      <sheetData sheetId="8108"/>
      <sheetData sheetId="8109"/>
      <sheetData sheetId="8110"/>
      <sheetData sheetId="8111"/>
      <sheetData sheetId="8112"/>
      <sheetData sheetId="8113"/>
      <sheetData sheetId="8114"/>
      <sheetData sheetId="8115"/>
      <sheetData sheetId="8116"/>
      <sheetData sheetId="8117"/>
      <sheetData sheetId="8118"/>
      <sheetData sheetId="8119"/>
      <sheetData sheetId="8120"/>
      <sheetData sheetId="8121" refreshError="1"/>
      <sheetData sheetId="8122" refreshError="1"/>
      <sheetData sheetId="8123" refreshError="1"/>
      <sheetData sheetId="8124" refreshError="1"/>
      <sheetData sheetId="8125"/>
      <sheetData sheetId="8126" refreshError="1"/>
      <sheetData sheetId="8127" refreshError="1"/>
      <sheetData sheetId="8128" refreshError="1"/>
      <sheetData sheetId="8129" refreshError="1"/>
      <sheetData sheetId="8130"/>
      <sheetData sheetId="8131"/>
      <sheetData sheetId="8132"/>
      <sheetData sheetId="8133" refreshError="1"/>
      <sheetData sheetId="8134"/>
      <sheetData sheetId="8135"/>
      <sheetData sheetId="8136" refreshError="1"/>
      <sheetData sheetId="8137"/>
      <sheetData sheetId="8138" refreshError="1"/>
      <sheetData sheetId="8139" refreshError="1"/>
      <sheetData sheetId="8140" refreshError="1"/>
      <sheetData sheetId="8141" refreshError="1"/>
      <sheetData sheetId="8142" refreshError="1"/>
      <sheetData sheetId="8143" refreshError="1"/>
      <sheetData sheetId="8144" refreshError="1"/>
      <sheetData sheetId="8145" refreshError="1"/>
      <sheetData sheetId="8146" refreshError="1"/>
      <sheetData sheetId="8147" refreshError="1"/>
      <sheetData sheetId="8148" refreshError="1"/>
      <sheetData sheetId="8149" refreshError="1"/>
      <sheetData sheetId="8150" refreshError="1"/>
      <sheetData sheetId="8151" refreshError="1"/>
      <sheetData sheetId="8152" refreshError="1"/>
      <sheetData sheetId="8153" refreshError="1"/>
      <sheetData sheetId="8154" refreshError="1"/>
      <sheetData sheetId="8155" refreshError="1"/>
      <sheetData sheetId="8156" refreshError="1"/>
      <sheetData sheetId="8157" refreshError="1"/>
      <sheetData sheetId="8158" refreshError="1"/>
      <sheetData sheetId="8159" refreshError="1"/>
      <sheetData sheetId="8160" refreshError="1"/>
      <sheetData sheetId="8161" refreshError="1"/>
      <sheetData sheetId="8162" refreshError="1"/>
      <sheetData sheetId="8163" refreshError="1"/>
      <sheetData sheetId="8164" refreshError="1"/>
      <sheetData sheetId="8165" refreshError="1"/>
      <sheetData sheetId="8166" refreshError="1"/>
      <sheetData sheetId="8167" refreshError="1"/>
      <sheetData sheetId="8168" refreshError="1"/>
      <sheetData sheetId="8169" refreshError="1"/>
      <sheetData sheetId="8170" refreshError="1"/>
      <sheetData sheetId="8171" refreshError="1"/>
      <sheetData sheetId="8172" refreshError="1"/>
      <sheetData sheetId="8173" refreshError="1"/>
      <sheetData sheetId="8174" refreshError="1"/>
      <sheetData sheetId="8175" refreshError="1"/>
      <sheetData sheetId="8176" refreshError="1"/>
      <sheetData sheetId="8177" refreshError="1"/>
      <sheetData sheetId="8178"/>
      <sheetData sheetId="8179"/>
      <sheetData sheetId="8180"/>
      <sheetData sheetId="8181"/>
      <sheetData sheetId="8182"/>
      <sheetData sheetId="8183"/>
      <sheetData sheetId="8184"/>
      <sheetData sheetId="8185"/>
      <sheetData sheetId="8186"/>
      <sheetData sheetId="8187"/>
      <sheetData sheetId="8188"/>
      <sheetData sheetId="8189"/>
      <sheetData sheetId="8190"/>
      <sheetData sheetId="8191" refreshError="1"/>
      <sheetData sheetId="8192" refreshError="1"/>
      <sheetData sheetId="8193" refreshError="1"/>
      <sheetData sheetId="8194" refreshError="1"/>
      <sheetData sheetId="8195" refreshError="1"/>
      <sheetData sheetId="8196" refreshError="1"/>
      <sheetData sheetId="8197" refreshError="1"/>
      <sheetData sheetId="8198" refreshError="1"/>
      <sheetData sheetId="8199" refreshError="1"/>
      <sheetData sheetId="8200" refreshError="1"/>
      <sheetData sheetId="8201" refreshError="1"/>
      <sheetData sheetId="8202" refreshError="1"/>
      <sheetData sheetId="8203" refreshError="1"/>
      <sheetData sheetId="8204" refreshError="1"/>
      <sheetData sheetId="8205" refreshError="1"/>
      <sheetData sheetId="8206"/>
      <sheetData sheetId="8207"/>
      <sheetData sheetId="8208"/>
      <sheetData sheetId="8209" refreshError="1"/>
      <sheetData sheetId="8210" refreshError="1"/>
      <sheetData sheetId="8211" refreshError="1"/>
      <sheetData sheetId="8212" refreshError="1"/>
      <sheetData sheetId="8213" refreshError="1"/>
      <sheetData sheetId="8214" refreshError="1"/>
      <sheetData sheetId="8215" refreshError="1"/>
      <sheetData sheetId="8216" refreshError="1"/>
      <sheetData sheetId="8217"/>
      <sheetData sheetId="8218"/>
      <sheetData sheetId="8219"/>
      <sheetData sheetId="8220"/>
      <sheetData sheetId="8221"/>
      <sheetData sheetId="8222" refreshError="1"/>
      <sheetData sheetId="8223" refreshError="1"/>
      <sheetData sheetId="8224" refreshError="1"/>
      <sheetData sheetId="8225" refreshError="1"/>
      <sheetData sheetId="8226" refreshError="1"/>
      <sheetData sheetId="82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TH-Newcastle"/>
      <sheetName val="INFO"/>
      <sheetName val="TH-&gt;CBR"/>
      <sheetName val="TH-&gt;GC"/>
      <sheetName val="TH-&gt;SYD"/>
      <sheetName val="BbQuantityLink"/>
      <sheetName val="Comparison"/>
      <sheetName val="India-&gt;SYD"/>
      <sheetName val="CN-&gt;GC"/>
      <sheetName val="T-&gt;CBR"/>
      <sheetName val="T-&gt;GC"/>
      <sheetName val="T-&gt;SY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v>1.5</v>
          </cell>
        </row>
      </sheetData>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UT)"/>
      <sheetName val="SELL (EE)"/>
      <sheetName val="SELL (AC)"/>
      <sheetName val="SELL"/>
      <sheetName val="SUM-AIR-Submit"/>
      <sheetName val="SUM-UT(A)-Submit"/>
      <sheetName val="SUM-UT(B)-Submit"/>
      <sheetName val="SUM-EE-Submit"/>
      <sheetName val="sum-sys"/>
      <sheetName val="Vender-Me"/>
      <sheetName val="Vender-EE"/>
      <sheetName val="Scope of work "/>
      <sheetName val=""/>
      <sheetName val="Total-Summary (for owner)-r1"/>
      <sheetName val="SELL_(UT)"/>
      <sheetName val="SELL_(EE)"/>
      <sheetName val="SELL_(AC)"/>
      <sheetName val="Scope_of_work_"/>
      <sheetName val="SELL_(UT)2"/>
      <sheetName val="SELL_(EE)2"/>
      <sheetName val="SELL_(AC)2"/>
      <sheetName val="Scope_of_work_2"/>
      <sheetName val="SELL_(UT)1"/>
      <sheetName val="SELL_(EE)1"/>
      <sheetName val="SELL_(AC)1"/>
      <sheetName val="Scope_of_work_1"/>
      <sheetName val="Option1"/>
      <sheetName val="BOQFinishing"/>
      <sheetName val="BOQExterior Work"/>
      <sheetName val="BOQStructure"/>
      <sheetName val="ALLRABDATA"/>
      <sheetName val="Equipment"/>
      <sheetName val="Total-Summary%20(for%20owner)-r"/>
      <sheetName val="Total-Summary (for owner)-r1.xl"/>
      <sheetName val="Mat"/>
      <sheetName val="STMspry"/>
      <sheetName val="PsychroData"/>
      <sheetName val="ข้อมูล"/>
      <sheetName val="SELL_(UT)3"/>
      <sheetName val="SELL_(EE)3"/>
      <sheetName val="SELL_(AC)3"/>
      <sheetName val="Scope_of_work_3"/>
      <sheetName val="Total-Summary_(for_owner)-r1"/>
      <sheetName val="BOQExterior_Work"/>
      <sheetName val="Total-Summary_(for_owner)-r1_xl"/>
      <sheetName val="Form"/>
      <sheetName val="Manpower"/>
      <sheetName val="Material"/>
      <sheetName val="Structure"/>
      <sheetName val="Bill_No__2_-_Carpark6"/>
      <sheetName val="rate"/>
      <sheetName val="SELL_(UT)4"/>
      <sheetName val="SELL_(EE)4"/>
      <sheetName val="SELL_(AC)4"/>
      <sheetName val="Scope_of_work_4"/>
      <sheetName val="Total-Summary_(for_owner)-r11"/>
      <sheetName val="BOQExterior_Work1"/>
      <sheetName val="Total-Summary_(for_owner)-r1_x1"/>
      <sheetName val="SELL_(UT)5"/>
      <sheetName val="SELL_(EE)5"/>
      <sheetName val="SELL_(AC)5"/>
      <sheetName val="Scope_of_work_5"/>
      <sheetName val="Total-Summary_(for_owner)-r12"/>
      <sheetName val="BOQExterior_Work2"/>
      <sheetName val="Total-Summary_(for_owner)-r1_x2"/>
      <sheetName val="SELL_(UT)6"/>
      <sheetName val="SELL_(EE)6"/>
      <sheetName val="SELL_(AC)6"/>
      <sheetName val="Scope_of_work_6"/>
      <sheetName val="Total-Summary_(for_owner)-r13"/>
      <sheetName val="BOQExterior_Work3"/>
      <sheetName val="Total-Summary_(for_owner)-r1_x3"/>
      <sheetName val="Data_List"/>
      <sheetName val="Drawing Plan"/>
      <sheetName val="TTL"/>
      <sheetName val="HDPE 80"/>
      <sheetName val="สรุป"/>
      <sheetName val="Cost_Check"/>
      <sheetName val="SELL_(UT)7"/>
      <sheetName val="SELL_(EE)7"/>
      <sheetName val="SELL_(AC)7"/>
      <sheetName val="Scope_of_work_7"/>
      <sheetName val="Total-Summary_(for_owner)-r14"/>
      <sheetName val="BOQExterior_Work4"/>
      <sheetName val="Total-Summary_(for_owner)-r1_x4"/>
      <sheetName val="Drawing_Plan"/>
      <sheetName val="SANITARY"/>
      <sheetName val="AIR"/>
      <sheetName val="SELL_(UT)8"/>
      <sheetName val="SELL_(EE)8"/>
      <sheetName val="SELL_(AC)8"/>
      <sheetName val="Scope_of_work_8"/>
      <sheetName val="Total-Summary_(for_owner)-r15"/>
      <sheetName val="BOQExterior_Work5"/>
      <sheetName val="Total-Summary_(for_owner)-r1_x5"/>
      <sheetName val="Drawing_Plan1"/>
      <sheetName val="FR"/>
      <sheetName val="Soi 08"/>
      <sheetName val="Cost Program "/>
      <sheetName val="Cost Assumption"/>
      <sheetName val="Sheet1"/>
      <sheetName val="S3 Architectural"/>
      <sheetName val="S0"/>
      <sheetName val="HDPE_80"/>
      <sheetName val="SELL_(UT)9"/>
      <sheetName val="SELL_(EE)9"/>
      <sheetName val="SELL_(AC)9"/>
      <sheetName val="Scope_of_work_9"/>
      <sheetName val="Total-Summary_(for_owner)-r16"/>
      <sheetName val="BOQExterior_Work6"/>
      <sheetName val="Total-Summary_(for_owner)-r1_x6"/>
      <sheetName val="Drawing_Plan2"/>
      <sheetName val="Piling Schedule"/>
      <sheetName val="Nego Form"/>
      <sheetName val="#REF"/>
      <sheetName val="配管単価"/>
      <sheetName val="SELL_(UT)10"/>
      <sheetName val="DETAIL"/>
      <sheetName val="tifico"/>
      <sheetName val="Interial"/>
      <sheetName val="P7 "/>
      <sheetName val="summary_ee"/>
      <sheetName val="ee_unit type"/>
      <sheetName val="ee_build "/>
      <sheetName val="PL"/>
      <sheetName val="SUM_Bill No.3"/>
      <sheetName val="Bill No.3_Arch_PH1"/>
      <sheetName val="Bill No.3_Arch_PH2"/>
      <sheetName val="Bill No.3_Arch_PH3"/>
      <sheetName val="Bill No.3_Arch_PH4"/>
      <sheetName val="Bill No.3_Arch_PH5"/>
      <sheetName val="upa"/>
      <sheetName val="รวมราคางานทั้งหมด"/>
      <sheetName val="งานเตรียมการ"/>
      <sheetName val="หมวดงานโครงสร้าง"/>
      <sheetName val="หมวดสถาปัตย์"/>
      <sheetName val="หมวดงานระบบ"/>
      <sheetName val="BOQ ผู้รับเหมา"/>
      <sheetName val="splinkler"/>
      <sheetName val="รวมราคาทั้งสิ้น"/>
      <sheetName val="HVAC"/>
      <sheetName val="สุขาภิบาล"/>
      <sheetName val="照度"/>
      <sheetName val="Book 1 Summary"/>
      <sheetName val="Installation"/>
      <sheetName val="ตารางส่วนลด EE."/>
      <sheetName val="DATA"/>
      <sheetName val="S-5 WORK"/>
      <sheetName val="SELL_(EE)10"/>
      <sheetName val="SELL_(AC)10"/>
      <sheetName val="Scope_of_work_10"/>
      <sheetName val="Total-Summary_(for_owner)-r17"/>
      <sheetName val="Total-Summary_(for_owner)-r1_x7"/>
      <sheetName val="BOQExterior_Work7"/>
      <sheetName val="HDPE_801"/>
      <sheetName val="Drawing_Plan3"/>
      <sheetName val="Cost_Assumption"/>
      <sheetName val="S3_Architectural"/>
      <sheetName val="Soi_08"/>
      <sheetName val="Cost_Program_"/>
      <sheetName val="Main Summary"/>
      <sheetName val="Table 2 Pipe Work"/>
      <sheetName val="Table 1 Equipment"/>
      <sheetName val="Table 3 Duct Work"/>
      <sheetName val="Table 4 Diffuser, Grilles ID"/>
      <sheetName val="FS"/>
      <sheetName val="GEN SA"/>
      <sheetName val="Sch_1"/>
      <sheetName val="Sch_2"/>
      <sheetName val="Sch_3"/>
      <sheetName val="Sch_4"/>
      <sheetName val="FAB별"/>
      <sheetName val="SH-C"/>
      <sheetName val="SH-F"/>
      <sheetName val="SH-A"/>
      <sheetName val="8Unsui+Soft"/>
      <sheetName val="25-27RC. PIPE(3หน้า)"/>
      <sheetName val="42หลักกิโล"/>
      <sheetName val="52ป้ายชั่วคราว+ด่าน"/>
      <sheetName val="3ข้อมูลวัสดุ-ค่าดำเนิน"/>
      <sheetName val="SH-D"/>
      <sheetName val="Total"/>
      <sheetName val="Main Sum (Hotel &amp; Residences)"/>
      <sheetName val="SUMMARY-1"/>
      <sheetName val="1. Preliminary"/>
      <sheetName val="2. Mechanical"/>
      <sheetName val="3. Exclusions"/>
      <sheetName val="4. Proposed VE"/>
      <sheetName val="5. Options"/>
      <sheetName val="SELL_(UT)11"/>
      <sheetName val="SELL_(EE)11"/>
      <sheetName val="SELL_(AC)11"/>
      <sheetName val="Scope_of_work_11"/>
      <sheetName val="Total-Summary_(for_owner)-r18"/>
      <sheetName val="Total-Summary_(for_owner)-r1_x8"/>
      <sheetName val="BOQExterior_Work8"/>
      <sheetName val="HDPE_802"/>
      <sheetName val="Drawing_Plan4"/>
      <sheetName val="Cost_Assumption1"/>
      <sheetName val="S3_Architectural1"/>
      <sheetName val="Soi_081"/>
      <sheetName val="Cost_Program_1"/>
      <sheetName val="P7_"/>
      <sheetName val="Piling_Schedule"/>
      <sheetName val="Nego_Form"/>
      <sheetName val="ee_unit_type"/>
      <sheetName val="ee_build_"/>
      <sheetName val="BOQ_ผู้รับเหมา"/>
      <sheetName val="SUM_Bill_No_3"/>
      <sheetName val="Bill_No_3_Arch_PH1"/>
      <sheetName val="Bill_No_3_Arch_PH2"/>
      <sheetName val="Bill_No_3_Arch_PH3"/>
      <sheetName val="Bill_No_3_Arch_PH4"/>
      <sheetName val="Bill_No_3_Arch_PH5"/>
      <sheetName val="Discounted Cash Flow"/>
      <sheetName val="SAN REDUCED 1"/>
      <sheetName val="งานบริหารโครงการ"/>
      <sheetName val="stair"/>
      <sheetName val="EXF"/>
      <sheetName val="BK Weekly 12"/>
      <sheetName val="BK Weekly 10"/>
      <sheetName val="Weekly No.9"/>
      <sheetName val="Updated P6 06-01-2020"/>
      <sheetName val="Test % Completed"/>
      <sheetName val="Bill 6"/>
      <sheetName val="Bill 2"/>
      <sheetName val="From P6 Activities &amp; PBV Update"/>
      <sheetName val="Bill 0 Overhead &amp; Profit"/>
      <sheetName val="From P6 Activities &amp; PBV"/>
      <sheetName val="BOQ by PKK (3)"/>
      <sheetName val="Bill No."/>
      <sheetName val="Bill 2 - Sub-structure (R3)"/>
      <sheetName val="노원열병합  건축공사기성내역서"/>
      <sheetName val="Cost Assumptio"/>
      <sheetName val="col-reinft1"/>
      <sheetName val="Factor F Data"/>
      <sheetName val="FF-3"/>
      <sheetName val="Commun"/>
      <sheetName val="FlatBottomClarifier (Not used)"/>
      <sheetName val="ไม่ใช้"/>
      <sheetName val="ใช้หน้านี้"/>
      <sheetName val="S-CUVE-2 14 M"/>
      <sheetName val="ใบปะหน้า"/>
      <sheetName val="QT-2019-0002"/>
      <sheetName val="QT-2019-0003"/>
      <sheetName val="QT-62030001"/>
      <sheetName val="HAJIME"/>
      <sheetName val="OWARI-AIR-Submit"/>
      <sheetName val="Master schedule (2)"/>
      <sheetName val="D"/>
      <sheetName val="SCHEDULE 10_BUILD MANAGEMENT"/>
      <sheetName val=" Summary base bid"/>
      <sheetName val="JPN-Salary"/>
      <sheetName val="ExcRate"/>
      <sheetName val="DETAIL "/>
      <sheetName val="4 Pressurised  Membranes"/>
      <sheetName val="관로내역원"/>
      <sheetName val="Boq(1)"/>
      <sheetName val="CHK"/>
      <sheetName val="cFYF"/>
      <sheetName val="cBUD"/>
      <sheetName val="BK Unit Rate"/>
      <sheetName val="1__Preliminary"/>
      <sheetName val="2__Mechanical"/>
      <sheetName val="3__Exclusions"/>
      <sheetName val="4__Proposed_VE"/>
      <sheetName val="5__Options"/>
      <sheetName val="SAN_REDUCED_1"/>
      <sheetName val="Book_1_Summary"/>
      <sheetName val="ตารางส่วนลด_EE_"/>
      <sheetName val="S-5_WORK"/>
      <sheetName val="GEN_SA"/>
      <sheetName val="Main_Summary"/>
      <sheetName val="Table_2_Pipe_Work"/>
      <sheetName val="Table_1_Equipment"/>
      <sheetName val="Table_3_Duct_Work"/>
      <sheetName val="Table_4_Diffuser,_Grilles_ID"/>
      <sheetName val="SELL_(UT)12"/>
      <sheetName val="SELL_(EE)12"/>
      <sheetName val="SELL_(AC)12"/>
      <sheetName val="Scope_of_work_12"/>
      <sheetName val="Total-Summary_(for_owner)-r19"/>
      <sheetName val="Total-Summary_(for_owner)-r1_x9"/>
      <sheetName val="BOQExterior_Work9"/>
      <sheetName val="HDPE_803"/>
      <sheetName val="Drawing_Plan5"/>
      <sheetName val="Cost_Assumption2"/>
      <sheetName val="S3_Architectural2"/>
      <sheetName val="Soi_082"/>
      <sheetName val="Cost_Program_2"/>
      <sheetName val="P7_1"/>
      <sheetName val="Piling_Schedule1"/>
      <sheetName val="Nego_Form1"/>
      <sheetName val="ee_unit_type1"/>
      <sheetName val="ee_build_1"/>
      <sheetName val="BOQ_ผู้รับเหมา1"/>
      <sheetName val="SUM_Bill_No_31"/>
      <sheetName val="Bill_No_3_Arch_PH11"/>
      <sheetName val="Bill_No_3_Arch_PH21"/>
      <sheetName val="Bill_No_3_Arch_PH31"/>
      <sheetName val="Bill_No_3_Arch_PH41"/>
      <sheetName val="Bill_No_3_Arch_PH51"/>
      <sheetName val="Validation"/>
      <sheetName val="1__Preliminary1"/>
      <sheetName val="2__Mechanical1"/>
      <sheetName val="3__Exclusions1"/>
      <sheetName val="4__Proposed_VE1"/>
      <sheetName val="5__Options1"/>
      <sheetName val="SAN_REDUCED_11"/>
      <sheetName val="Book_1_Summary1"/>
      <sheetName val="ตารางส่วนลด_EE_1"/>
      <sheetName val="Ratios"/>
      <sheetName val="Finance"/>
      <sheetName val="BUR"/>
      <sheetName val="BOX Cryostat Details"/>
      <sheetName val="Driver Linac Layout"/>
      <sheetName val="Inputs"/>
      <sheetName val="Magnet Details"/>
      <sheetName val="office"/>
      <sheetName val="Lab"/>
      <sheetName val="Material&amp;equipment"/>
      <sheetName val="escon"/>
      <sheetName val="Construction"/>
      <sheetName val="tender allowances"/>
      <sheetName val="Cavity Inputs"/>
      <sheetName val="covere"/>
      <sheetName val="Cert"/>
      <sheetName val="Profit_Budget"/>
      <sheetName val="XLR_NoRangeSheet"/>
      <sheetName val="SCHEDULE_2"/>
      <sheetName val="Production info"/>
      <sheetName val="UKG  All"/>
      <sheetName val="Emp_Data"/>
      <sheetName val="CashFlow"/>
      <sheetName val="Notes to Rev Costs &amp;Bens"/>
      <sheetName val="SCHEDULE_3"/>
      <sheetName val="SCHEDULE_4"/>
      <sheetName val="SCHEDULE_1"/>
      <sheetName val="HRG BHN"/>
      <sheetName val="Factor_F_Data"/>
      <sheetName val="25-27RC__PIPE(3หน้า)"/>
      <sheetName val="Discounted_Cash_Flow"/>
      <sheetName val="Main_Sum_(Hotel_&amp;_Residences)"/>
      <sheetName val="FlatBottomClarifier_(Not_used)"/>
      <sheetName val="_Summary_base_bid"/>
      <sheetName val="SCHEDULE_10_BUILD_MANAGEMENT"/>
      <sheetName val="S-CUVE-2_14_M"/>
      <sheetName val="BK_Weekly_12"/>
      <sheetName val="BK_Weekly_10"/>
      <sheetName val="Weekly_No_9"/>
      <sheetName val="Updated_P6_06-01-2020"/>
      <sheetName val="Test_%_Completed"/>
      <sheetName val="Bill_6"/>
      <sheetName val="Bill_2"/>
      <sheetName val="From_P6_Activities_&amp;_PBV_Update"/>
      <sheetName val="Bill_0_Overhead_&amp;_Profit"/>
      <sheetName val="From_P6_Activities_&amp;_PBV"/>
      <sheetName val="BOQ_by_PKK_(3)"/>
      <sheetName val="Bill_No_"/>
      <sheetName val="Bill_2_-_Sub-structure_(R3)"/>
      <sheetName val="Master_schedule_(2)"/>
      <sheetName val="노원열병합__건축공사기성내역서"/>
      <sheetName val="Cost_Assumptio"/>
      <sheetName val="DETAIL_"/>
      <sheetName val="4_Pressurised__Membranes"/>
      <sheetName val="Summary"/>
      <sheetName val="Arch"/>
      <sheetName val="Quotation"/>
      <sheetName val="Final Summary - Base"/>
      <sheetName val="liste"/>
      <sheetName val="CPA33-34"/>
      <sheetName val="SOR"/>
      <sheetName val="Blk A"/>
      <sheetName val="หลักเกณฑ์"/>
      <sheetName val="มิติ"/>
      <sheetName val="main page"/>
      <sheetName val="Table Options"/>
      <sheetName val="Item A"/>
      <sheetName val="Item B"/>
      <sheetName val="Item D"/>
      <sheetName val="Item E"/>
      <sheetName val="Item F"/>
      <sheetName val="Item G"/>
      <sheetName val="OCCDCC"/>
      <sheetName val="Header"/>
      <sheetName val="MFA"/>
      <sheetName val="boq"/>
      <sheetName val="QAQC"/>
      <sheetName val="FitOutConfCentre"/>
      <sheetName val="입찰내역 발주처 양식"/>
      <sheetName val="CRUDE-D"/>
      <sheetName val="POSTF1"/>
      <sheetName val="S'PORE-D"/>
      <sheetName val="POSTHD1"/>
      <sheetName val="POSTLPG"/>
      <sheetName val="PO97(02)"/>
      <sheetName val="Earthwork"/>
      <sheetName val="Master"/>
      <sheetName val="Code"/>
      <sheetName val="VL"/>
      <sheetName val="TN"/>
      <sheetName val="ND"/>
      <sheetName val="Pr"/>
      <sheetName val="iNDEX"/>
      <sheetName val="Plumbing&amp;Sanitary"/>
      <sheetName val="Surau"/>
      <sheetName val="GR55-2378"/>
      <sheetName val="ปก"/>
      <sheetName val="ใบแจ้งหนี้"/>
      <sheetName val="Grand SUMMARY "/>
      <sheetName val="ค่าใช้จ่ายและแผนการเบิก"/>
      <sheetName val="Grand Summary ( Variation)"/>
      <sheetName val="ค่าใช้จ่ายและแผนการเบิกolan"/>
      <sheetName val="ST work con.M"/>
      <sheetName val="ST work con.carpark"/>
      <sheetName val="ST work M"/>
      <sheetName val="ST work Facad(M) "/>
      <sheetName val="ST work carpark"/>
      <sheetName val="back up arc.Car Park"/>
      <sheetName val="backup str.carpark"/>
      <sheetName val="back up arc. M"/>
      <sheetName val="แยกงาน ผนัง พื้น ฝ้า สี"/>
      <sheetName val="Grand SUMMARY MEP "/>
      <sheetName val="SUMMARY CEO"/>
      <sheetName val="Cover"/>
      <sheetName val="Preliminaries"/>
      <sheetName val="Sum_Strc"/>
      <sheetName val="Strc - Waster Water Treatment "/>
      <sheetName val="Sub - Structure"/>
      <sheetName val="Super - Structure "/>
      <sheetName val="Sum_Arch"/>
      <sheetName val="Architect"/>
      <sheetName val="Sum_Facade"/>
      <sheetName val="Facade"/>
      <sheetName val="Sum_Arch for Public"/>
      <sheetName val="Architect for Public"/>
      <sheetName val="Sum_Arch for Guestroom"/>
      <sheetName val="Sum_Type SK1"/>
      <sheetName val="Type SK1"/>
      <sheetName val="Sum_Type OK1"/>
      <sheetName val="Type OK1"/>
      <sheetName val="Sum_Type OT1"/>
      <sheetName val="Type OT1"/>
      <sheetName val="Sum_Type CT1"/>
      <sheetName val="Type CT1"/>
      <sheetName val="Sum_Type CK1"/>
      <sheetName val="Type CK1"/>
      <sheetName val="Sum_Type HK1"/>
      <sheetName val="Type HK1"/>
      <sheetName val="Sum_Connecting Door"/>
      <sheetName val="Connecting Door"/>
      <sheetName val="Sum_Strc (Hardscape)"/>
      <sheetName val="Strc (Hardscape)"/>
      <sheetName val="Site Drainage"/>
      <sheetName val="Spirit House"/>
      <sheetName val="Sum_Arch (Hardscape)"/>
      <sheetName val="Arch (Hardscape)"/>
      <sheetName val="M&amp;PN"/>
      <sheetName val="Test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sheetData sheetId="134"/>
      <sheetData sheetId="135"/>
      <sheetData sheetId="136"/>
      <sheetData sheetId="137" refreshError="1"/>
      <sheetData sheetId="138" refreshError="1"/>
      <sheetData sheetId="139" refreshError="1"/>
      <sheetData sheetId="140"/>
      <sheetData sheetId="141"/>
      <sheetData sheetId="142" refreshError="1"/>
      <sheetData sheetId="143" refreshError="1"/>
      <sheetData sheetId="144" refreshError="1"/>
      <sheetData sheetId="145" refreshError="1"/>
      <sheetData sheetId="146" refreshError="1"/>
      <sheetData sheetId="147" refreshError="1"/>
      <sheetData sheetId="148"/>
      <sheetData sheetId="149"/>
      <sheetData sheetId="150"/>
      <sheetData sheetId="151"/>
      <sheetData sheetId="152" refreshError="1"/>
      <sheetData sheetId="153"/>
      <sheetData sheetId="154" refreshError="1"/>
      <sheetData sheetId="155" refreshError="1"/>
      <sheetData sheetId="156" refreshError="1"/>
      <sheetData sheetId="157" refreshError="1"/>
      <sheetData sheetId="158" refreshError="1"/>
      <sheetData sheetId="159" refreshError="1"/>
      <sheetData sheetId="160"/>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sheetData sheetId="182" refreshError="1"/>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refreshError="1"/>
      <sheetData sheetId="215" refreshError="1"/>
      <sheetData sheetId="216"/>
      <sheetData sheetId="217" refreshError="1"/>
      <sheetData sheetId="218" refreshError="1"/>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refreshError="1"/>
      <sheetData sheetId="236" refreshError="1"/>
      <sheetData sheetId="237" refreshError="1"/>
      <sheetData sheetId="238" refreshError="1"/>
      <sheetData sheetId="239"/>
      <sheetData sheetId="240"/>
      <sheetData sheetId="241"/>
      <sheetData sheetId="242"/>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sheetData sheetId="278"/>
      <sheetData sheetId="279"/>
      <sheetData sheetId="280"/>
      <sheetData sheetId="281"/>
      <sheetData sheetId="282" refreshError="1"/>
      <sheetData sheetId="283" refreshError="1"/>
      <sheetData sheetId="284" refreshError="1"/>
      <sheetData sheetId="285" refreshError="1"/>
      <sheetData sheetId="286" refreshError="1"/>
      <sheetData sheetId="287" refreshError="1"/>
      <sheetData sheetId="288" refreshError="1"/>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refreshError="1"/>
      <sheetData sheetId="303"/>
      <sheetData sheetId="304"/>
      <sheetData sheetId="305"/>
      <sheetData sheetId="306"/>
      <sheetData sheetId="307"/>
      <sheetData sheetId="308"/>
      <sheetData sheetId="309"/>
      <sheetData sheetId="310"/>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ECUTIVE SUMMARY"/>
      <sheetName val="TENDER SUMMARY"/>
      <sheetName val="STAFF COST FORECAST"/>
      <sheetName val="PROJECT MANAGEMENT OFFICES"/>
      <sheetName val="DESIGN &amp; ENGINEERING"/>
      <sheetName val="PRODUCTION &amp; PROCUREMENT"/>
      <sheetName val="TRANSPORT &amp; LOGISTICS"/>
      <sheetName val="SITE COSTS"/>
      <sheetName val="MOCKUP &amp; TESTING"/>
      <sheetName val="OVERHEADS &amp; FINANCIAL COSTS"/>
      <sheetName val="BOQ SUMMARY backup"/>
      <sheetName val="BOQ SUMMARY"/>
      <sheetName val="glass"/>
      <sheetName val="MANUAL BOQ"/>
      <sheetName val="40 HC CALC. (H)"/>
      <sheetName val="40 HC CALC. (V)"/>
      <sheetName val="BoQ #1"/>
      <sheetName val="TH-SYD AAW"/>
      <sheetName val="Drawing List"/>
      <sheetName val="SNIP"/>
      <sheetName val="T1111 - Lot 9 Speculative Facil"/>
    </sheetNames>
    <sheetDataSet>
      <sheetData sheetId="0" refreshError="1">
        <row r="26">
          <cell r="D26">
            <v>875.85173337990989</v>
          </cell>
        </row>
      </sheetData>
      <sheetData sheetId="1" refreshError="1">
        <row r="7">
          <cell r="G7">
            <v>508.96</v>
          </cell>
        </row>
        <row r="8">
          <cell r="G8">
            <v>212</v>
          </cell>
        </row>
        <row r="16">
          <cell r="E16"/>
        </row>
        <row r="17">
          <cell r="E17"/>
        </row>
        <row r="18">
          <cell r="E18"/>
        </row>
        <row r="19">
          <cell r="E19"/>
        </row>
        <row r="20">
          <cell r="E20"/>
        </row>
        <row r="21">
          <cell r="E21"/>
        </row>
        <row r="22">
          <cell r="E22"/>
        </row>
        <row r="23">
          <cell r="E23">
            <v>0.2</v>
          </cell>
        </row>
        <row r="24">
          <cell r="E24">
            <v>0.2</v>
          </cell>
        </row>
        <row r="25">
          <cell r="E25">
            <v>0.2</v>
          </cell>
        </row>
        <row r="26">
          <cell r="E26">
            <v>0.2</v>
          </cell>
        </row>
        <row r="27">
          <cell r="E27">
            <v>0.2</v>
          </cell>
        </row>
        <row r="28">
          <cell r="E28">
            <v>0.2</v>
          </cell>
        </row>
        <row r="29">
          <cell r="E29">
            <v>0.2</v>
          </cell>
        </row>
        <row r="30">
          <cell r="E30">
            <v>0.2</v>
          </cell>
        </row>
        <row r="31">
          <cell r="E31">
            <v>0.2</v>
          </cell>
        </row>
        <row r="32">
          <cell r="E32">
            <v>0.2</v>
          </cell>
        </row>
        <row r="33">
          <cell r="E33"/>
        </row>
        <row r="34">
          <cell r="E34"/>
        </row>
        <row r="35">
          <cell r="E35">
            <v>0.2</v>
          </cell>
        </row>
        <row r="36">
          <cell r="E36">
            <v>0.2</v>
          </cell>
        </row>
        <row r="37">
          <cell r="E37">
            <v>0.2</v>
          </cell>
        </row>
        <row r="38">
          <cell r="E38">
            <v>0.2</v>
          </cell>
        </row>
        <row r="39">
          <cell r="E39">
            <v>0.2</v>
          </cell>
        </row>
        <row r="40">
          <cell r="E40">
            <v>0.2</v>
          </cell>
        </row>
        <row r="41">
          <cell r="E41">
            <v>0.2</v>
          </cell>
        </row>
        <row r="42">
          <cell r="E42"/>
        </row>
        <row r="43">
          <cell r="E43"/>
        </row>
        <row r="44">
          <cell r="E44">
            <v>0.2</v>
          </cell>
        </row>
        <row r="45">
          <cell r="E45">
            <v>0.2</v>
          </cell>
        </row>
        <row r="46">
          <cell r="E46"/>
        </row>
        <row r="47">
          <cell r="E47"/>
        </row>
        <row r="48">
          <cell r="E48">
            <v>0.2</v>
          </cell>
        </row>
        <row r="49">
          <cell r="E49">
            <v>0.2</v>
          </cell>
        </row>
        <row r="50">
          <cell r="E50">
            <v>0.2</v>
          </cell>
        </row>
        <row r="51">
          <cell r="E51">
            <v>0.2</v>
          </cell>
        </row>
        <row r="52">
          <cell r="E52">
            <v>0.2</v>
          </cell>
        </row>
        <row r="53">
          <cell r="E53">
            <v>0.2</v>
          </cell>
        </row>
        <row r="54">
          <cell r="E54">
            <v>0.2</v>
          </cell>
        </row>
        <row r="55">
          <cell r="E55">
            <v>0.2</v>
          </cell>
        </row>
        <row r="56">
          <cell r="E56">
            <v>0.2</v>
          </cell>
        </row>
        <row r="57">
          <cell r="E57">
            <v>0.2</v>
          </cell>
        </row>
        <row r="58">
          <cell r="E58">
            <v>0.2</v>
          </cell>
        </row>
        <row r="59">
          <cell r="E59">
            <v>0.2</v>
          </cell>
        </row>
        <row r="60">
          <cell r="E60">
            <v>0.2</v>
          </cell>
        </row>
        <row r="61">
          <cell r="E61">
            <v>0.2</v>
          </cell>
        </row>
        <row r="62">
          <cell r="E62">
            <v>0.2</v>
          </cell>
        </row>
        <row r="63">
          <cell r="E63">
            <v>0.2</v>
          </cell>
        </row>
        <row r="64">
          <cell r="E64">
            <v>0.2</v>
          </cell>
        </row>
        <row r="65">
          <cell r="E65">
            <v>0.2</v>
          </cell>
        </row>
        <row r="66">
          <cell r="E66">
            <v>0.2</v>
          </cell>
        </row>
        <row r="67">
          <cell r="E67">
            <v>0.2</v>
          </cell>
        </row>
        <row r="68">
          <cell r="E68">
            <v>0.2</v>
          </cell>
        </row>
        <row r="69">
          <cell r="E69">
            <v>0.2</v>
          </cell>
        </row>
        <row r="70">
          <cell r="E70">
            <v>0.2</v>
          </cell>
        </row>
        <row r="71">
          <cell r="E71">
            <v>0.2</v>
          </cell>
        </row>
        <row r="72">
          <cell r="E72">
            <v>0.2</v>
          </cell>
        </row>
        <row r="73">
          <cell r="E73">
            <v>0.2</v>
          </cell>
        </row>
        <row r="74">
          <cell r="E74">
            <v>0.2</v>
          </cell>
        </row>
        <row r="75">
          <cell r="E75"/>
        </row>
        <row r="76">
          <cell r="E76"/>
        </row>
        <row r="77">
          <cell r="E77">
            <v>0.2</v>
          </cell>
        </row>
        <row r="78">
          <cell r="E78">
            <v>0.2</v>
          </cell>
        </row>
        <row r="79">
          <cell r="E79">
            <v>0.2</v>
          </cell>
        </row>
        <row r="80">
          <cell r="E80">
            <v>0.2</v>
          </cell>
        </row>
        <row r="81">
          <cell r="E81">
            <v>0.2</v>
          </cell>
        </row>
        <row r="82">
          <cell r="E82">
            <v>0.2</v>
          </cell>
        </row>
        <row r="83">
          <cell r="E83">
            <v>0.2</v>
          </cell>
        </row>
        <row r="84">
          <cell r="E84"/>
        </row>
        <row r="85">
          <cell r="E85"/>
        </row>
        <row r="86">
          <cell r="E86">
            <v>0.2</v>
          </cell>
        </row>
        <row r="87">
          <cell r="E87">
            <v>0.2</v>
          </cell>
        </row>
        <row r="88">
          <cell r="E88">
            <v>0.2</v>
          </cell>
        </row>
        <row r="89">
          <cell r="E89">
            <v>0.2</v>
          </cell>
        </row>
        <row r="90">
          <cell r="E90">
            <v>0.2</v>
          </cell>
        </row>
        <row r="91">
          <cell r="E91">
            <v>0.2</v>
          </cell>
        </row>
        <row r="92">
          <cell r="E92">
            <v>0.2</v>
          </cell>
        </row>
        <row r="93">
          <cell r="E93"/>
        </row>
        <row r="94">
          <cell r="E94"/>
        </row>
        <row r="95">
          <cell r="E95">
            <v>0.2</v>
          </cell>
        </row>
        <row r="96">
          <cell r="E96">
            <v>0.2</v>
          </cell>
        </row>
        <row r="97">
          <cell r="E97">
            <v>0.2</v>
          </cell>
        </row>
        <row r="98">
          <cell r="E98">
            <v>0.2</v>
          </cell>
        </row>
        <row r="99">
          <cell r="E99"/>
        </row>
        <row r="100">
          <cell r="E100"/>
        </row>
        <row r="101">
          <cell r="E101">
            <v>0.2</v>
          </cell>
        </row>
        <row r="102">
          <cell r="E102">
            <v>0.2</v>
          </cell>
          <cell r="F102">
            <v>0</v>
          </cell>
        </row>
        <row r="103">
          <cell r="E103">
            <v>0.2</v>
          </cell>
          <cell r="F103">
            <v>5708.5714285714284</v>
          </cell>
        </row>
        <row r="104">
          <cell r="E104">
            <v>0.2</v>
          </cell>
          <cell r="F104">
            <v>0</v>
          </cell>
        </row>
        <row r="105">
          <cell r="E105">
            <v>0.2</v>
          </cell>
          <cell r="F105">
            <v>0</v>
          </cell>
        </row>
        <row r="106">
          <cell r="E106">
            <v>0.2</v>
          </cell>
          <cell r="F106">
            <v>0</v>
          </cell>
        </row>
        <row r="107">
          <cell r="E107">
            <v>0.2</v>
          </cell>
          <cell r="F107">
            <v>0</v>
          </cell>
        </row>
        <row r="108">
          <cell r="E108">
            <v>0.2</v>
          </cell>
          <cell r="F108">
            <v>0</v>
          </cell>
        </row>
        <row r="109">
          <cell r="E109">
            <v>0.2</v>
          </cell>
          <cell r="F109">
            <v>0</v>
          </cell>
        </row>
        <row r="110">
          <cell r="E110">
            <v>0.2</v>
          </cell>
          <cell r="F110">
            <v>0</v>
          </cell>
        </row>
        <row r="111">
          <cell r="E111">
            <v>0.2</v>
          </cell>
          <cell r="F111">
            <v>0</v>
          </cell>
        </row>
        <row r="112">
          <cell r="E112"/>
        </row>
        <row r="113">
          <cell r="E113"/>
        </row>
        <row r="114">
          <cell r="E114">
            <v>0.2</v>
          </cell>
        </row>
        <row r="115">
          <cell r="E115">
            <v>0.2</v>
          </cell>
        </row>
        <row r="116">
          <cell r="E116">
            <v>0.2</v>
          </cell>
        </row>
        <row r="117">
          <cell r="E117">
            <v>0.2</v>
          </cell>
        </row>
        <row r="118">
          <cell r="E118">
            <v>0.2</v>
          </cell>
        </row>
        <row r="119">
          <cell r="E119">
            <v>0.2</v>
          </cell>
        </row>
        <row r="120">
          <cell r="E120">
            <v>0.2</v>
          </cell>
        </row>
        <row r="121">
          <cell r="E121">
            <v>0.2</v>
          </cell>
        </row>
        <row r="122">
          <cell r="E122">
            <v>0.2</v>
          </cell>
        </row>
        <row r="123">
          <cell r="E123"/>
        </row>
        <row r="124">
          <cell r="E124"/>
        </row>
        <row r="125">
          <cell r="E125">
            <v>0.2</v>
          </cell>
        </row>
        <row r="126">
          <cell r="E126">
            <v>0.2</v>
          </cell>
        </row>
        <row r="127">
          <cell r="E127">
            <v>0.2</v>
          </cell>
        </row>
        <row r="128">
          <cell r="E128">
            <v>0.2</v>
          </cell>
        </row>
        <row r="129">
          <cell r="E129">
            <v>0.2</v>
          </cell>
        </row>
        <row r="130">
          <cell r="E130">
            <v>0.2</v>
          </cell>
        </row>
        <row r="131">
          <cell r="E131">
            <v>0.2</v>
          </cell>
        </row>
        <row r="132">
          <cell r="E132">
            <v>0.2</v>
          </cell>
        </row>
        <row r="133">
          <cell r="E133">
            <v>0.2</v>
          </cell>
        </row>
        <row r="134">
          <cell r="E134">
            <v>0.2</v>
          </cell>
        </row>
        <row r="135">
          <cell r="E135">
            <v>0.2</v>
          </cell>
        </row>
        <row r="136">
          <cell r="E136">
            <v>0.2</v>
          </cell>
        </row>
        <row r="137">
          <cell r="E137">
            <v>0.2</v>
          </cell>
        </row>
        <row r="138">
          <cell r="E138">
            <v>0.2</v>
          </cell>
        </row>
        <row r="139">
          <cell r="E139">
            <v>0.2</v>
          </cell>
        </row>
        <row r="140">
          <cell r="E140">
            <v>0.2</v>
          </cell>
        </row>
        <row r="141">
          <cell r="E141"/>
        </row>
        <row r="142">
          <cell r="E142"/>
        </row>
        <row r="143">
          <cell r="E143">
            <v>0.01</v>
          </cell>
        </row>
        <row r="144">
          <cell r="E144"/>
        </row>
        <row r="145">
          <cell r="E145"/>
        </row>
        <row r="146">
          <cell r="E146"/>
        </row>
        <row r="147">
          <cell r="E147"/>
        </row>
        <row r="148">
          <cell r="E148"/>
        </row>
        <row r="149">
          <cell r="E149"/>
        </row>
        <row r="150">
          <cell r="E150"/>
        </row>
        <row r="151">
          <cell r="E151"/>
        </row>
        <row r="152">
          <cell r="E152"/>
        </row>
      </sheetData>
      <sheetData sheetId="2" refreshError="1"/>
      <sheetData sheetId="3" refreshError="1"/>
      <sheetData sheetId="4" refreshError="1"/>
      <sheetData sheetId="5" refreshError="1">
        <row r="2">
          <cell r="F2">
            <v>1.53</v>
          </cell>
        </row>
        <row r="61">
          <cell r="C61">
            <v>3900</v>
          </cell>
        </row>
        <row r="64">
          <cell r="C64">
            <v>1500</v>
          </cell>
        </row>
        <row r="65">
          <cell r="C65">
            <v>300</v>
          </cell>
        </row>
        <row r="67">
          <cell r="C67">
            <v>0</v>
          </cell>
        </row>
        <row r="69">
          <cell r="C69">
            <v>431.99999999999994</v>
          </cell>
        </row>
        <row r="72">
          <cell r="C72">
            <v>0</v>
          </cell>
        </row>
        <row r="75">
          <cell r="C75">
            <v>0</v>
          </cell>
        </row>
        <row r="78">
          <cell r="C78">
            <v>22867.29</v>
          </cell>
        </row>
        <row r="80">
          <cell r="C80">
            <v>0</v>
          </cell>
        </row>
        <row r="81">
          <cell r="C81">
            <v>7800</v>
          </cell>
        </row>
      </sheetData>
      <sheetData sheetId="6" refreshError="1">
        <row r="13">
          <cell r="D13">
            <v>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
          <cell r="E3">
            <v>420</v>
          </cell>
        </row>
        <row r="6">
          <cell r="E6">
            <v>350</v>
          </cell>
        </row>
      </sheetData>
      <sheetData sheetId="17" refreshError="1"/>
      <sheetData sheetId="18" refreshError="1"/>
      <sheetData sheetId="19" refreshError="1">
        <row r="28">
          <cell r="D28">
            <v>1.3103181818181817</v>
          </cell>
        </row>
      </sheetData>
      <sheetData sheetId="2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
      <sheetName val="BankofThailand"/>
      <sheetName val="TAC"/>
      <sheetName val="รามไทย"/>
      <sheetName val="FORM"/>
      <sheetName val="Quote"/>
      <sheetName val="ตามลูกค้าต้องการ"/>
      <sheetName val="ราคาหนังแท้-เทียม"/>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
      <sheetName val="BankofThailand"/>
      <sheetName val="TAC"/>
      <sheetName val="รามไทย"/>
      <sheetName val="FORM"/>
      <sheetName val="Quote"/>
      <sheetName val="ตามลูกค้าต้องการ"/>
      <sheetName val="ราคาหนังแท้-เทียม"/>
      <sheetName val="สรุป"/>
      <sheetName val="sales3level"/>
      <sheetName val="SH-F"/>
      <sheetName val="รวมราคาทั้งสิ้น"/>
      <sheetName val="boq"/>
      <sheetName val="LITF"/>
      <sheetName val="FR"/>
      <sheetName val="CashFlow"/>
      <sheetName val="ราคาต่ำสุด-721"/>
      <sheetName val="SAN REDUCED 1"/>
      <sheetName val="SUM. ID (FITOUT)"/>
      <sheetName val="Preliminary"/>
      <sheetName val="1) LIFT LOBBY"/>
      <sheetName val="2) GENERAL LOUNGE"/>
      <sheetName val="3) UNISEX "/>
      <sheetName val="4) Male&amp;Female Bathroom"/>
      <sheetName val="EE PRICE"/>
      <sheetName val="SCHEDULE_6"/>
      <sheetName val="SCHEDULE_4"/>
      <sheetName val="Sheet1"/>
      <sheetName val="FS"/>
      <sheetName val="GEN SA"/>
      <sheetName val="Sch_1"/>
      <sheetName val="Sch_2"/>
      <sheetName val="Sch_3"/>
      <sheetName val="Sch_4"/>
      <sheetName val="เตรียมการและบริหารโครงการ"/>
      <sheetName val="stair"/>
      <sheetName val="footing"/>
      <sheetName val="Boq(1)"/>
      <sheetName val="Cal Fto"/>
      <sheetName val="Hauling"/>
      <sheetName val="DETAI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refreshError="1"/>
      <sheetData sheetId="25" refreshError="1"/>
      <sheetData sheetId="26" refreshError="1"/>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
      <sheetName val="BankofThailand"/>
      <sheetName val="TAC"/>
      <sheetName val="รามไทย"/>
      <sheetName val="FORM"/>
      <sheetName val="Quote"/>
      <sheetName val="ตามลูกค้าต้องการ"/>
      <sheetName val="ราคาหนังแท้-เทียม"/>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sites/Facades/Shared%20Documents/TENDERS/T1111%20-%20Lot%209%20-%20Speculative%20Facility/01.2%20-%20COST%20AND%20BUDGET/T1111%20-%20Lot%209%20Speculative%20Facility%20-%20TFG%20Budget%20Rev.00.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5036.954944328703" createdVersion="8" refreshedVersion="8" minRefreshableVersion="3" recordCount="970" xr:uid="{D8E7F157-5F15-4938-BA3B-21BEDC3EF37B}">
  <cacheSource type="worksheet">
    <worksheetSource name="MBQ"/>
  </cacheSource>
  <cacheFields count="22">
    <cacheField name="MULTIPLIER" numFmtId="1">
      <sharedItems containsSemiMixedTypes="0" containsString="0" containsNumber="1" containsInteger="1" minValue="1" maxValue="1"/>
    </cacheField>
    <cacheField name="LEVEL" numFmtId="49">
      <sharedItems/>
    </cacheField>
    <cacheField name="ELEVATION" numFmtId="49">
      <sharedItems/>
    </cacheField>
    <cacheField name="TAKEOFF REF" numFmtId="49">
      <sharedItems count="527">
        <s v="W0-08A"/>
        <s v="W0-08B"/>
        <s v="W0-02"/>
        <s v="W0-01"/>
        <s v="W0-03"/>
        <s v="W0-04"/>
        <s v="W0-05"/>
        <s v="WB-01"/>
        <s v="W0-06"/>
        <s v="W0-09A"/>
        <s v="W0-09B"/>
        <s v="D0-02"/>
        <s v="W1-06"/>
        <s v="W1-04"/>
        <s v="W1-03"/>
        <s v="W1-01"/>
        <s v="W1-05"/>
        <s v="D0-01"/>
        <s v="WR-01"/>
        <s v="WR-02"/>
        <s v="W0-X01"/>
        <s v="W0-X02"/>
        <s v="W0-X05"/>
        <s v="W0-X03"/>
        <s v="W0-X04"/>
        <s v="W0-X06"/>
        <s v="W1-X01"/>
        <s v="W1-X06"/>
        <s v="W1-X07"/>
        <s v="W1-X09"/>
        <s v="W0-07A"/>
        <s v="W0-07B"/>
        <s v="W0-07C"/>
        <s v="W0-07D"/>
        <s v="W0-07E"/>
        <s v="W0-07F"/>
        <s v="W0-07G"/>
        <s v="W0-07H"/>
        <s v="W0-07I"/>
        <s v="W0-07J"/>
        <s v="W0-07K"/>
        <s v="W0-07L"/>
        <s v="W0-07M"/>
        <s v="W0-07N"/>
        <s v="W0-07O"/>
        <s v="P01"/>
        <s v="P02"/>
        <s v="P03"/>
        <s v="P04"/>
        <s v="P05"/>
        <s v="P06"/>
        <s v="P07"/>
        <s v="P08"/>
        <s v="P09"/>
        <s v="P10"/>
        <s v="P11"/>
        <s v="P12"/>
        <s v="P13"/>
        <s v="P14"/>
        <s v="P15"/>
        <s v="P16"/>
        <s v="P17"/>
        <s v="P18"/>
        <s v="P19"/>
        <s v="P20"/>
        <s v="P21"/>
        <s v="P22"/>
        <s v="P23"/>
        <s v="P24"/>
        <s v="P25"/>
        <s v="P26"/>
        <s v="P27"/>
        <s v="P28"/>
        <s v="P29"/>
        <s v="P30"/>
        <s v="P31"/>
        <s v="P32"/>
        <s v="P33"/>
        <s v="P34"/>
        <s v="P35"/>
        <s v="P36"/>
        <s v="P37"/>
        <s v="P38"/>
        <s v="P39"/>
        <s v="P40"/>
        <s v="P41"/>
        <s v="P42"/>
        <s v="P43"/>
        <s v="A1"/>
        <s v="A2"/>
        <s v="A3"/>
        <s v="A4"/>
        <s v="A5"/>
        <s v="A6"/>
        <s v="A7"/>
        <s v="A8"/>
        <s v="A9"/>
        <s v="A10"/>
        <s v="A11"/>
        <s v="A12"/>
        <s v="A13"/>
        <s v="A14"/>
        <s v="A15"/>
        <s v="A16"/>
        <s v="A17"/>
        <s v="A18"/>
        <s v="A19"/>
        <s v="A20"/>
        <s v="A21"/>
        <s v="A22"/>
        <s v="A23"/>
        <s v="A24"/>
        <s v="A25"/>
        <s v="A26"/>
        <s v="A27"/>
        <s v="A28"/>
        <s v="A29"/>
        <s v="A30"/>
        <s v="A31"/>
        <s v="A32"/>
        <s v="A33"/>
        <s v="A34"/>
        <s v="A35"/>
        <s v="A36"/>
        <s v="A37"/>
        <s v="A38"/>
        <s v="A39"/>
        <s v="A40"/>
        <s v="A41"/>
        <s v="A42"/>
        <s v="A43"/>
        <s v="A44"/>
        <s v="A45"/>
        <s v="A46"/>
        <s v="A47"/>
        <s v="A48"/>
        <s v="A49"/>
        <s v="A50"/>
        <s v="A51"/>
        <s v="A52"/>
        <s v="A53"/>
        <s v="A54"/>
        <s v="A55"/>
        <s v="A56"/>
        <s v="A57"/>
        <s v="A58"/>
        <s v="A59"/>
        <s v="A60"/>
        <s v="A61"/>
        <s v="A62"/>
        <s v="A63"/>
        <s v="A64"/>
        <s v="A65"/>
        <s v="A66"/>
        <s v="A67"/>
        <s v="A68"/>
        <s v="A69"/>
        <s v="A70"/>
        <s v="A71"/>
        <s v="A72"/>
        <s v="A73"/>
        <s v="A74"/>
        <s v="A75"/>
        <s v="A76"/>
        <s v="A77"/>
        <s v="A78"/>
        <s v="A79"/>
        <s v="A80"/>
        <s v="A81"/>
        <s v="A82"/>
        <s v="A83"/>
        <s v="A84"/>
        <s v="A85"/>
        <s v="A86"/>
        <s v="A87"/>
        <s v="A88"/>
        <s v="A89"/>
        <s v="A90"/>
        <s v="A91"/>
        <s v="A92"/>
        <s v="A93"/>
        <s v="A94"/>
        <s v="A95"/>
        <s v="A96"/>
        <s v="A97"/>
        <s v="A98"/>
        <s v="A99"/>
        <s v="A100"/>
        <s v="A101"/>
        <s v="A102"/>
        <s v="A103"/>
        <s v="A104"/>
        <s v="A105"/>
        <s v="A106"/>
        <s v="A107"/>
        <s v="A108"/>
        <s v="A109"/>
        <s v="A110"/>
        <s v="A111"/>
        <s v="A112"/>
        <s v="A113"/>
        <s v="A114"/>
        <s v="A115"/>
        <s v="A116"/>
        <s v="A117"/>
        <s v="A118"/>
        <s v="A119"/>
        <s v="A120"/>
        <s v="A121"/>
        <s v="P44"/>
        <s v="P45"/>
        <s v="P46"/>
        <s v="P47"/>
        <s v="P48"/>
        <s v="P49"/>
        <s v="P50"/>
        <s v="P51"/>
        <s v="P52"/>
        <s v="P53"/>
        <s v="P54"/>
        <s v="P55"/>
        <s v="P56"/>
        <s v="P57"/>
        <s v="P58"/>
        <s v="P59"/>
        <s v="A122"/>
        <s v="A123"/>
        <s v="A124"/>
        <s v="A125"/>
        <s v="A126"/>
        <s v="A127"/>
        <s v="A128"/>
        <s v="A129"/>
        <s v="A130"/>
        <s v="A131"/>
        <s v="A132"/>
        <s v="A133"/>
        <s v="A134"/>
        <s v="A135"/>
        <s v="A136"/>
        <s v="A137"/>
        <s v="A138"/>
        <s v="A139"/>
        <s v="A140"/>
        <s v="A141"/>
        <s v="A142"/>
        <s v="A143"/>
        <s v="A144"/>
        <s v="A145"/>
        <s v="A146"/>
        <s v="A147"/>
        <s v="A148"/>
        <s v="A149"/>
        <s v="A150"/>
        <s v="A151"/>
        <s v="A152"/>
        <s v="A153"/>
        <s v="A154"/>
        <s v="A155"/>
        <s v="A156"/>
        <s v="A157"/>
        <s v="A158"/>
        <s v="A159"/>
        <s v="A160"/>
        <s v="A161"/>
        <s v="A162"/>
        <s v="A163"/>
        <s v="A164"/>
        <s v="A165"/>
        <s v="A166"/>
        <s v="A167"/>
        <s v="A168"/>
        <s v="A169"/>
        <s v="A170"/>
        <s v="A171"/>
        <s v="A172"/>
        <s v="A173"/>
        <s v="A174"/>
        <s v="A175"/>
        <s v="A176"/>
        <s v="A177"/>
        <s v="A178"/>
        <s v="A179"/>
        <s v="A180"/>
        <s v="A181"/>
        <s v="A182"/>
        <s v="A183"/>
        <s v="A184"/>
        <s v="A185"/>
        <s v="A186"/>
        <s v="A187"/>
        <s v="A188"/>
        <s v="A189"/>
        <s v="A190"/>
        <s v="A191"/>
        <s v="A192"/>
        <s v="A193"/>
        <s v="A194"/>
        <s v="A195"/>
        <s v="A196"/>
        <s v="A197"/>
        <s v="A198"/>
        <s v="A199"/>
        <s v="A200"/>
        <s v="A201"/>
        <s v="A202"/>
        <s v="A203"/>
        <s v="A204"/>
        <s v="A205"/>
        <s v="A206"/>
        <s v="A207"/>
        <s v="A208"/>
        <s v="A209"/>
        <s v="A210"/>
        <s v="A211"/>
        <s v="A212"/>
        <s v="A213"/>
        <s v="A214"/>
        <s v="P60"/>
        <s v="A215"/>
        <s v="A216"/>
        <s v="A217"/>
        <s v="A218"/>
        <s v="A219"/>
        <s v="A220"/>
        <s v="A221"/>
        <s v="A222"/>
        <s v="A223"/>
        <s v="A224"/>
        <s v="A225"/>
        <s v="A226"/>
        <s v="A227"/>
        <s v="A228"/>
        <s v="A229"/>
        <s v="A230"/>
        <s v="A231"/>
        <s v="A232"/>
        <s v="A233"/>
        <s v="A234"/>
        <s v="A235"/>
        <s v="A236"/>
        <s v="A237"/>
        <s v="A238"/>
        <s v="A239"/>
        <s v="A240"/>
        <s v="A241"/>
        <s v="A242"/>
        <s v="A243"/>
        <s v="A244"/>
        <s v="A245"/>
        <s v="A246"/>
        <s v="A247"/>
        <s v="A248"/>
        <s v="A249"/>
        <s v="A250"/>
        <s v="A251"/>
        <s v="A252"/>
        <s v="A253"/>
        <s v="A254"/>
        <s v="A255"/>
        <s v="A256"/>
        <s v="A257"/>
        <s v="A258"/>
        <s v="A259"/>
        <s v="A260"/>
        <s v="A261"/>
        <s v="A262"/>
        <s v="A263"/>
        <s v="A264"/>
        <s v="A265"/>
        <s v="A266"/>
        <s v="A267"/>
        <s v="A268"/>
        <s v="A269"/>
        <s v="A270"/>
        <s v="A271"/>
        <s v="A272"/>
        <s v="A273"/>
        <s v="A274"/>
        <s v="A275"/>
        <s v="A276"/>
        <s v="A277"/>
        <s v="A278"/>
        <s v="A279"/>
        <s v="A280"/>
        <s v="A281"/>
        <s v="A282"/>
        <s v="A283"/>
        <s v="A284"/>
        <s v="A285"/>
        <s v="A286"/>
        <s v="A287"/>
        <s v="A288"/>
        <s v="A289"/>
        <s v="A290"/>
        <s v="A291"/>
        <s v="A292"/>
        <s v="A293"/>
        <s v="A294"/>
        <s v="A295"/>
        <s v="A296"/>
        <s v="A297"/>
        <s v="A298"/>
        <s v="A299"/>
        <s v="A300"/>
        <s v="A301"/>
        <s v="A302"/>
        <s v="A303"/>
        <s v="A304"/>
        <s v="A305"/>
        <s v="A306"/>
        <s v="A307"/>
        <s v="A308"/>
        <s v="A309"/>
        <s v="A310"/>
        <s v="A311"/>
        <s v="A312"/>
        <s v="A313"/>
        <s v="A314"/>
        <s v="A315"/>
        <s v="A316"/>
        <s v="A317"/>
        <s v="A318"/>
        <s v="P61"/>
        <s v="P62"/>
        <s v="P63"/>
        <s v="P64"/>
        <s v="P65"/>
        <s v="P66"/>
        <s v="P67"/>
        <s v="P68"/>
        <s v="P69"/>
        <s v="P70"/>
        <s v="P71"/>
        <s v="P72"/>
        <s v="P73"/>
        <s v="P74"/>
        <s v="P75"/>
        <s v="P76"/>
        <s v="P77"/>
        <s v="P78"/>
        <s v="A319"/>
        <s v="A320"/>
        <s v="A321"/>
        <s v="A322"/>
        <s v="A323"/>
        <s v="A324"/>
        <s v="A325"/>
        <s v="A326"/>
        <s v="A327"/>
        <s v="A328"/>
        <s v="A329"/>
        <s v="A330"/>
        <s v="A331"/>
        <s v="A332"/>
        <s v="A333"/>
        <s v="A334"/>
        <s v="A335"/>
        <s v="A336"/>
        <s v="A337"/>
        <s v="A338"/>
        <s v="A339"/>
        <s v="A340"/>
        <s v="A341"/>
        <s v="A342"/>
        <s v="A343"/>
        <s v="A344"/>
        <s v="A345"/>
        <s v="A346"/>
        <s v="A347"/>
        <s v="A348"/>
        <s v="A349"/>
        <s v="A350"/>
        <s v="A351"/>
        <s v="A352"/>
        <s v="A353"/>
        <s v="A354"/>
        <s v="A355"/>
        <s v="A356"/>
        <s v="A357"/>
        <s v="A358"/>
        <s v="A359"/>
        <s v="A360"/>
        <s v="A361"/>
        <s v="A362"/>
        <s v="A363"/>
        <s v="A364"/>
        <s v="A365"/>
        <s v="A366"/>
        <s v="A367"/>
        <s v="A368"/>
        <s v="A369"/>
        <s v="A370"/>
        <s v="A371"/>
        <s v="A372"/>
        <s v="A373"/>
        <s v="A374"/>
        <s v="A375"/>
        <s v="A376"/>
        <s v="A377"/>
        <s v="A378"/>
        <s v="A379"/>
        <s v="A380"/>
        <s v="A381"/>
        <s v="A382"/>
        <s v="P79"/>
        <s v="P80"/>
        <s v="P81"/>
        <s v="P82"/>
        <s v="P83"/>
        <s v="P84"/>
        <s v="P85"/>
        <s v="P86"/>
        <s v="P87"/>
        <s v="P88"/>
        <s v="P89"/>
        <s v="P90"/>
        <s v="P91"/>
        <s v="P92"/>
        <s v="P93"/>
        <s v="P94"/>
        <s v="P95"/>
        <s v="P96"/>
        <s v="P97"/>
        <s v="P98"/>
        <s v="P99"/>
        <s v="P100"/>
      </sharedItems>
    </cacheField>
    <cacheField name="LOCATION" numFmtId="49">
      <sharedItems containsNonDate="0" containsString="0" containsBlank="1"/>
    </cacheField>
    <cacheField name="ACCOUSTIC " numFmtId="1">
      <sharedItems containsNonDate="0" containsString="0" containsBlank="1"/>
    </cacheField>
    <cacheField name="UVAL" numFmtId="2">
      <sharedItems containsNonDate="0" containsString="0" containsBlank="1"/>
    </cacheField>
    <cacheField name="SHGC" numFmtId="2">
      <sharedItems containsNonDate="0" containsString="0" containsBlank="1"/>
    </cacheField>
    <cacheField name="MEASURE TYPE" numFmtId="49">
      <sharedItems containsBlank="1" count="4">
        <s v="ELEV"/>
        <s v="PANEL"/>
        <s v="INFILL"/>
        <m u="1"/>
      </sharedItems>
    </cacheField>
    <cacheField name="FAÇADE TYPE" numFmtId="49">
      <sharedItems count="5">
        <s v="EWS-02"/>
        <s v="EWS-01"/>
        <s v="EWS-03"/>
        <s v="CLD-01"/>
        <s v="CLD-02"/>
      </sharedItems>
    </cacheField>
    <cacheField name="INFILL TYPE" numFmtId="49">
      <sharedItems containsBlank="1" count="13">
        <m/>
        <s v="F"/>
        <s v="SINGLE SWING DOOR"/>
        <s v="STACKING DOOR PANEL"/>
        <s v="13 PANELS STACKING DOOR"/>
        <s v="4 PANELS STACKING DOOR"/>
        <s v="CP"/>
        <s v="SD-OXXO"/>
        <s v="3 PANELS STACKING DOOR"/>
        <s v="SB"/>
        <s v="LV"/>
        <s v="SLIDER"/>
        <s v="DOUBLE SWING DOOR"/>
      </sharedItems>
    </cacheField>
    <cacheField name="GLASS/FILLING" numFmtId="49">
      <sharedItems containsBlank="1"/>
    </cacheField>
    <cacheField name="DESCRIPTION" numFmtId="49">
      <sharedItems containsBlank="1"/>
    </cacheField>
    <cacheField name="COMMENTS" numFmtId="49">
      <sharedItems containsBlank="1"/>
    </cacheField>
    <cacheField name="HEIGHT (mm)" numFmtId="166">
      <sharedItems containsSemiMixedTypes="0" containsString="0" containsNumber="1" containsInteger="1" minValue="100" maxValue="8215"/>
    </cacheField>
    <cacheField name="WIDTH (mm)" numFmtId="166">
      <sharedItems containsSemiMixedTypes="0" containsString="0" containsNumber="1" minValue="115" maxValue="21605"/>
    </cacheField>
    <cacheField name="QTY" numFmtId="166">
      <sharedItems containsSemiMixedTypes="0" containsString="0" containsNumber="1" containsInteger="1" minValue="1" maxValue="1"/>
    </cacheField>
    <cacheField name="HEIGHT TOTAL (m)" numFmtId="2">
      <sharedItems containsSemiMixedTypes="0" containsString="0" containsNumber="1" minValue="0.1" maxValue="8.2149999999999999"/>
    </cacheField>
    <cacheField name="WIDTH TOTAL (m)" numFmtId="2">
      <sharedItems containsSemiMixedTypes="0" containsString="0" containsNumber="1" minValue="0.115" maxValue="21.605"/>
    </cacheField>
    <cacheField name="PERIMETER TOTAL (m)" numFmtId="2">
      <sharedItems containsSemiMixedTypes="0" containsString="0" containsNumber="1" minValue="0.72" maxValue="44.85"/>
    </cacheField>
    <cacheField name="QTY TOTAL" numFmtId="2">
      <sharedItems containsSemiMixedTypes="0" containsString="0" containsNumber="1" containsInteger="1" minValue="1" maxValue="1"/>
    </cacheField>
    <cacheField name="SQM TOTAL" numFmtId="2">
      <sharedItems containsSemiMixedTypes="0" containsString="0" containsNumber="1" minValue="3.2000000000000001E-2" maxValue="66.09555000000000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le Liu" refreshedDate="45072.058964583332" createdVersion="8" refreshedVersion="8" minRefreshableVersion="3" recordCount="974" xr:uid="{F84550F8-10CD-45EE-8B92-CAB3B07272A7}">
  <cacheSource type="worksheet">
    <worksheetSource name="MBQ" r:id="rId2"/>
  </cacheSource>
  <cacheFields count="23">
    <cacheField name="MULTIPLIER" numFmtId="1">
      <sharedItems containsString="0" containsBlank="1" containsNumber="1" containsInteger="1" minValue="1" maxValue="1"/>
    </cacheField>
    <cacheField name="LEVEL" numFmtId="49">
      <sharedItems containsBlank="1"/>
    </cacheField>
    <cacheField name="ELEVATION" numFmtId="49">
      <sharedItems containsBlank="1"/>
    </cacheField>
    <cacheField name="TAKEOFF REF" numFmtId="49">
      <sharedItems containsBlank="1"/>
    </cacheField>
    <cacheField name="LOCATION" numFmtId="49">
      <sharedItems containsBlank="1"/>
    </cacheField>
    <cacheField name="ACCOUSTIC " numFmtId="1">
      <sharedItems containsNonDate="0" containsString="0" containsBlank="1"/>
    </cacheField>
    <cacheField name="UVAL" numFmtId="2">
      <sharedItems containsNonDate="0" containsString="0" containsBlank="1"/>
    </cacheField>
    <cacheField name="SHGC" numFmtId="2">
      <sharedItems containsNonDate="0" containsString="0" containsBlank="1"/>
    </cacheField>
    <cacheField name="MEASURE TYPE" numFmtId="49">
      <sharedItems containsBlank="1" count="4">
        <s v="ELEV"/>
        <s v="PANEL"/>
        <s v="INFILL"/>
        <m/>
      </sharedItems>
    </cacheField>
    <cacheField name="FAÇADE TYPE" numFmtId="49">
      <sharedItems containsBlank="1" count="8">
        <s v="CW"/>
        <s v="WW"/>
        <m/>
        <s v="CLD-01" u="1"/>
        <s v="CLD-02" u="1"/>
        <s v="EWS-01" u="1"/>
        <s v="EWS-02" u="1"/>
        <s v="EWS-03" u="1"/>
      </sharedItems>
    </cacheField>
    <cacheField name="INFILL TYPE" numFmtId="49">
      <sharedItems containsBlank="1" count="17">
        <m/>
        <s v="F"/>
        <s v="F/F"/>
        <s v="DOUBLE SLIDING DOOR PANEL"/>
        <s v="DOUBLE SLIDING DOOR"/>
        <s v="SINGLE HINGED DOOR"/>
        <s v="CP" u="1"/>
        <s v="SINGLE SWING DOOR" u="1"/>
        <s v="4 PANELS STACKING DOOR" u="1"/>
        <s v="SB" u="1"/>
        <s v="DOUBLE SWING DOOR" u="1"/>
        <s v="SD-OXXO" u="1"/>
        <s v="13 PANELS STACKING DOOR" u="1"/>
        <s v="SLIDER" u="1"/>
        <s v="3 PANELS STACKING DOOR" u="1"/>
        <s v="LV" u="1"/>
        <s v="STACKING DOOR PANEL" u="1"/>
      </sharedItems>
    </cacheField>
    <cacheField name="GLASS/FILLING" numFmtId="49">
      <sharedItems containsBlank="1"/>
    </cacheField>
    <cacheField name="DESCRIPTION" numFmtId="49">
      <sharedItems containsNonDate="0" containsString="0" containsBlank="1"/>
    </cacheField>
    <cacheField name="COMMENTS" numFmtId="49">
      <sharedItems containsBlank="1"/>
    </cacheField>
    <cacheField name="HEIGHT (mm)" numFmtId="166">
      <sharedItems containsString="0" containsBlank="1" containsNumber="1" containsInteger="1" minValue="900" maxValue="8000"/>
    </cacheField>
    <cacheField name="WIDTH (mm)" numFmtId="166">
      <sharedItems containsString="0" containsBlank="1" containsNumber="1" containsInteger="1" minValue="1025" maxValue="19200"/>
    </cacheField>
    <cacheField name="QTY" numFmtId="166">
      <sharedItems containsString="0" containsBlank="1" containsNumber="1" containsInteger="1" minValue="1" maxValue="1"/>
    </cacheField>
    <cacheField name="HEIGHT TOTAL (m)" numFmtId="2">
      <sharedItems containsSemiMixedTypes="0" containsString="0" containsNumber="1" minValue="0" maxValue="8"/>
    </cacheField>
    <cacheField name="WIDTH TOTAL (m)" numFmtId="2">
      <sharedItems containsSemiMixedTypes="0" containsString="0" containsNumber="1" minValue="0" maxValue="19.2"/>
    </cacheField>
    <cacheField name="PERIMETER TOTAL (m)" numFmtId="2">
      <sharedItems containsSemiMixedTypes="0" containsString="0" containsNumber="1" minValue="0" maxValue="54.4"/>
    </cacheField>
    <cacheField name="QTY TOTAL" numFmtId="2">
      <sharedItems containsSemiMixedTypes="0" containsString="0" containsNumber="1" containsInteger="1" minValue="0" maxValue="1"/>
    </cacheField>
    <cacheField name="SQM TOTAL" numFmtId="2">
      <sharedItems containsSemiMixedTypes="0" containsString="0" containsNumber="1" minValue="0" maxValue="153.6"/>
    </cacheField>
    <cacheField name="Column1" numFmtId="165">
      <sharedItems containsSemiMixedTypes="0" containsString="0" containsNumber="1" containsInteger="1" minValue="0" maxValue="1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0">
  <r>
    <n v="1"/>
    <s v="G"/>
    <s v="south"/>
    <x v="0"/>
    <m/>
    <m/>
    <m/>
    <m/>
    <x v="0"/>
    <x v="0"/>
    <x v="0"/>
    <m/>
    <m/>
    <m/>
    <n v="2780"/>
    <n v="4490"/>
    <n v="1"/>
    <n v="2.78"/>
    <n v="4.49"/>
    <n v="14.54"/>
    <n v="1"/>
    <n v="12.482199999999999"/>
  </r>
  <r>
    <n v="1"/>
    <s v="G"/>
    <s v="south"/>
    <x v="0"/>
    <m/>
    <m/>
    <m/>
    <m/>
    <x v="1"/>
    <x v="0"/>
    <x v="1"/>
    <s v="GL-03"/>
    <m/>
    <s v="125MM WIDTH DECAL"/>
    <n v="2780"/>
    <n v="1460"/>
    <n v="1"/>
    <n v="2.78"/>
    <n v="1.46"/>
    <n v="8.48"/>
    <n v="1"/>
    <n v="4.0587999999999997"/>
  </r>
  <r>
    <n v="1"/>
    <s v="G"/>
    <s v="south"/>
    <x v="0"/>
    <m/>
    <m/>
    <m/>
    <m/>
    <x v="1"/>
    <x v="0"/>
    <x v="1"/>
    <s v="GL-03"/>
    <m/>
    <s v="125MM WIDTH DECAL"/>
    <n v="2780"/>
    <n v="1615"/>
    <n v="1"/>
    <n v="2.78"/>
    <n v="1.615"/>
    <n v="8.7899999999999991"/>
    <n v="1"/>
    <n v="4.4897"/>
  </r>
  <r>
    <n v="1"/>
    <s v="G"/>
    <s v="south"/>
    <x v="0"/>
    <m/>
    <m/>
    <m/>
    <m/>
    <x v="1"/>
    <x v="0"/>
    <x v="1"/>
    <s v="GL-03"/>
    <m/>
    <s v="125MM WIDTH DECAL"/>
    <n v="2780"/>
    <n v="1415"/>
    <n v="1"/>
    <n v="2.78"/>
    <n v="1.415"/>
    <n v="8.39"/>
    <n v="1"/>
    <n v="3.9337"/>
  </r>
  <r>
    <n v="1"/>
    <s v="G"/>
    <s v="south"/>
    <x v="0"/>
    <m/>
    <m/>
    <m/>
    <m/>
    <x v="2"/>
    <x v="0"/>
    <x v="1"/>
    <s v="GL-03"/>
    <m/>
    <s v="125MM WIDTH DECAL"/>
    <n v="2780"/>
    <n v="1460"/>
    <n v="1"/>
    <n v="2.78"/>
    <n v="1.46"/>
    <n v="8.48"/>
    <n v="1"/>
    <n v="4.0587999999999997"/>
  </r>
  <r>
    <n v="1"/>
    <s v="G"/>
    <s v="south"/>
    <x v="0"/>
    <m/>
    <m/>
    <m/>
    <m/>
    <x v="2"/>
    <x v="0"/>
    <x v="1"/>
    <s v="GL-03"/>
    <m/>
    <s v="125MM WIDTH DECAL"/>
    <n v="2780"/>
    <n v="1615"/>
    <n v="1"/>
    <n v="2.78"/>
    <n v="1.615"/>
    <n v="8.7899999999999991"/>
    <n v="1"/>
    <n v="4.4897"/>
  </r>
  <r>
    <n v="1"/>
    <s v="G"/>
    <s v="south"/>
    <x v="0"/>
    <m/>
    <m/>
    <m/>
    <m/>
    <x v="2"/>
    <x v="0"/>
    <x v="1"/>
    <s v="GL-03"/>
    <m/>
    <s v="125MM WIDTH DECAL"/>
    <n v="2780"/>
    <n v="1415"/>
    <n v="1"/>
    <n v="2.78"/>
    <n v="1.415"/>
    <n v="8.39"/>
    <n v="1"/>
    <n v="3.9337"/>
  </r>
  <r>
    <n v="1"/>
    <s v="G"/>
    <s v="south"/>
    <x v="1"/>
    <m/>
    <m/>
    <m/>
    <m/>
    <x v="0"/>
    <x v="0"/>
    <x v="0"/>
    <m/>
    <m/>
    <m/>
    <n v="2780"/>
    <n v="1530"/>
    <n v="1"/>
    <n v="2.78"/>
    <n v="1.53"/>
    <n v="8.6199999999999992"/>
    <n v="1"/>
    <n v="4.2534000000000001"/>
  </r>
  <r>
    <n v="1"/>
    <s v="G"/>
    <s v="south"/>
    <x v="1"/>
    <m/>
    <m/>
    <m/>
    <m/>
    <x v="1"/>
    <x v="0"/>
    <x v="1"/>
    <s v="GL-03"/>
    <m/>
    <m/>
    <n v="2780"/>
    <n v="535"/>
    <n v="1"/>
    <n v="2.78"/>
    <n v="0.53500000000000003"/>
    <n v="6.63"/>
    <n v="1"/>
    <n v="1.4872999999999998"/>
  </r>
  <r>
    <n v="1"/>
    <s v="G"/>
    <s v="south"/>
    <x v="1"/>
    <m/>
    <m/>
    <m/>
    <m/>
    <x v="1"/>
    <x v="0"/>
    <x v="2"/>
    <s v="GL-03"/>
    <s v="D0-63"/>
    <m/>
    <n v="2780"/>
    <n v="995"/>
    <n v="1"/>
    <n v="2.78"/>
    <n v="0.995"/>
    <n v="7.55"/>
    <n v="1"/>
    <n v="2.7660999999999998"/>
  </r>
  <r>
    <n v="1"/>
    <s v="G"/>
    <s v="south"/>
    <x v="1"/>
    <m/>
    <m/>
    <m/>
    <m/>
    <x v="2"/>
    <x v="0"/>
    <x v="1"/>
    <s v="GL-03"/>
    <m/>
    <m/>
    <n v="2780"/>
    <n v="535"/>
    <n v="1"/>
    <n v="2.78"/>
    <n v="0.53500000000000003"/>
    <n v="6.63"/>
    <n v="1"/>
    <n v="1.4872999999999998"/>
  </r>
  <r>
    <n v="1"/>
    <s v="G"/>
    <s v="south"/>
    <x v="1"/>
    <m/>
    <m/>
    <m/>
    <m/>
    <x v="2"/>
    <x v="0"/>
    <x v="2"/>
    <s v="GL-03"/>
    <s v="D0-63"/>
    <m/>
    <n v="2780"/>
    <n v="995"/>
    <n v="1"/>
    <n v="2.78"/>
    <n v="0.995"/>
    <n v="7.55"/>
    <n v="1"/>
    <n v="2.7660999999999998"/>
  </r>
  <r>
    <n v="1"/>
    <s v="G"/>
    <s v="North"/>
    <x v="2"/>
    <m/>
    <m/>
    <m/>
    <m/>
    <x v="0"/>
    <x v="1"/>
    <x v="0"/>
    <m/>
    <m/>
    <m/>
    <n v="4030"/>
    <n v="16015"/>
    <n v="1"/>
    <n v="4.03"/>
    <n v="16.015000000000001"/>
    <n v="40.090000000000003"/>
    <n v="1"/>
    <n v="64.540450000000007"/>
  </r>
  <r>
    <n v="1"/>
    <s v="G"/>
    <s v="North"/>
    <x v="2"/>
    <m/>
    <m/>
    <m/>
    <m/>
    <x v="1"/>
    <x v="1"/>
    <x v="1"/>
    <s v="GL-01"/>
    <s v="backpan"/>
    <s v="100MM WIDTH DECAL"/>
    <n v="4030"/>
    <n v="1535"/>
    <n v="1"/>
    <n v="4.03"/>
    <n v="1.5349999999999999"/>
    <n v="11.13"/>
    <n v="1"/>
    <n v="6.1860499999999998"/>
  </r>
  <r>
    <n v="1"/>
    <s v="G"/>
    <s v="North"/>
    <x v="2"/>
    <m/>
    <m/>
    <m/>
    <m/>
    <x v="1"/>
    <x v="1"/>
    <x v="1"/>
    <s v="GL-01"/>
    <m/>
    <m/>
    <n v="950"/>
    <n v="3275"/>
    <n v="1"/>
    <n v="0.95"/>
    <n v="3.2749999999999999"/>
    <n v="8.4499999999999993"/>
    <n v="1"/>
    <n v="3.1112500000000001"/>
  </r>
  <r>
    <n v="1"/>
    <s v="G"/>
    <s v="North"/>
    <x v="2"/>
    <m/>
    <m/>
    <m/>
    <m/>
    <x v="1"/>
    <x v="1"/>
    <x v="1"/>
    <s v="GL-01"/>
    <m/>
    <m/>
    <n v="950"/>
    <n v="4140"/>
    <n v="1"/>
    <n v="0.95"/>
    <n v="4.1399999999999997"/>
    <n v="10.18"/>
    <n v="1"/>
    <n v="3.9329999999999998"/>
  </r>
  <r>
    <n v="1"/>
    <s v="G"/>
    <s v="North"/>
    <x v="2"/>
    <m/>
    <m/>
    <m/>
    <m/>
    <x v="1"/>
    <x v="1"/>
    <x v="1"/>
    <s v="GL-01"/>
    <m/>
    <m/>
    <n v="950"/>
    <n v="3820"/>
    <n v="1"/>
    <n v="0.95"/>
    <n v="3.82"/>
    <n v="9.5399999999999991"/>
    <n v="1"/>
    <n v="3.629"/>
  </r>
  <r>
    <n v="1"/>
    <s v="G"/>
    <s v="North"/>
    <x v="2"/>
    <m/>
    <m/>
    <m/>
    <m/>
    <x v="1"/>
    <x v="1"/>
    <x v="1"/>
    <s v="GL-01"/>
    <m/>
    <m/>
    <n v="950"/>
    <n v="3245"/>
    <n v="1"/>
    <n v="0.95"/>
    <n v="3.2450000000000001"/>
    <n v="8.39"/>
    <n v="1"/>
    <n v="3.0827499999999999"/>
  </r>
  <r>
    <n v="1"/>
    <s v="G"/>
    <s v="North"/>
    <x v="2"/>
    <m/>
    <m/>
    <m/>
    <m/>
    <x v="1"/>
    <x v="1"/>
    <x v="3"/>
    <s v="GL-01"/>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4"/>
    <s v="100MM WIDTH DECAL"/>
    <n v="3080"/>
    <n v="864.23076923076928"/>
    <n v="1"/>
    <n v="3.08"/>
    <n v="0.86423076923076925"/>
    <n v="7.8884615384615389"/>
    <n v="1"/>
    <n v="2.6618307692307694"/>
  </r>
  <r>
    <n v="1"/>
    <s v="G"/>
    <s v="North"/>
    <x v="2"/>
    <m/>
    <m/>
    <m/>
    <m/>
    <x v="1"/>
    <x v="1"/>
    <x v="3"/>
    <s v="GL-05"/>
    <s v="D0-03"/>
    <s v="100MM WIDTH DECAL"/>
    <n v="3080"/>
    <n v="811.25"/>
    <n v="1"/>
    <n v="3.08"/>
    <n v="0.81125000000000003"/>
    <n v="7.7824999999999998"/>
    <n v="1"/>
    <n v="2.49865"/>
  </r>
  <r>
    <n v="1"/>
    <s v="G"/>
    <s v="North"/>
    <x v="2"/>
    <m/>
    <m/>
    <m/>
    <m/>
    <x v="1"/>
    <x v="1"/>
    <x v="3"/>
    <s v="GL-05"/>
    <s v="D0-03"/>
    <s v="100MM WIDTH DECAL"/>
    <n v="3080"/>
    <n v="811.25"/>
    <n v="1"/>
    <n v="3.08"/>
    <n v="0.81125000000000003"/>
    <n v="7.7824999999999998"/>
    <n v="1"/>
    <n v="2.49865"/>
  </r>
  <r>
    <n v="1"/>
    <s v="G"/>
    <s v="North"/>
    <x v="2"/>
    <m/>
    <m/>
    <m/>
    <m/>
    <x v="1"/>
    <x v="1"/>
    <x v="3"/>
    <s v="GL-05"/>
    <s v="D0-03"/>
    <s v="100MM WIDTH DECAL"/>
    <n v="3080"/>
    <n v="811.25"/>
    <n v="1"/>
    <n v="3.08"/>
    <n v="0.81125000000000003"/>
    <n v="7.7824999999999998"/>
    <n v="1"/>
    <n v="2.49865"/>
  </r>
  <r>
    <n v="1"/>
    <s v="G"/>
    <s v="North"/>
    <x v="2"/>
    <m/>
    <m/>
    <m/>
    <m/>
    <x v="1"/>
    <x v="1"/>
    <x v="3"/>
    <s v="GL-01"/>
    <s v="D0-03"/>
    <s v="100MM WIDTH DECAL"/>
    <n v="3080"/>
    <n v="811.25"/>
    <n v="1"/>
    <n v="3.08"/>
    <n v="0.81125000000000003"/>
    <n v="7.7824999999999998"/>
    <n v="1"/>
    <n v="2.49865"/>
  </r>
  <r>
    <n v="1"/>
    <s v="G"/>
    <s v="North"/>
    <x v="2"/>
    <m/>
    <m/>
    <m/>
    <m/>
    <x v="2"/>
    <x v="1"/>
    <x v="1"/>
    <s v="GL-01"/>
    <s v="backpan"/>
    <s v="100MM WIDTH DECAL"/>
    <n v="4030"/>
    <n v="1535"/>
    <n v="1"/>
    <n v="4.03"/>
    <n v="1.5349999999999999"/>
    <n v="11.13"/>
    <n v="1"/>
    <n v="6.1860499999999998"/>
  </r>
  <r>
    <n v="1"/>
    <s v="G"/>
    <s v="North"/>
    <x v="2"/>
    <m/>
    <m/>
    <m/>
    <m/>
    <x v="2"/>
    <x v="1"/>
    <x v="1"/>
    <s v="GL-01"/>
    <m/>
    <m/>
    <n v="950"/>
    <n v="3275"/>
    <n v="1"/>
    <n v="0.95"/>
    <n v="3.2749999999999999"/>
    <n v="8.4499999999999993"/>
    <n v="1"/>
    <n v="3.1112500000000001"/>
  </r>
  <r>
    <n v="1"/>
    <s v="G"/>
    <s v="North"/>
    <x v="2"/>
    <m/>
    <m/>
    <m/>
    <m/>
    <x v="2"/>
    <x v="1"/>
    <x v="1"/>
    <s v="GL-01"/>
    <m/>
    <m/>
    <n v="950"/>
    <n v="4140"/>
    <n v="1"/>
    <n v="0.95"/>
    <n v="4.1399999999999997"/>
    <n v="10.18"/>
    <n v="1"/>
    <n v="3.9329999999999998"/>
  </r>
  <r>
    <n v="1"/>
    <s v="G"/>
    <s v="North"/>
    <x v="2"/>
    <m/>
    <m/>
    <m/>
    <m/>
    <x v="2"/>
    <x v="1"/>
    <x v="1"/>
    <s v="GL-01"/>
    <m/>
    <m/>
    <n v="950"/>
    <n v="3820"/>
    <n v="1"/>
    <n v="0.95"/>
    <n v="3.82"/>
    <n v="9.5399999999999991"/>
    <n v="1"/>
    <n v="3.629"/>
  </r>
  <r>
    <n v="1"/>
    <s v="G"/>
    <s v="North"/>
    <x v="2"/>
    <m/>
    <m/>
    <m/>
    <m/>
    <x v="2"/>
    <x v="1"/>
    <x v="1"/>
    <s v="GL-01"/>
    <m/>
    <m/>
    <n v="950"/>
    <n v="3245"/>
    <n v="1"/>
    <n v="0.95"/>
    <n v="3.2450000000000001"/>
    <n v="8.39"/>
    <n v="1"/>
    <n v="3.0827499999999999"/>
  </r>
  <r>
    <n v="1"/>
    <s v="G"/>
    <s v="North"/>
    <x v="2"/>
    <m/>
    <m/>
    <m/>
    <m/>
    <x v="2"/>
    <x v="1"/>
    <x v="4"/>
    <s v="GL-05"/>
    <s v="D0-04"/>
    <s v="100MM WIDTH DECAL"/>
    <n v="3080"/>
    <n v="11235"/>
    <n v="1"/>
    <n v="3.08"/>
    <n v="11.234999999999999"/>
    <n v="28.63"/>
    <n v="1"/>
    <n v="34.6038"/>
  </r>
  <r>
    <n v="1"/>
    <s v="G"/>
    <s v="North"/>
    <x v="2"/>
    <m/>
    <m/>
    <m/>
    <m/>
    <x v="2"/>
    <x v="1"/>
    <x v="5"/>
    <s v="GL-05"/>
    <s v="D0-03"/>
    <s v="100MM WIDTH DECAL"/>
    <n v="3080"/>
    <n v="3245"/>
    <n v="1"/>
    <n v="3.08"/>
    <n v="3.2450000000000001"/>
    <n v="12.65"/>
    <n v="1"/>
    <n v="9.9946000000000002"/>
  </r>
  <r>
    <n v="1"/>
    <s v="G"/>
    <s v="North"/>
    <x v="3"/>
    <m/>
    <m/>
    <m/>
    <m/>
    <x v="0"/>
    <x v="1"/>
    <x v="0"/>
    <m/>
    <m/>
    <m/>
    <n v="4125"/>
    <n v="6505"/>
    <n v="1"/>
    <n v="4.125"/>
    <n v="6.5049999999999999"/>
    <n v="21.26"/>
    <n v="1"/>
    <n v="26.833124999999999"/>
  </r>
  <r>
    <n v="1"/>
    <s v="G"/>
    <s v="North"/>
    <x v="3"/>
    <m/>
    <m/>
    <m/>
    <m/>
    <x v="1"/>
    <x v="1"/>
    <x v="1"/>
    <s v="GL-01"/>
    <m/>
    <m/>
    <n v="990"/>
    <n v="4870"/>
    <n v="1"/>
    <n v="0.99"/>
    <n v="4.87"/>
    <n v="11.72"/>
    <n v="1"/>
    <n v="4.8212999999999999"/>
  </r>
  <r>
    <n v="1"/>
    <s v="G"/>
    <s v="North"/>
    <x v="3"/>
    <m/>
    <m/>
    <m/>
    <m/>
    <x v="1"/>
    <x v="1"/>
    <x v="1"/>
    <s v="GL-01"/>
    <m/>
    <m/>
    <n v="990"/>
    <n v="1635"/>
    <n v="1"/>
    <n v="0.99"/>
    <n v="1.635"/>
    <n v="5.25"/>
    <n v="1"/>
    <n v="1.6186500000000001"/>
  </r>
  <r>
    <n v="1"/>
    <s v="G"/>
    <s v="North"/>
    <x v="3"/>
    <m/>
    <m/>
    <m/>
    <m/>
    <x v="1"/>
    <x v="1"/>
    <x v="6"/>
    <m/>
    <m/>
    <m/>
    <n v="300"/>
    <n v="4870"/>
    <n v="1"/>
    <n v="0.3"/>
    <n v="4.87"/>
    <n v="10.34"/>
    <n v="1"/>
    <n v="1.4610000000000001"/>
  </r>
  <r>
    <n v="1"/>
    <s v="G"/>
    <s v="North"/>
    <x v="3"/>
    <m/>
    <m/>
    <m/>
    <m/>
    <x v="1"/>
    <x v="1"/>
    <x v="6"/>
    <m/>
    <m/>
    <m/>
    <n v="300"/>
    <n v="1635"/>
    <n v="1"/>
    <n v="0.3"/>
    <n v="1.635"/>
    <n v="3.87"/>
    <n v="1"/>
    <n v="0.49049999999999999"/>
  </r>
  <r>
    <n v="1"/>
    <s v="G"/>
    <s v="North"/>
    <x v="3"/>
    <m/>
    <m/>
    <m/>
    <m/>
    <x v="1"/>
    <x v="1"/>
    <x v="7"/>
    <s v="GL-05"/>
    <s v="AUTOMATIC SLIDING DOOR D0-01"/>
    <s v="100MM WIDTH DECAL"/>
    <n v="2835"/>
    <n v="1200"/>
    <n v="1"/>
    <n v="2.835"/>
    <n v="1.2"/>
    <n v="8.07"/>
    <n v="1"/>
    <n v="3.4020000000000001"/>
  </r>
  <r>
    <n v="1"/>
    <s v="G"/>
    <s v="North"/>
    <x v="3"/>
    <m/>
    <m/>
    <m/>
    <m/>
    <x v="1"/>
    <x v="1"/>
    <x v="7"/>
    <s v="GL-05"/>
    <s v="AUTOMATIC SLIDING DOOR D0-01"/>
    <s v="100MM WIDTH DECAL"/>
    <n v="2835"/>
    <n v="1235"/>
    <n v="1"/>
    <n v="2.835"/>
    <n v="1.2350000000000001"/>
    <n v="8.14"/>
    <n v="1"/>
    <n v="3.5012249999999998"/>
  </r>
  <r>
    <n v="1"/>
    <s v="G"/>
    <s v="North"/>
    <x v="3"/>
    <m/>
    <m/>
    <m/>
    <m/>
    <x v="1"/>
    <x v="1"/>
    <x v="7"/>
    <s v="GL-05"/>
    <s v="AUTOMATIC SLIDING DOOR D0-01"/>
    <s v="100MM WIDTH DECAL"/>
    <n v="2835"/>
    <n v="1235"/>
    <n v="1"/>
    <n v="2.835"/>
    <n v="1.2350000000000001"/>
    <n v="8.14"/>
    <n v="1"/>
    <n v="3.5012249999999998"/>
  </r>
  <r>
    <n v="1"/>
    <s v="G"/>
    <s v="North"/>
    <x v="3"/>
    <m/>
    <m/>
    <m/>
    <m/>
    <x v="1"/>
    <x v="1"/>
    <x v="7"/>
    <s v="GL-05"/>
    <s v="AUTOMATIC SLIDING DOOR D0-01"/>
    <s v="100MM WIDTH DECAL"/>
    <n v="2835"/>
    <n v="1200"/>
    <n v="1"/>
    <n v="2.835"/>
    <n v="1.2"/>
    <n v="8.07"/>
    <n v="1"/>
    <n v="3.4020000000000001"/>
  </r>
  <r>
    <n v="1"/>
    <s v="G"/>
    <s v="North"/>
    <x v="3"/>
    <m/>
    <m/>
    <m/>
    <m/>
    <x v="1"/>
    <x v="1"/>
    <x v="1"/>
    <s v="GL-01"/>
    <m/>
    <s v="100MM WIDTH DECAL"/>
    <n v="2835"/>
    <n v="1635"/>
    <n v="1"/>
    <n v="2.835"/>
    <n v="1.635"/>
    <n v="8.94"/>
    <n v="1"/>
    <n v="4.6352250000000002"/>
  </r>
  <r>
    <n v="1"/>
    <s v="G"/>
    <s v="North"/>
    <x v="3"/>
    <m/>
    <m/>
    <m/>
    <m/>
    <x v="2"/>
    <x v="1"/>
    <x v="1"/>
    <s v="GL-01"/>
    <m/>
    <m/>
    <n v="990"/>
    <n v="4870"/>
    <n v="1"/>
    <n v="0.99"/>
    <n v="4.87"/>
    <n v="11.72"/>
    <n v="1"/>
    <n v="4.8212999999999999"/>
  </r>
  <r>
    <n v="1"/>
    <s v="G"/>
    <s v="North"/>
    <x v="3"/>
    <m/>
    <m/>
    <m/>
    <m/>
    <x v="2"/>
    <x v="1"/>
    <x v="1"/>
    <s v="GL-01"/>
    <m/>
    <m/>
    <n v="990"/>
    <n v="1635"/>
    <n v="1"/>
    <n v="0.99"/>
    <n v="1.635"/>
    <n v="5.25"/>
    <n v="1"/>
    <n v="1.6186500000000001"/>
  </r>
  <r>
    <n v="1"/>
    <s v="G"/>
    <s v="North"/>
    <x v="3"/>
    <m/>
    <m/>
    <m/>
    <m/>
    <x v="2"/>
    <x v="1"/>
    <x v="6"/>
    <m/>
    <m/>
    <m/>
    <n v="300"/>
    <n v="4870"/>
    <n v="1"/>
    <n v="0.3"/>
    <n v="4.87"/>
    <n v="10.34"/>
    <n v="1"/>
    <n v="1.4610000000000001"/>
  </r>
  <r>
    <n v="1"/>
    <s v="G"/>
    <s v="North"/>
    <x v="3"/>
    <m/>
    <m/>
    <m/>
    <m/>
    <x v="2"/>
    <x v="1"/>
    <x v="6"/>
    <m/>
    <m/>
    <m/>
    <n v="300"/>
    <n v="1635"/>
    <n v="1"/>
    <n v="0.3"/>
    <n v="1.635"/>
    <n v="3.87"/>
    <n v="1"/>
    <n v="0.49049999999999999"/>
  </r>
  <r>
    <n v="1"/>
    <s v="G"/>
    <s v="North"/>
    <x v="3"/>
    <m/>
    <m/>
    <m/>
    <m/>
    <x v="2"/>
    <x v="1"/>
    <x v="7"/>
    <s v="GL-05"/>
    <s v="AUTOMATIC SLIDING DOOR D0-01"/>
    <s v="100MM WIDTH DECAL"/>
    <n v="2835"/>
    <n v="4870"/>
    <n v="1"/>
    <n v="2.835"/>
    <n v="4.87"/>
    <n v="15.41"/>
    <n v="1"/>
    <n v="13.80645"/>
  </r>
  <r>
    <n v="1"/>
    <s v="G"/>
    <s v="North"/>
    <x v="3"/>
    <m/>
    <m/>
    <m/>
    <m/>
    <x v="2"/>
    <x v="1"/>
    <x v="1"/>
    <s v="GL-01"/>
    <m/>
    <s v="100MM WIDTH DECAL"/>
    <n v="2835"/>
    <n v="1635"/>
    <n v="1"/>
    <n v="2.835"/>
    <n v="1.635"/>
    <n v="8.94"/>
    <n v="1"/>
    <n v="4.6352250000000002"/>
  </r>
  <r>
    <n v="1"/>
    <s v="G"/>
    <s v="EAST"/>
    <x v="4"/>
    <m/>
    <m/>
    <m/>
    <m/>
    <x v="0"/>
    <x v="1"/>
    <x v="0"/>
    <m/>
    <m/>
    <m/>
    <n v="4125"/>
    <n v="6685"/>
    <n v="1"/>
    <n v="4.125"/>
    <n v="6.6849999999999996"/>
    <n v="21.62"/>
    <n v="1"/>
    <n v="27.575624999999999"/>
  </r>
  <r>
    <n v="1"/>
    <s v="G"/>
    <s v="EAST"/>
    <x v="4"/>
    <m/>
    <m/>
    <m/>
    <m/>
    <x v="1"/>
    <x v="1"/>
    <x v="1"/>
    <s v="GL-01"/>
    <m/>
    <m/>
    <n v="4125"/>
    <n v="1900"/>
    <n v="1"/>
    <n v="4.125"/>
    <n v="1.9"/>
    <n v="12.05"/>
    <n v="1"/>
    <n v="7.8375000000000004"/>
  </r>
  <r>
    <n v="1"/>
    <s v="G"/>
    <s v="EAST"/>
    <x v="4"/>
    <m/>
    <m/>
    <m/>
    <m/>
    <x v="1"/>
    <x v="1"/>
    <x v="1"/>
    <s v="GL-01"/>
    <m/>
    <m/>
    <n v="1125"/>
    <n v="3200"/>
    <n v="1"/>
    <n v="1.125"/>
    <n v="3.2"/>
    <n v="8.65"/>
    <n v="1"/>
    <n v="3.6"/>
  </r>
  <r>
    <n v="1"/>
    <s v="G"/>
    <s v="EAST"/>
    <x v="4"/>
    <m/>
    <m/>
    <m/>
    <m/>
    <x v="1"/>
    <x v="1"/>
    <x v="3"/>
    <s v="GL-05"/>
    <s v="D0-08"/>
    <m/>
    <n v="2075"/>
    <n v="1066.6666666666667"/>
    <n v="1"/>
    <n v="2.0750000000000002"/>
    <n v="1.0666666666666667"/>
    <n v="6.2833333333333341"/>
    <n v="1"/>
    <n v="2.2133333333333334"/>
  </r>
  <r>
    <n v="1"/>
    <s v="G"/>
    <s v="EAST"/>
    <x v="4"/>
    <m/>
    <m/>
    <m/>
    <m/>
    <x v="1"/>
    <x v="1"/>
    <x v="3"/>
    <s v="GL-05"/>
    <s v="D0-08"/>
    <m/>
    <n v="2075"/>
    <n v="1066.6666666666667"/>
    <n v="1"/>
    <n v="2.0750000000000002"/>
    <n v="1.0666666666666667"/>
    <n v="6.2833333333333341"/>
    <n v="1"/>
    <n v="2.2133333333333334"/>
  </r>
  <r>
    <n v="1"/>
    <s v="G"/>
    <s v="EAST"/>
    <x v="4"/>
    <m/>
    <m/>
    <m/>
    <m/>
    <x v="1"/>
    <x v="1"/>
    <x v="3"/>
    <s v="GL-05"/>
    <s v="D0-08"/>
    <m/>
    <n v="2075"/>
    <n v="1066.6666666666667"/>
    <n v="1"/>
    <n v="2.0750000000000002"/>
    <n v="1.0666666666666667"/>
    <n v="6.2833333333333341"/>
    <n v="1"/>
    <n v="2.2133333333333334"/>
  </r>
  <r>
    <n v="1"/>
    <s v="G"/>
    <s v="EAST"/>
    <x v="4"/>
    <m/>
    <m/>
    <m/>
    <m/>
    <x v="1"/>
    <x v="1"/>
    <x v="1"/>
    <s v="GL-01"/>
    <m/>
    <m/>
    <n v="925"/>
    <n v="3200"/>
    <n v="1"/>
    <n v="0.92500000000000004"/>
    <n v="3.2"/>
    <n v="8.25"/>
    <n v="1"/>
    <n v="2.96"/>
  </r>
  <r>
    <n v="1"/>
    <s v="G"/>
    <s v="EAST"/>
    <x v="4"/>
    <m/>
    <m/>
    <m/>
    <m/>
    <x v="1"/>
    <x v="1"/>
    <x v="1"/>
    <s v="GL-01"/>
    <s v="backpan"/>
    <m/>
    <n v="4125"/>
    <n v="1585"/>
    <n v="1"/>
    <n v="4.125"/>
    <n v="1.585"/>
    <n v="11.42"/>
    <n v="1"/>
    <n v="6.538125"/>
  </r>
  <r>
    <n v="1"/>
    <s v="G"/>
    <s v="EAST"/>
    <x v="4"/>
    <m/>
    <m/>
    <m/>
    <m/>
    <x v="2"/>
    <x v="1"/>
    <x v="1"/>
    <s v="GL-01"/>
    <m/>
    <m/>
    <n v="4125"/>
    <n v="1900"/>
    <n v="1"/>
    <n v="4.125"/>
    <n v="1.9"/>
    <n v="12.05"/>
    <n v="1"/>
    <n v="7.8375000000000004"/>
  </r>
  <r>
    <n v="1"/>
    <s v="G"/>
    <s v="EAST"/>
    <x v="4"/>
    <m/>
    <m/>
    <m/>
    <m/>
    <x v="2"/>
    <x v="1"/>
    <x v="1"/>
    <s v="GL-01"/>
    <m/>
    <m/>
    <n v="1125"/>
    <n v="3200"/>
    <n v="1"/>
    <n v="1.125"/>
    <n v="3.2"/>
    <n v="8.65"/>
    <n v="1"/>
    <n v="3.6"/>
  </r>
  <r>
    <n v="1"/>
    <s v="G"/>
    <s v="EAST"/>
    <x v="4"/>
    <m/>
    <m/>
    <m/>
    <m/>
    <x v="2"/>
    <x v="1"/>
    <x v="8"/>
    <s v="GL-05"/>
    <s v="D0-08"/>
    <m/>
    <n v="2075"/>
    <n v="3200"/>
    <n v="1"/>
    <n v="2.0750000000000002"/>
    <n v="3.2"/>
    <n v="10.55"/>
    <n v="1"/>
    <n v="6.6400000000000006"/>
  </r>
  <r>
    <n v="1"/>
    <s v="G"/>
    <s v="EAST"/>
    <x v="4"/>
    <m/>
    <m/>
    <m/>
    <m/>
    <x v="2"/>
    <x v="1"/>
    <x v="1"/>
    <s v="GL-01"/>
    <m/>
    <m/>
    <n v="925"/>
    <n v="3200"/>
    <n v="1"/>
    <n v="0.92500000000000004"/>
    <n v="3.2"/>
    <n v="8.25"/>
    <n v="1"/>
    <n v="2.96"/>
  </r>
  <r>
    <n v="1"/>
    <s v="G"/>
    <s v="EAST"/>
    <x v="4"/>
    <m/>
    <m/>
    <m/>
    <m/>
    <x v="2"/>
    <x v="1"/>
    <x v="1"/>
    <s v="GL-01"/>
    <s v="backpan"/>
    <m/>
    <n v="4125"/>
    <n v="1585"/>
    <n v="1"/>
    <n v="4.125"/>
    <n v="1.585"/>
    <n v="11.42"/>
    <n v="1"/>
    <n v="6.538125"/>
  </r>
  <r>
    <n v="1"/>
    <s v="G"/>
    <s v="EAST"/>
    <x v="5"/>
    <m/>
    <m/>
    <m/>
    <m/>
    <x v="0"/>
    <x v="1"/>
    <x v="0"/>
    <m/>
    <m/>
    <m/>
    <n v="4125"/>
    <n v="13575"/>
    <n v="1"/>
    <n v="4.125"/>
    <n v="13.574999999999999"/>
    <n v="35.4"/>
    <n v="1"/>
    <n v="55.996875000000003"/>
  </r>
  <r>
    <n v="1"/>
    <s v="G"/>
    <s v="EAST"/>
    <x v="5"/>
    <m/>
    <m/>
    <m/>
    <m/>
    <x v="1"/>
    <x v="1"/>
    <x v="1"/>
    <s v="GL-01"/>
    <s v="backpan"/>
    <m/>
    <n v="3600"/>
    <n v="345"/>
    <n v="1"/>
    <n v="3.6"/>
    <n v="0.34499999999999997"/>
    <n v="7.89"/>
    <n v="1"/>
    <n v="1.242"/>
  </r>
  <r>
    <n v="1"/>
    <s v="G"/>
    <s v="EAST"/>
    <x v="5"/>
    <m/>
    <m/>
    <m/>
    <m/>
    <x v="1"/>
    <x v="1"/>
    <x v="1"/>
    <s v="GL-01"/>
    <s v="backpan"/>
    <m/>
    <n v="3600"/>
    <n v="2015"/>
    <n v="1"/>
    <n v="3.6"/>
    <n v="2.0150000000000001"/>
    <n v="11.23"/>
    <n v="1"/>
    <n v="7.2539999999999996"/>
  </r>
  <r>
    <n v="1"/>
    <s v="G"/>
    <s v="EAST"/>
    <x v="5"/>
    <m/>
    <m/>
    <m/>
    <m/>
    <x v="1"/>
    <x v="1"/>
    <x v="1"/>
    <s v="GL-01"/>
    <s v="backpan"/>
    <m/>
    <n v="3600"/>
    <n v="560"/>
    <n v="1"/>
    <n v="3.6"/>
    <n v="0.56000000000000005"/>
    <n v="8.32"/>
    <n v="1"/>
    <n v="2.016"/>
  </r>
  <r>
    <n v="1"/>
    <s v="G"/>
    <s v="EAST"/>
    <x v="5"/>
    <m/>
    <m/>
    <m/>
    <m/>
    <x v="1"/>
    <x v="1"/>
    <x v="1"/>
    <s v="GL-01"/>
    <s v="backpan"/>
    <m/>
    <n v="3600"/>
    <n v="1955"/>
    <n v="1"/>
    <n v="3.6"/>
    <n v="1.9550000000000001"/>
    <n v="11.11"/>
    <n v="1"/>
    <n v="7.0380000000000003"/>
  </r>
  <r>
    <n v="1"/>
    <s v="G"/>
    <s v="EAST"/>
    <x v="5"/>
    <m/>
    <m/>
    <m/>
    <m/>
    <x v="1"/>
    <x v="1"/>
    <x v="1"/>
    <s v="GL-01"/>
    <s v="backpan"/>
    <m/>
    <n v="3600"/>
    <n v="1515"/>
    <n v="1"/>
    <n v="3.6"/>
    <n v="1.5149999999999999"/>
    <n v="10.23"/>
    <n v="1"/>
    <n v="5.4539999999999997"/>
  </r>
  <r>
    <n v="1"/>
    <s v="G"/>
    <s v="EAST"/>
    <x v="5"/>
    <m/>
    <m/>
    <m/>
    <m/>
    <x v="1"/>
    <x v="1"/>
    <x v="1"/>
    <s v="GL-01"/>
    <s v="backpan"/>
    <m/>
    <n v="3600"/>
    <n v="740"/>
    <n v="1"/>
    <n v="3.6"/>
    <n v="0.74"/>
    <n v="8.68"/>
    <n v="1"/>
    <n v="2.6640000000000001"/>
  </r>
  <r>
    <n v="1"/>
    <s v="G"/>
    <s v="EAST"/>
    <x v="5"/>
    <m/>
    <m/>
    <m/>
    <m/>
    <x v="1"/>
    <x v="1"/>
    <x v="1"/>
    <s v="GL-01"/>
    <s v="backpan"/>
    <m/>
    <n v="3600"/>
    <n v="2245"/>
    <n v="1"/>
    <n v="3.6"/>
    <n v="2.2450000000000001"/>
    <n v="11.69"/>
    <n v="1"/>
    <n v="8.0820000000000007"/>
  </r>
  <r>
    <n v="1"/>
    <s v="G"/>
    <s v="EAST"/>
    <x v="5"/>
    <m/>
    <m/>
    <m/>
    <m/>
    <x v="1"/>
    <x v="1"/>
    <x v="1"/>
    <s v="GL-01"/>
    <s v="backpan"/>
    <m/>
    <n v="3600"/>
    <n v="545"/>
    <n v="1"/>
    <n v="3.6"/>
    <n v="0.54500000000000004"/>
    <n v="8.2899999999999991"/>
    <n v="1"/>
    <n v="1.962"/>
  </r>
  <r>
    <n v="1"/>
    <s v="G"/>
    <s v="EAST"/>
    <x v="5"/>
    <m/>
    <m/>
    <m/>
    <m/>
    <x v="1"/>
    <x v="1"/>
    <x v="1"/>
    <s v="GL-01"/>
    <s v="backpan"/>
    <m/>
    <n v="3600"/>
    <n v="320"/>
    <n v="1"/>
    <n v="3.6"/>
    <n v="0.32"/>
    <n v="7.84"/>
    <n v="1"/>
    <n v="1.1519999999999999"/>
  </r>
  <r>
    <n v="1"/>
    <s v="G"/>
    <s v="EAST"/>
    <x v="5"/>
    <m/>
    <m/>
    <m/>
    <m/>
    <x v="1"/>
    <x v="1"/>
    <x v="1"/>
    <s v="GL-01"/>
    <s v="backpan"/>
    <m/>
    <n v="3600"/>
    <n v="615"/>
    <n v="1"/>
    <n v="3.6"/>
    <n v="0.61499999999999999"/>
    <n v="8.43"/>
    <n v="1"/>
    <n v="2.214"/>
  </r>
  <r>
    <n v="1"/>
    <s v="G"/>
    <s v="EAST"/>
    <x v="5"/>
    <m/>
    <m/>
    <m/>
    <m/>
    <x v="1"/>
    <x v="1"/>
    <x v="1"/>
    <s v="GL-01"/>
    <s v="backpan"/>
    <m/>
    <n v="3600"/>
    <n v="320"/>
    <n v="1"/>
    <n v="3.6"/>
    <n v="0.32"/>
    <n v="7.84"/>
    <n v="1"/>
    <n v="1.1519999999999999"/>
  </r>
  <r>
    <n v="1"/>
    <s v="G"/>
    <s v="EAST"/>
    <x v="5"/>
    <m/>
    <m/>
    <m/>
    <m/>
    <x v="1"/>
    <x v="1"/>
    <x v="1"/>
    <s v="GL-01"/>
    <s v="backpan"/>
    <m/>
    <n v="3600"/>
    <n v="1555"/>
    <n v="1"/>
    <n v="3.6"/>
    <n v="1.5549999999999999"/>
    <n v="10.31"/>
    <n v="1"/>
    <n v="5.5979999999999999"/>
  </r>
  <r>
    <n v="1"/>
    <s v="G"/>
    <s v="EAST"/>
    <x v="5"/>
    <m/>
    <m/>
    <m/>
    <m/>
    <x v="1"/>
    <x v="1"/>
    <x v="1"/>
    <s v="GL-01"/>
    <s v="backpan"/>
    <m/>
    <n v="3600"/>
    <n v="500"/>
    <n v="1"/>
    <n v="3.6"/>
    <n v="0.5"/>
    <n v="8.1999999999999993"/>
    <n v="1"/>
    <n v="1.8"/>
  </r>
  <r>
    <n v="1"/>
    <s v="G"/>
    <s v="EAST"/>
    <x v="5"/>
    <m/>
    <m/>
    <m/>
    <m/>
    <x v="1"/>
    <x v="1"/>
    <x v="1"/>
    <s v="GL-01"/>
    <s v="backpan"/>
    <m/>
    <n v="3600"/>
    <n v="345"/>
    <n v="1"/>
    <n v="3.6"/>
    <n v="0.34499999999999997"/>
    <n v="7.89"/>
    <n v="1"/>
    <n v="1.242"/>
  </r>
  <r>
    <n v="1"/>
    <s v="G"/>
    <s v="EAST"/>
    <x v="5"/>
    <m/>
    <m/>
    <m/>
    <m/>
    <x v="1"/>
    <x v="1"/>
    <x v="1"/>
    <s v="GL-01"/>
    <s v="backpan"/>
    <m/>
    <n v="525"/>
    <n v="345"/>
    <n v="1"/>
    <n v="0.52500000000000002"/>
    <n v="0.34499999999999997"/>
    <n v="1.74"/>
    <n v="1"/>
    <n v="0.18112500000000001"/>
  </r>
  <r>
    <n v="1"/>
    <s v="G"/>
    <s v="EAST"/>
    <x v="5"/>
    <m/>
    <m/>
    <m/>
    <m/>
    <x v="1"/>
    <x v="1"/>
    <x v="1"/>
    <s v="GL-01"/>
    <s v="backpan"/>
    <m/>
    <n v="525"/>
    <n v="2015"/>
    <n v="1"/>
    <n v="0.52500000000000002"/>
    <n v="2.0150000000000001"/>
    <n v="5.08"/>
    <n v="1"/>
    <n v="1.0578749999999999"/>
  </r>
  <r>
    <n v="1"/>
    <s v="G"/>
    <s v="EAST"/>
    <x v="5"/>
    <m/>
    <m/>
    <m/>
    <m/>
    <x v="1"/>
    <x v="1"/>
    <x v="1"/>
    <s v="GL-01"/>
    <s v="backpan"/>
    <m/>
    <n v="525"/>
    <n v="560"/>
    <n v="1"/>
    <n v="0.52500000000000002"/>
    <n v="0.56000000000000005"/>
    <n v="2.17"/>
    <n v="1"/>
    <n v="0.29399999999999998"/>
  </r>
  <r>
    <n v="1"/>
    <s v="G"/>
    <s v="EAST"/>
    <x v="5"/>
    <m/>
    <m/>
    <m/>
    <m/>
    <x v="1"/>
    <x v="1"/>
    <x v="1"/>
    <s v="GL-01"/>
    <s v="backpan"/>
    <m/>
    <n v="525"/>
    <n v="1955"/>
    <n v="1"/>
    <n v="0.52500000000000002"/>
    <n v="1.9550000000000001"/>
    <n v="4.96"/>
    <n v="1"/>
    <n v="1.026375"/>
  </r>
  <r>
    <n v="1"/>
    <s v="G"/>
    <s v="EAST"/>
    <x v="5"/>
    <m/>
    <m/>
    <m/>
    <m/>
    <x v="1"/>
    <x v="1"/>
    <x v="1"/>
    <s v="GL-01"/>
    <s v="backpan"/>
    <m/>
    <n v="525"/>
    <n v="1515"/>
    <n v="1"/>
    <n v="0.52500000000000002"/>
    <n v="1.5149999999999999"/>
    <n v="4.08"/>
    <n v="1"/>
    <n v="0.79537500000000005"/>
  </r>
  <r>
    <n v="1"/>
    <s v="G"/>
    <s v="EAST"/>
    <x v="5"/>
    <m/>
    <m/>
    <m/>
    <m/>
    <x v="1"/>
    <x v="1"/>
    <x v="1"/>
    <s v="GL-01"/>
    <s v="backpan"/>
    <m/>
    <n v="525"/>
    <n v="740"/>
    <n v="1"/>
    <n v="0.52500000000000002"/>
    <n v="0.74"/>
    <n v="2.5299999999999998"/>
    <n v="1"/>
    <n v="0.38850000000000001"/>
  </r>
  <r>
    <n v="1"/>
    <s v="G"/>
    <s v="EAST"/>
    <x v="5"/>
    <m/>
    <m/>
    <m/>
    <m/>
    <x v="1"/>
    <x v="1"/>
    <x v="1"/>
    <s v="GL-01"/>
    <s v="backpan"/>
    <m/>
    <n v="525"/>
    <n v="2245"/>
    <n v="1"/>
    <n v="0.52500000000000002"/>
    <n v="2.2450000000000001"/>
    <n v="5.54"/>
    <n v="1"/>
    <n v="1.178625"/>
  </r>
  <r>
    <n v="1"/>
    <s v="G"/>
    <s v="EAST"/>
    <x v="5"/>
    <m/>
    <m/>
    <m/>
    <m/>
    <x v="1"/>
    <x v="1"/>
    <x v="1"/>
    <s v="GL-01"/>
    <s v="backpan"/>
    <m/>
    <n v="525"/>
    <n v="545"/>
    <n v="1"/>
    <n v="0.52500000000000002"/>
    <n v="0.54500000000000004"/>
    <n v="2.14"/>
    <n v="1"/>
    <n v="0.28612500000000002"/>
  </r>
  <r>
    <n v="1"/>
    <s v="G"/>
    <s v="EAST"/>
    <x v="5"/>
    <m/>
    <m/>
    <m/>
    <m/>
    <x v="1"/>
    <x v="1"/>
    <x v="1"/>
    <s v="GL-01"/>
    <s v="backpan"/>
    <m/>
    <n v="525"/>
    <n v="320"/>
    <n v="1"/>
    <n v="0.52500000000000002"/>
    <n v="0.32"/>
    <n v="1.69"/>
    <n v="1"/>
    <n v="0.16800000000000001"/>
  </r>
  <r>
    <n v="1"/>
    <s v="G"/>
    <s v="EAST"/>
    <x v="5"/>
    <m/>
    <m/>
    <m/>
    <m/>
    <x v="1"/>
    <x v="1"/>
    <x v="1"/>
    <s v="GL-01"/>
    <s v="backpan"/>
    <m/>
    <n v="525"/>
    <n v="615"/>
    <n v="1"/>
    <n v="0.52500000000000002"/>
    <n v="0.61499999999999999"/>
    <n v="2.2799999999999998"/>
    <n v="1"/>
    <n v="0.32287500000000002"/>
  </r>
  <r>
    <n v="1"/>
    <s v="G"/>
    <s v="EAST"/>
    <x v="5"/>
    <m/>
    <m/>
    <m/>
    <m/>
    <x v="1"/>
    <x v="1"/>
    <x v="1"/>
    <s v="GL-01"/>
    <s v="backpan"/>
    <m/>
    <n v="525"/>
    <n v="320"/>
    <n v="1"/>
    <n v="0.52500000000000002"/>
    <n v="0.32"/>
    <n v="1.69"/>
    <n v="1"/>
    <n v="0.16800000000000001"/>
  </r>
  <r>
    <n v="1"/>
    <s v="G"/>
    <s v="EAST"/>
    <x v="5"/>
    <m/>
    <m/>
    <m/>
    <m/>
    <x v="1"/>
    <x v="1"/>
    <x v="1"/>
    <s v="GL-01"/>
    <s v="backpan"/>
    <m/>
    <n v="525"/>
    <n v="1555"/>
    <n v="1"/>
    <n v="0.52500000000000002"/>
    <n v="1.5549999999999999"/>
    <n v="4.16"/>
    <n v="1"/>
    <n v="0.81637499999999996"/>
  </r>
  <r>
    <n v="1"/>
    <s v="G"/>
    <s v="EAST"/>
    <x v="5"/>
    <m/>
    <m/>
    <m/>
    <m/>
    <x v="1"/>
    <x v="1"/>
    <x v="1"/>
    <s v="GL-01"/>
    <s v="backpan"/>
    <m/>
    <n v="525"/>
    <n v="500"/>
    <n v="1"/>
    <n v="0.52500000000000002"/>
    <n v="0.5"/>
    <n v="2.0499999999999998"/>
    <n v="1"/>
    <n v="0.26250000000000001"/>
  </r>
  <r>
    <n v="1"/>
    <s v="G"/>
    <s v="EAST"/>
    <x v="5"/>
    <m/>
    <m/>
    <m/>
    <m/>
    <x v="1"/>
    <x v="1"/>
    <x v="1"/>
    <s v="GL-01"/>
    <s v="backpan"/>
    <m/>
    <n v="525"/>
    <n v="345"/>
    <n v="1"/>
    <n v="0.52500000000000002"/>
    <n v="0.34499999999999997"/>
    <n v="1.74"/>
    <n v="1"/>
    <n v="0.18112500000000001"/>
  </r>
  <r>
    <n v="1"/>
    <s v="G"/>
    <s v="EAST"/>
    <x v="5"/>
    <m/>
    <m/>
    <m/>
    <m/>
    <x v="2"/>
    <x v="1"/>
    <x v="1"/>
    <s v="GL-01"/>
    <s v="backpan"/>
    <m/>
    <n v="3600"/>
    <n v="345"/>
    <n v="1"/>
    <n v="3.6"/>
    <n v="0.34499999999999997"/>
    <n v="7.89"/>
    <n v="1"/>
    <n v="1.242"/>
  </r>
  <r>
    <n v="1"/>
    <s v="G"/>
    <s v="EAST"/>
    <x v="5"/>
    <m/>
    <m/>
    <m/>
    <m/>
    <x v="2"/>
    <x v="1"/>
    <x v="1"/>
    <s v="GL-01"/>
    <s v="backpan"/>
    <m/>
    <n v="3600"/>
    <n v="2015"/>
    <n v="1"/>
    <n v="3.6"/>
    <n v="2.0150000000000001"/>
    <n v="11.23"/>
    <n v="1"/>
    <n v="7.2539999999999996"/>
  </r>
  <r>
    <n v="1"/>
    <s v="G"/>
    <s v="EAST"/>
    <x v="5"/>
    <m/>
    <m/>
    <m/>
    <m/>
    <x v="2"/>
    <x v="1"/>
    <x v="1"/>
    <s v="GL-01"/>
    <s v="backpan"/>
    <m/>
    <n v="3600"/>
    <n v="560"/>
    <n v="1"/>
    <n v="3.6"/>
    <n v="0.56000000000000005"/>
    <n v="8.32"/>
    <n v="1"/>
    <n v="2.016"/>
  </r>
  <r>
    <n v="1"/>
    <s v="G"/>
    <s v="EAST"/>
    <x v="5"/>
    <m/>
    <m/>
    <m/>
    <m/>
    <x v="2"/>
    <x v="1"/>
    <x v="1"/>
    <s v="GL-01"/>
    <s v="backpan"/>
    <m/>
    <n v="3600"/>
    <n v="1955"/>
    <n v="1"/>
    <n v="3.6"/>
    <n v="1.9550000000000001"/>
    <n v="11.11"/>
    <n v="1"/>
    <n v="7.0380000000000003"/>
  </r>
  <r>
    <n v="1"/>
    <s v="G"/>
    <s v="EAST"/>
    <x v="5"/>
    <m/>
    <m/>
    <m/>
    <m/>
    <x v="2"/>
    <x v="1"/>
    <x v="1"/>
    <s v="GL-01"/>
    <s v="backpan"/>
    <m/>
    <n v="3600"/>
    <n v="1515"/>
    <n v="1"/>
    <n v="3.6"/>
    <n v="1.5149999999999999"/>
    <n v="10.23"/>
    <n v="1"/>
    <n v="5.4539999999999997"/>
  </r>
  <r>
    <n v="1"/>
    <s v="G"/>
    <s v="EAST"/>
    <x v="5"/>
    <m/>
    <m/>
    <m/>
    <m/>
    <x v="2"/>
    <x v="1"/>
    <x v="1"/>
    <s v="GL-01"/>
    <s v="backpan"/>
    <m/>
    <n v="3600"/>
    <n v="740"/>
    <n v="1"/>
    <n v="3.6"/>
    <n v="0.74"/>
    <n v="8.68"/>
    <n v="1"/>
    <n v="2.6640000000000001"/>
  </r>
  <r>
    <n v="1"/>
    <s v="G"/>
    <s v="EAST"/>
    <x v="5"/>
    <m/>
    <m/>
    <m/>
    <m/>
    <x v="2"/>
    <x v="1"/>
    <x v="1"/>
    <s v="GL-01"/>
    <s v="backpan"/>
    <m/>
    <n v="3600"/>
    <n v="2245"/>
    <n v="1"/>
    <n v="3.6"/>
    <n v="2.2450000000000001"/>
    <n v="11.69"/>
    <n v="1"/>
    <n v="8.0820000000000007"/>
  </r>
  <r>
    <n v="1"/>
    <s v="G"/>
    <s v="EAST"/>
    <x v="5"/>
    <m/>
    <m/>
    <m/>
    <m/>
    <x v="2"/>
    <x v="1"/>
    <x v="1"/>
    <s v="GL-01"/>
    <s v="backpan"/>
    <m/>
    <n v="3600"/>
    <n v="545"/>
    <n v="1"/>
    <n v="3.6"/>
    <n v="0.54500000000000004"/>
    <n v="8.2899999999999991"/>
    <n v="1"/>
    <n v="1.962"/>
  </r>
  <r>
    <n v="1"/>
    <s v="G"/>
    <s v="EAST"/>
    <x v="5"/>
    <m/>
    <m/>
    <m/>
    <m/>
    <x v="2"/>
    <x v="1"/>
    <x v="1"/>
    <s v="GL-01"/>
    <s v="backpan"/>
    <m/>
    <n v="3600"/>
    <n v="320"/>
    <n v="1"/>
    <n v="3.6"/>
    <n v="0.32"/>
    <n v="7.84"/>
    <n v="1"/>
    <n v="1.1519999999999999"/>
  </r>
  <r>
    <n v="1"/>
    <s v="G"/>
    <s v="EAST"/>
    <x v="5"/>
    <m/>
    <m/>
    <m/>
    <m/>
    <x v="2"/>
    <x v="1"/>
    <x v="1"/>
    <s v="GL-01"/>
    <s v="backpan"/>
    <m/>
    <n v="3600"/>
    <n v="615"/>
    <n v="1"/>
    <n v="3.6"/>
    <n v="0.61499999999999999"/>
    <n v="8.43"/>
    <n v="1"/>
    <n v="2.214"/>
  </r>
  <r>
    <n v="1"/>
    <s v="G"/>
    <s v="EAST"/>
    <x v="5"/>
    <m/>
    <m/>
    <m/>
    <m/>
    <x v="2"/>
    <x v="1"/>
    <x v="1"/>
    <s v="GL-01"/>
    <s v="backpan"/>
    <m/>
    <n v="3600"/>
    <n v="320"/>
    <n v="1"/>
    <n v="3.6"/>
    <n v="0.32"/>
    <n v="7.84"/>
    <n v="1"/>
    <n v="1.1519999999999999"/>
  </r>
  <r>
    <n v="1"/>
    <s v="G"/>
    <s v="EAST"/>
    <x v="5"/>
    <m/>
    <m/>
    <m/>
    <m/>
    <x v="2"/>
    <x v="1"/>
    <x v="1"/>
    <s v="GL-01"/>
    <s v="backpan"/>
    <m/>
    <n v="3600"/>
    <n v="1555"/>
    <n v="1"/>
    <n v="3.6"/>
    <n v="1.5549999999999999"/>
    <n v="10.31"/>
    <n v="1"/>
    <n v="5.5979999999999999"/>
  </r>
  <r>
    <n v="1"/>
    <s v="G"/>
    <s v="EAST"/>
    <x v="5"/>
    <m/>
    <m/>
    <m/>
    <m/>
    <x v="2"/>
    <x v="1"/>
    <x v="1"/>
    <s v="GL-01"/>
    <s v="backpan"/>
    <m/>
    <n v="3600"/>
    <n v="500"/>
    <n v="1"/>
    <n v="3.6"/>
    <n v="0.5"/>
    <n v="8.1999999999999993"/>
    <n v="1"/>
    <n v="1.8"/>
  </r>
  <r>
    <n v="1"/>
    <s v="G"/>
    <s v="EAST"/>
    <x v="5"/>
    <m/>
    <m/>
    <m/>
    <m/>
    <x v="2"/>
    <x v="1"/>
    <x v="1"/>
    <s v="GL-01"/>
    <s v="backpan"/>
    <m/>
    <n v="3600"/>
    <n v="345"/>
    <n v="1"/>
    <n v="3.6"/>
    <n v="0.34499999999999997"/>
    <n v="7.89"/>
    <n v="1"/>
    <n v="1.242"/>
  </r>
  <r>
    <n v="1"/>
    <s v="G"/>
    <s v="EAST"/>
    <x v="5"/>
    <m/>
    <m/>
    <m/>
    <m/>
    <x v="2"/>
    <x v="1"/>
    <x v="1"/>
    <s v="GL-01"/>
    <s v="backpan"/>
    <m/>
    <n v="525"/>
    <n v="345"/>
    <n v="1"/>
    <n v="0.52500000000000002"/>
    <n v="0.34499999999999997"/>
    <n v="1.74"/>
    <n v="1"/>
    <n v="0.18112500000000001"/>
  </r>
  <r>
    <n v="1"/>
    <s v="G"/>
    <s v="EAST"/>
    <x v="5"/>
    <m/>
    <m/>
    <m/>
    <m/>
    <x v="2"/>
    <x v="1"/>
    <x v="1"/>
    <s v="GL-01"/>
    <s v="backpan"/>
    <m/>
    <n v="525"/>
    <n v="2015"/>
    <n v="1"/>
    <n v="0.52500000000000002"/>
    <n v="2.0150000000000001"/>
    <n v="5.08"/>
    <n v="1"/>
    <n v="1.0578749999999999"/>
  </r>
  <r>
    <n v="1"/>
    <s v="G"/>
    <s v="EAST"/>
    <x v="5"/>
    <m/>
    <m/>
    <m/>
    <m/>
    <x v="2"/>
    <x v="1"/>
    <x v="1"/>
    <s v="GL-01"/>
    <s v="backpan"/>
    <m/>
    <n v="525"/>
    <n v="560"/>
    <n v="1"/>
    <n v="0.52500000000000002"/>
    <n v="0.56000000000000005"/>
    <n v="2.17"/>
    <n v="1"/>
    <n v="0.29399999999999998"/>
  </r>
  <r>
    <n v="1"/>
    <s v="G"/>
    <s v="EAST"/>
    <x v="5"/>
    <m/>
    <m/>
    <m/>
    <m/>
    <x v="2"/>
    <x v="1"/>
    <x v="1"/>
    <s v="GL-01"/>
    <s v="backpan"/>
    <m/>
    <n v="525"/>
    <n v="1955"/>
    <n v="1"/>
    <n v="0.52500000000000002"/>
    <n v="1.9550000000000001"/>
    <n v="4.96"/>
    <n v="1"/>
    <n v="1.026375"/>
  </r>
  <r>
    <n v="1"/>
    <s v="G"/>
    <s v="EAST"/>
    <x v="5"/>
    <m/>
    <m/>
    <m/>
    <m/>
    <x v="2"/>
    <x v="1"/>
    <x v="1"/>
    <s v="GL-01"/>
    <s v="backpan"/>
    <m/>
    <n v="525"/>
    <n v="1515"/>
    <n v="1"/>
    <n v="0.52500000000000002"/>
    <n v="1.5149999999999999"/>
    <n v="4.08"/>
    <n v="1"/>
    <n v="0.79537500000000005"/>
  </r>
  <r>
    <n v="1"/>
    <s v="G"/>
    <s v="EAST"/>
    <x v="5"/>
    <m/>
    <m/>
    <m/>
    <m/>
    <x v="2"/>
    <x v="1"/>
    <x v="1"/>
    <s v="GL-01"/>
    <s v="backpan"/>
    <m/>
    <n v="525"/>
    <n v="740"/>
    <n v="1"/>
    <n v="0.52500000000000002"/>
    <n v="0.74"/>
    <n v="2.5299999999999998"/>
    <n v="1"/>
    <n v="0.38850000000000001"/>
  </r>
  <r>
    <n v="1"/>
    <s v="G"/>
    <s v="EAST"/>
    <x v="5"/>
    <m/>
    <m/>
    <m/>
    <m/>
    <x v="2"/>
    <x v="1"/>
    <x v="1"/>
    <s v="GL-01"/>
    <s v="backpan"/>
    <m/>
    <n v="525"/>
    <n v="2245"/>
    <n v="1"/>
    <n v="0.52500000000000002"/>
    <n v="2.2450000000000001"/>
    <n v="5.54"/>
    <n v="1"/>
    <n v="1.178625"/>
  </r>
  <r>
    <n v="1"/>
    <s v="G"/>
    <s v="EAST"/>
    <x v="5"/>
    <m/>
    <m/>
    <m/>
    <m/>
    <x v="2"/>
    <x v="1"/>
    <x v="1"/>
    <s v="GL-01"/>
    <s v="backpan"/>
    <m/>
    <n v="525"/>
    <n v="545"/>
    <n v="1"/>
    <n v="0.52500000000000002"/>
    <n v="0.54500000000000004"/>
    <n v="2.14"/>
    <n v="1"/>
    <n v="0.28612500000000002"/>
  </r>
  <r>
    <n v="1"/>
    <s v="G"/>
    <s v="EAST"/>
    <x v="5"/>
    <m/>
    <m/>
    <m/>
    <m/>
    <x v="2"/>
    <x v="1"/>
    <x v="1"/>
    <s v="GL-01"/>
    <s v="backpan"/>
    <m/>
    <n v="525"/>
    <n v="320"/>
    <n v="1"/>
    <n v="0.52500000000000002"/>
    <n v="0.32"/>
    <n v="1.69"/>
    <n v="1"/>
    <n v="0.16800000000000001"/>
  </r>
  <r>
    <n v="1"/>
    <s v="G"/>
    <s v="EAST"/>
    <x v="5"/>
    <m/>
    <m/>
    <m/>
    <m/>
    <x v="2"/>
    <x v="1"/>
    <x v="1"/>
    <s v="GL-01"/>
    <s v="backpan"/>
    <m/>
    <n v="525"/>
    <n v="615"/>
    <n v="1"/>
    <n v="0.52500000000000002"/>
    <n v="0.61499999999999999"/>
    <n v="2.2799999999999998"/>
    <n v="1"/>
    <n v="0.32287500000000002"/>
  </r>
  <r>
    <n v="1"/>
    <s v="G"/>
    <s v="EAST"/>
    <x v="5"/>
    <m/>
    <m/>
    <m/>
    <m/>
    <x v="2"/>
    <x v="1"/>
    <x v="1"/>
    <s v="GL-01"/>
    <s v="backpan"/>
    <m/>
    <n v="525"/>
    <n v="320"/>
    <n v="1"/>
    <n v="0.52500000000000002"/>
    <n v="0.32"/>
    <n v="1.69"/>
    <n v="1"/>
    <n v="0.16800000000000001"/>
  </r>
  <r>
    <n v="1"/>
    <s v="G"/>
    <s v="EAST"/>
    <x v="5"/>
    <m/>
    <m/>
    <m/>
    <m/>
    <x v="2"/>
    <x v="1"/>
    <x v="1"/>
    <s v="GL-01"/>
    <s v="backpan"/>
    <m/>
    <n v="525"/>
    <n v="1555"/>
    <n v="1"/>
    <n v="0.52500000000000002"/>
    <n v="1.5549999999999999"/>
    <n v="4.16"/>
    <n v="1"/>
    <n v="0.81637499999999996"/>
  </r>
  <r>
    <n v="1"/>
    <s v="G"/>
    <s v="EAST"/>
    <x v="5"/>
    <m/>
    <m/>
    <m/>
    <m/>
    <x v="2"/>
    <x v="1"/>
    <x v="1"/>
    <s v="GL-01"/>
    <s v="backpan"/>
    <m/>
    <n v="525"/>
    <n v="500"/>
    <n v="1"/>
    <n v="0.52500000000000002"/>
    <n v="0.5"/>
    <n v="2.0499999999999998"/>
    <n v="1"/>
    <n v="0.26250000000000001"/>
  </r>
  <r>
    <n v="1"/>
    <s v="G"/>
    <s v="EAST"/>
    <x v="5"/>
    <m/>
    <m/>
    <m/>
    <m/>
    <x v="2"/>
    <x v="1"/>
    <x v="1"/>
    <s v="GL-01"/>
    <s v="backpan"/>
    <m/>
    <n v="525"/>
    <n v="345"/>
    <n v="1"/>
    <n v="0.52500000000000002"/>
    <n v="0.34499999999999997"/>
    <n v="1.74"/>
    <n v="1"/>
    <n v="0.18112500000000001"/>
  </r>
  <r>
    <n v="1"/>
    <s v="G"/>
    <s v="EAST"/>
    <x v="6"/>
    <m/>
    <m/>
    <m/>
    <m/>
    <x v="0"/>
    <x v="1"/>
    <x v="0"/>
    <m/>
    <m/>
    <m/>
    <n v="3770"/>
    <n v="8955"/>
    <n v="1"/>
    <n v="3.77"/>
    <n v="8.9550000000000001"/>
    <n v="25.45"/>
    <n v="1"/>
    <n v="33.760349999999995"/>
  </r>
  <r>
    <n v="1"/>
    <s v="G"/>
    <s v="EAST"/>
    <x v="6"/>
    <m/>
    <m/>
    <m/>
    <m/>
    <x v="1"/>
    <x v="1"/>
    <x v="1"/>
    <s v="GL-01"/>
    <m/>
    <s v="130MM WIDTH DECAL"/>
    <n v="3250"/>
    <n v="2238.75"/>
    <n v="1"/>
    <n v="3.25"/>
    <n v="2.23875"/>
    <n v="10.977499999999999"/>
    <n v="1"/>
    <n v="7.2759375000000004"/>
  </r>
  <r>
    <n v="1"/>
    <s v="G"/>
    <s v="EAST"/>
    <x v="6"/>
    <m/>
    <m/>
    <m/>
    <m/>
    <x v="1"/>
    <x v="1"/>
    <x v="1"/>
    <s v="GL-01"/>
    <m/>
    <s v="130MM WIDTH DECAL"/>
    <n v="3250"/>
    <n v="2238.75"/>
    <n v="1"/>
    <n v="3.25"/>
    <n v="2.23875"/>
    <n v="10.977499999999999"/>
    <n v="1"/>
    <n v="7.2759375000000004"/>
  </r>
  <r>
    <n v="1"/>
    <s v="G"/>
    <s v="EAST"/>
    <x v="6"/>
    <m/>
    <m/>
    <m/>
    <m/>
    <x v="1"/>
    <x v="1"/>
    <x v="1"/>
    <s v="GL-01"/>
    <m/>
    <s v="130MM WIDTH DECAL"/>
    <n v="3250"/>
    <n v="2238.75"/>
    <n v="1"/>
    <n v="3.25"/>
    <n v="2.23875"/>
    <n v="10.977499999999999"/>
    <n v="1"/>
    <n v="7.2759375000000004"/>
  </r>
  <r>
    <n v="1"/>
    <s v="G"/>
    <s v="EAST"/>
    <x v="6"/>
    <m/>
    <m/>
    <m/>
    <m/>
    <x v="1"/>
    <x v="1"/>
    <x v="1"/>
    <s v="GL-01"/>
    <m/>
    <s v="130MM WIDTH DECAL"/>
    <n v="3250"/>
    <n v="2238.75"/>
    <n v="1"/>
    <n v="3.25"/>
    <n v="2.23875"/>
    <n v="10.977499999999999"/>
    <n v="1"/>
    <n v="7.2759375000000004"/>
  </r>
  <r>
    <n v="1"/>
    <s v="G"/>
    <s v="EAST"/>
    <x v="6"/>
    <m/>
    <m/>
    <m/>
    <m/>
    <x v="1"/>
    <x v="1"/>
    <x v="9"/>
    <s v="GL-02"/>
    <s v="backpan"/>
    <m/>
    <n v="520"/>
    <n v="2238.75"/>
    <n v="1"/>
    <n v="0.52"/>
    <n v="2.23875"/>
    <n v="5.5175000000000001"/>
    <n v="1"/>
    <n v="1.16415"/>
  </r>
  <r>
    <n v="1"/>
    <s v="G"/>
    <s v="EAST"/>
    <x v="6"/>
    <m/>
    <m/>
    <m/>
    <m/>
    <x v="1"/>
    <x v="1"/>
    <x v="9"/>
    <s v="GL-02"/>
    <s v="backpan"/>
    <m/>
    <n v="520"/>
    <n v="2238.75"/>
    <n v="1"/>
    <n v="0.52"/>
    <n v="2.23875"/>
    <n v="5.5175000000000001"/>
    <n v="1"/>
    <n v="1.16415"/>
  </r>
  <r>
    <n v="1"/>
    <s v="G"/>
    <s v="EAST"/>
    <x v="6"/>
    <m/>
    <m/>
    <m/>
    <m/>
    <x v="1"/>
    <x v="1"/>
    <x v="9"/>
    <s v="GL-02"/>
    <s v="backpan"/>
    <m/>
    <n v="520"/>
    <n v="2238.75"/>
    <n v="1"/>
    <n v="0.52"/>
    <n v="2.23875"/>
    <n v="5.5175000000000001"/>
    <n v="1"/>
    <n v="1.16415"/>
  </r>
  <r>
    <n v="1"/>
    <s v="G"/>
    <s v="EAST"/>
    <x v="6"/>
    <m/>
    <m/>
    <m/>
    <m/>
    <x v="1"/>
    <x v="1"/>
    <x v="9"/>
    <s v="GL-02"/>
    <s v="backpan"/>
    <m/>
    <n v="520"/>
    <n v="2238.75"/>
    <n v="1"/>
    <n v="0.52"/>
    <n v="2.23875"/>
    <n v="5.5175000000000001"/>
    <n v="1"/>
    <n v="1.16415"/>
  </r>
  <r>
    <n v="1"/>
    <s v="G"/>
    <s v="EAST"/>
    <x v="6"/>
    <m/>
    <m/>
    <m/>
    <m/>
    <x v="2"/>
    <x v="1"/>
    <x v="1"/>
    <s v="GL-01"/>
    <m/>
    <s v="130MM WIDTH DECAL"/>
    <n v="3250"/>
    <n v="2238.75"/>
    <n v="1"/>
    <n v="3.25"/>
    <n v="2.23875"/>
    <n v="10.977499999999999"/>
    <n v="1"/>
    <n v="7.2759375000000004"/>
  </r>
  <r>
    <n v="1"/>
    <s v="G"/>
    <s v="EAST"/>
    <x v="6"/>
    <m/>
    <m/>
    <m/>
    <m/>
    <x v="2"/>
    <x v="1"/>
    <x v="1"/>
    <s v="GL-01"/>
    <m/>
    <s v="130MM WIDTH DECAL"/>
    <n v="3250"/>
    <n v="2238.75"/>
    <n v="1"/>
    <n v="3.25"/>
    <n v="2.23875"/>
    <n v="10.977499999999999"/>
    <n v="1"/>
    <n v="7.2759375000000004"/>
  </r>
  <r>
    <n v="1"/>
    <s v="G"/>
    <s v="EAST"/>
    <x v="6"/>
    <m/>
    <m/>
    <m/>
    <m/>
    <x v="2"/>
    <x v="1"/>
    <x v="1"/>
    <s v="GL-01"/>
    <m/>
    <s v="130MM WIDTH DECAL"/>
    <n v="3250"/>
    <n v="2238.75"/>
    <n v="1"/>
    <n v="3.25"/>
    <n v="2.23875"/>
    <n v="10.977499999999999"/>
    <n v="1"/>
    <n v="7.2759375000000004"/>
  </r>
  <r>
    <n v="1"/>
    <s v="G"/>
    <s v="EAST"/>
    <x v="6"/>
    <m/>
    <m/>
    <m/>
    <m/>
    <x v="2"/>
    <x v="1"/>
    <x v="1"/>
    <s v="GL-01"/>
    <m/>
    <s v="130MM WIDTH DECAL"/>
    <n v="3250"/>
    <n v="2238.75"/>
    <n v="1"/>
    <n v="3.25"/>
    <n v="2.23875"/>
    <n v="10.977499999999999"/>
    <n v="1"/>
    <n v="7.2759375000000004"/>
  </r>
  <r>
    <n v="1"/>
    <s v="G"/>
    <s v="EAST"/>
    <x v="6"/>
    <m/>
    <m/>
    <m/>
    <m/>
    <x v="2"/>
    <x v="1"/>
    <x v="9"/>
    <s v="GL-02"/>
    <s v="backpan"/>
    <m/>
    <n v="520"/>
    <n v="2238.75"/>
    <n v="1"/>
    <n v="0.52"/>
    <n v="2.23875"/>
    <n v="5.5175000000000001"/>
    <n v="1"/>
    <n v="1.16415"/>
  </r>
  <r>
    <n v="1"/>
    <s v="G"/>
    <s v="EAST"/>
    <x v="6"/>
    <m/>
    <m/>
    <m/>
    <m/>
    <x v="2"/>
    <x v="1"/>
    <x v="9"/>
    <s v="GL-02"/>
    <s v="backpan"/>
    <m/>
    <n v="520"/>
    <n v="2238.75"/>
    <n v="1"/>
    <n v="0.52"/>
    <n v="2.23875"/>
    <n v="5.5175000000000001"/>
    <n v="1"/>
    <n v="1.16415"/>
  </r>
  <r>
    <n v="1"/>
    <s v="G"/>
    <s v="EAST"/>
    <x v="6"/>
    <m/>
    <m/>
    <m/>
    <m/>
    <x v="2"/>
    <x v="1"/>
    <x v="9"/>
    <s v="GL-02"/>
    <s v="backpan"/>
    <m/>
    <n v="520"/>
    <n v="2238.75"/>
    <n v="1"/>
    <n v="0.52"/>
    <n v="2.23875"/>
    <n v="5.5175000000000001"/>
    <n v="1"/>
    <n v="1.16415"/>
  </r>
  <r>
    <n v="1"/>
    <s v="G"/>
    <s v="EAST"/>
    <x v="6"/>
    <m/>
    <m/>
    <m/>
    <m/>
    <x v="2"/>
    <x v="1"/>
    <x v="9"/>
    <s v="GL-02"/>
    <s v="backpan"/>
    <m/>
    <n v="520"/>
    <n v="2238.75"/>
    <n v="1"/>
    <n v="0.52"/>
    <n v="2.23875"/>
    <n v="5.5175000000000001"/>
    <n v="1"/>
    <n v="1.16415"/>
  </r>
  <r>
    <n v="1"/>
    <s v="LEVEL -1"/>
    <s v="EAST"/>
    <x v="7"/>
    <m/>
    <m/>
    <m/>
    <m/>
    <x v="0"/>
    <x v="2"/>
    <x v="0"/>
    <m/>
    <m/>
    <m/>
    <n v="600"/>
    <n v="3180"/>
    <n v="1"/>
    <n v="0.6"/>
    <n v="3.18"/>
    <n v="7.56"/>
    <n v="1"/>
    <n v="1.9079999999999999"/>
  </r>
  <r>
    <n v="1"/>
    <s v="LEVEL -1"/>
    <s v="EAST"/>
    <x v="7"/>
    <m/>
    <m/>
    <m/>
    <m/>
    <x v="1"/>
    <x v="2"/>
    <x v="6"/>
    <m/>
    <m/>
    <m/>
    <n v="160"/>
    <n v="915"/>
    <n v="1"/>
    <n v="0.16"/>
    <n v="0.91500000000000004"/>
    <n v="2.15"/>
    <n v="1"/>
    <n v="0.1464"/>
  </r>
  <r>
    <n v="1"/>
    <s v="LEVEL -1"/>
    <s v="EAST"/>
    <x v="7"/>
    <m/>
    <m/>
    <m/>
    <m/>
    <x v="1"/>
    <x v="2"/>
    <x v="6"/>
    <m/>
    <m/>
    <m/>
    <n v="160"/>
    <n v="1610"/>
    <n v="1"/>
    <n v="0.16"/>
    <n v="1.61"/>
    <n v="3.54"/>
    <n v="1"/>
    <n v="0.2576"/>
  </r>
  <r>
    <n v="1"/>
    <s v="LEVEL -1"/>
    <s v="EAST"/>
    <x v="7"/>
    <m/>
    <m/>
    <m/>
    <m/>
    <x v="1"/>
    <x v="2"/>
    <x v="6"/>
    <m/>
    <m/>
    <m/>
    <n v="160"/>
    <n v="200"/>
    <n v="1"/>
    <n v="0.16"/>
    <n v="0.2"/>
    <n v="0.72"/>
    <n v="1"/>
    <n v="3.2000000000000001E-2"/>
  </r>
  <r>
    <n v="1"/>
    <s v="LEVEL -1"/>
    <s v="EAST"/>
    <x v="7"/>
    <m/>
    <m/>
    <m/>
    <m/>
    <x v="1"/>
    <x v="2"/>
    <x v="6"/>
    <m/>
    <m/>
    <m/>
    <n v="160"/>
    <n v="450"/>
    <n v="1"/>
    <n v="0.16"/>
    <n v="0.45"/>
    <n v="1.22"/>
    <n v="1"/>
    <n v="7.1999999999999995E-2"/>
  </r>
  <r>
    <n v="1"/>
    <s v="LEVEL -1"/>
    <s v="EAST"/>
    <x v="7"/>
    <m/>
    <m/>
    <m/>
    <m/>
    <x v="1"/>
    <x v="2"/>
    <x v="1"/>
    <s v="GL-01"/>
    <m/>
    <m/>
    <n v="440"/>
    <n v="915"/>
    <n v="1"/>
    <n v="0.44"/>
    <n v="0.91500000000000004"/>
    <n v="2.71"/>
    <n v="1"/>
    <n v="0.40260000000000001"/>
  </r>
  <r>
    <n v="1"/>
    <s v="LEVEL -1"/>
    <s v="EAST"/>
    <x v="7"/>
    <m/>
    <m/>
    <m/>
    <m/>
    <x v="1"/>
    <x v="2"/>
    <x v="1"/>
    <s v="GL-01"/>
    <m/>
    <m/>
    <n v="440"/>
    <n v="1610"/>
    <n v="1"/>
    <n v="0.44"/>
    <n v="1.61"/>
    <n v="4.0999999999999996"/>
    <n v="1"/>
    <n v="0.70840000000000003"/>
  </r>
  <r>
    <n v="1"/>
    <s v="LEVEL -1"/>
    <s v="EAST"/>
    <x v="7"/>
    <m/>
    <m/>
    <m/>
    <m/>
    <x v="1"/>
    <x v="2"/>
    <x v="6"/>
    <m/>
    <m/>
    <m/>
    <n v="440"/>
    <n v="200"/>
    <n v="1"/>
    <n v="0.44"/>
    <n v="0.2"/>
    <n v="1.28"/>
    <n v="1"/>
    <n v="8.7999999999999995E-2"/>
  </r>
  <r>
    <n v="1"/>
    <s v="LEVEL -1"/>
    <s v="EAST"/>
    <x v="7"/>
    <m/>
    <m/>
    <m/>
    <m/>
    <x v="1"/>
    <x v="2"/>
    <x v="10"/>
    <m/>
    <m/>
    <m/>
    <n v="440"/>
    <n v="450"/>
    <n v="1"/>
    <n v="0.44"/>
    <n v="0.45"/>
    <n v="1.78"/>
    <n v="1"/>
    <n v="0.19800000000000001"/>
  </r>
  <r>
    <n v="1"/>
    <s v="LEVEL -1"/>
    <s v="EAST"/>
    <x v="7"/>
    <m/>
    <m/>
    <m/>
    <m/>
    <x v="2"/>
    <x v="2"/>
    <x v="6"/>
    <m/>
    <m/>
    <m/>
    <n v="160"/>
    <n v="915"/>
    <n v="1"/>
    <n v="0.16"/>
    <n v="0.91500000000000004"/>
    <n v="2.15"/>
    <n v="1"/>
    <n v="0.1464"/>
  </r>
  <r>
    <n v="1"/>
    <s v="LEVEL -1"/>
    <s v="EAST"/>
    <x v="7"/>
    <m/>
    <m/>
    <m/>
    <m/>
    <x v="2"/>
    <x v="2"/>
    <x v="6"/>
    <m/>
    <m/>
    <m/>
    <n v="160"/>
    <n v="1610"/>
    <n v="1"/>
    <n v="0.16"/>
    <n v="1.61"/>
    <n v="3.54"/>
    <n v="1"/>
    <n v="0.2576"/>
  </r>
  <r>
    <n v="1"/>
    <s v="LEVEL -1"/>
    <s v="EAST"/>
    <x v="7"/>
    <m/>
    <m/>
    <m/>
    <m/>
    <x v="2"/>
    <x v="2"/>
    <x v="6"/>
    <m/>
    <m/>
    <m/>
    <n v="160"/>
    <n v="200"/>
    <n v="1"/>
    <n v="0.16"/>
    <n v="0.2"/>
    <n v="0.72"/>
    <n v="1"/>
    <n v="3.2000000000000001E-2"/>
  </r>
  <r>
    <n v="1"/>
    <s v="LEVEL -1"/>
    <s v="EAST"/>
    <x v="7"/>
    <m/>
    <m/>
    <m/>
    <m/>
    <x v="2"/>
    <x v="2"/>
    <x v="6"/>
    <m/>
    <m/>
    <m/>
    <n v="160"/>
    <n v="450"/>
    <n v="1"/>
    <n v="0.16"/>
    <n v="0.45"/>
    <n v="1.22"/>
    <n v="1"/>
    <n v="7.1999999999999995E-2"/>
  </r>
  <r>
    <n v="1"/>
    <s v="LEVEL -1"/>
    <s v="EAST"/>
    <x v="7"/>
    <m/>
    <m/>
    <m/>
    <m/>
    <x v="2"/>
    <x v="2"/>
    <x v="1"/>
    <s v="GL-01"/>
    <m/>
    <m/>
    <n v="600"/>
    <n v="915"/>
    <n v="1"/>
    <n v="0.6"/>
    <n v="0.91500000000000004"/>
    <n v="3.03"/>
    <n v="1"/>
    <n v="0.54900000000000004"/>
  </r>
  <r>
    <n v="1"/>
    <s v="LEVEL -1"/>
    <s v="EAST"/>
    <x v="7"/>
    <m/>
    <m/>
    <m/>
    <m/>
    <x v="2"/>
    <x v="2"/>
    <x v="1"/>
    <s v="GL-01"/>
    <m/>
    <m/>
    <n v="600"/>
    <n v="1610"/>
    <n v="1"/>
    <n v="0.6"/>
    <n v="1.61"/>
    <n v="4.42"/>
    <n v="1"/>
    <n v="0.96599999999999997"/>
  </r>
  <r>
    <n v="1"/>
    <s v="LEVEL -1"/>
    <s v="EAST"/>
    <x v="7"/>
    <m/>
    <m/>
    <m/>
    <m/>
    <x v="2"/>
    <x v="2"/>
    <x v="6"/>
    <m/>
    <m/>
    <m/>
    <n v="600"/>
    <n v="200"/>
    <n v="1"/>
    <n v="0.6"/>
    <n v="0.2"/>
    <n v="1.6"/>
    <n v="1"/>
    <n v="0.12"/>
  </r>
  <r>
    <n v="1"/>
    <s v="LEVEL -1"/>
    <s v="EAST"/>
    <x v="7"/>
    <m/>
    <m/>
    <m/>
    <m/>
    <x v="2"/>
    <x v="2"/>
    <x v="10"/>
    <m/>
    <m/>
    <m/>
    <n v="600"/>
    <n v="450"/>
    <n v="1"/>
    <n v="0.6"/>
    <n v="0.45"/>
    <n v="2.1"/>
    <n v="1"/>
    <n v="0.27"/>
  </r>
  <r>
    <n v="1"/>
    <s v="G"/>
    <s v="EAST"/>
    <x v="8"/>
    <m/>
    <m/>
    <m/>
    <m/>
    <x v="0"/>
    <x v="1"/>
    <x v="0"/>
    <m/>
    <m/>
    <m/>
    <n v="3845"/>
    <n v="17190"/>
    <n v="1"/>
    <n v="3.8450000000000002"/>
    <n v="17.190000000000001"/>
    <n v="42.07"/>
    <n v="1"/>
    <n v="66.095550000000003"/>
  </r>
  <r>
    <n v="1"/>
    <s v="G"/>
    <s v="EAST"/>
    <x v="8"/>
    <m/>
    <m/>
    <m/>
    <m/>
    <x v="1"/>
    <x v="1"/>
    <x v="9"/>
    <s v="GL-02"/>
    <s v="backpan"/>
    <m/>
    <n v="245"/>
    <n v="342.5"/>
    <n v="1"/>
    <n v="0.245"/>
    <n v="0.34250000000000003"/>
    <n v="1.175"/>
    <n v="1"/>
    <n v="8.3912500000000001E-2"/>
  </r>
  <r>
    <n v="1"/>
    <s v="G"/>
    <s v="EAST"/>
    <x v="8"/>
    <m/>
    <m/>
    <m/>
    <m/>
    <x v="1"/>
    <x v="1"/>
    <x v="9"/>
    <s v="GL-02"/>
    <s v="backpan"/>
    <m/>
    <n v="245"/>
    <n v="2520"/>
    <n v="1"/>
    <n v="0.245"/>
    <n v="2.52"/>
    <n v="5.53"/>
    <n v="1"/>
    <n v="0.61739999999999995"/>
  </r>
  <r>
    <n v="1"/>
    <s v="G"/>
    <s v="EAST"/>
    <x v="8"/>
    <m/>
    <m/>
    <m/>
    <m/>
    <x v="1"/>
    <x v="1"/>
    <x v="9"/>
    <s v="GL-02"/>
    <s v="backpan"/>
    <m/>
    <n v="245"/>
    <n v="320"/>
    <n v="1"/>
    <n v="0.245"/>
    <n v="0.32"/>
    <n v="1.1299999999999999"/>
    <n v="1"/>
    <n v="7.8400000000000011E-2"/>
  </r>
  <r>
    <n v="1"/>
    <s v="G"/>
    <s v="EAST"/>
    <x v="8"/>
    <m/>
    <m/>
    <m/>
    <m/>
    <x v="1"/>
    <x v="1"/>
    <x v="9"/>
    <s v="GL-02"/>
    <s v="backpan"/>
    <m/>
    <n v="245"/>
    <n v="480"/>
    <n v="1"/>
    <n v="0.245"/>
    <n v="0.48"/>
    <n v="1.45"/>
    <n v="1"/>
    <n v="0.1176"/>
  </r>
  <r>
    <n v="1"/>
    <s v="G"/>
    <s v="EAST"/>
    <x v="8"/>
    <m/>
    <m/>
    <m/>
    <m/>
    <x v="1"/>
    <x v="1"/>
    <x v="9"/>
    <s v="GL-02"/>
    <s v="backpan"/>
    <m/>
    <n v="245"/>
    <n v="1500"/>
    <n v="1"/>
    <n v="0.245"/>
    <n v="1.5"/>
    <n v="3.49"/>
    <n v="1"/>
    <n v="0.36749999999999999"/>
  </r>
  <r>
    <n v="1"/>
    <s v="G"/>
    <s v="EAST"/>
    <x v="8"/>
    <m/>
    <m/>
    <m/>
    <m/>
    <x v="1"/>
    <x v="1"/>
    <x v="9"/>
    <s v="GL-02"/>
    <s v="backpan"/>
    <m/>
    <n v="245"/>
    <n v="520"/>
    <n v="1"/>
    <n v="0.245"/>
    <n v="0.52"/>
    <n v="1.53"/>
    <n v="1"/>
    <n v="0.12739999999999999"/>
  </r>
  <r>
    <n v="1"/>
    <s v="G"/>
    <s v="EAST"/>
    <x v="8"/>
    <m/>
    <m/>
    <m/>
    <m/>
    <x v="1"/>
    <x v="1"/>
    <x v="9"/>
    <s v="GL-02"/>
    <s v="backpan"/>
    <m/>
    <n v="245"/>
    <n v="460"/>
    <n v="1"/>
    <n v="0.245"/>
    <n v="0.46"/>
    <n v="1.41"/>
    <n v="1"/>
    <n v="0.11270000000000001"/>
  </r>
  <r>
    <n v="1"/>
    <s v="G"/>
    <s v="EAST"/>
    <x v="8"/>
    <m/>
    <m/>
    <m/>
    <m/>
    <x v="1"/>
    <x v="1"/>
    <x v="9"/>
    <s v="GL-02"/>
    <s v="backpan"/>
    <m/>
    <n v="245"/>
    <n v="1060"/>
    <n v="1"/>
    <n v="0.245"/>
    <n v="1.06"/>
    <n v="2.61"/>
    <n v="1"/>
    <n v="0.25969999999999999"/>
  </r>
  <r>
    <n v="1"/>
    <s v="G"/>
    <s v="EAST"/>
    <x v="8"/>
    <m/>
    <m/>
    <m/>
    <m/>
    <x v="1"/>
    <x v="1"/>
    <x v="9"/>
    <s v="GL-02"/>
    <s v="backpan"/>
    <m/>
    <n v="245"/>
    <n v="320"/>
    <n v="1"/>
    <n v="0.245"/>
    <n v="0.32"/>
    <n v="1.1299999999999999"/>
    <n v="1"/>
    <n v="7.8400000000000011E-2"/>
  </r>
  <r>
    <n v="1"/>
    <s v="G"/>
    <s v="EAST"/>
    <x v="8"/>
    <m/>
    <m/>
    <m/>
    <m/>
    <x v="1"/>
    <x v="1"/>
    <x v="9"/>
    <s v="GL-02"/>
    <s v="backpan"/>
    <m/>
    <n v="245"/>
    <n v="500"/>
    <n v="1"/>
    <n v="0.245"/>
    <n v="0.5"/>
    <n v="1.49"/>
    <n v="1"/>
    <n v="0.1225"/>
  </r>
  <r>
    <n v="1"/>
    <s v="G"/>
    <s v="EAST"/>
    <x v="8"/>
    <m/>
    <m/>
    <m/>
    <m/>
    <x v="1"/>
    <x v="1"/>
    <x v="9"/>
    <s v="GL-02"/>
    <s v="backpan"/>
    <m/>
    <n v="245"/>
    <n v="575"/>
    <n v="1"/>
    <n v="0.245"/>
    <n v="0.57499999999999996"/>
    <n v="1.64"/>
    <n v="1"/>
    <n v="0.140875"/>
  </r>
  <r>
    <n v="1"/>
    <s v="G"/>
    <s v="EAST"/>
    <x v="8"/>
    <m/>
    <m/>
    <m/>
    <m/>
    <x v="1"/>
    <x v="1"/>
    <x v="9"/>
    <s v="GL-02"/>
    <s v="backpan"/>
    <m/>
    <n v="245"/>
    <n v="985"/>
    <n v="1"/>
    <n v="0.245"/>
    <n v="0.98499999999999999"/>
    <n v="2.46"/>
    <n v="1"/>
    <n v="0.24132499999999998"/>
  </r>
  <r>
    <n v="1"/>
    <s v="G"/>
    <s v="EAST"/>
    <x v="8"/>
    <m/>
    <m/>
    <m/>
    <m/>
    <x v="1"/>
    <x v="1"/>
    <x v="9"/>
    <s v="GL-02"/>
    <s v="backpan"/>
    <m/>
    <n v="245"/>
    <n v="450"/>
    <n v="1"/>
    <n v="0.245"/>
    <n v="0.45"/>
    <n v="1.39"/>
    <n v="1"/>
    <n v="0.11025"/>
  </r>
  <r>
    <n v="1"/>
    <s v="G"/>
    <s v="EAST"/>
    <x v="8"/>
    <m/>
    <m/>
    <m/>
    <m/>
    <x v="1"/>
    <x v="1"/>
    <x v="9"/>
    <s v="GL-02"/>
    <s v="backpan"/>
    <m/>
    <n v="245"/>
    <n v="725"/>
    <n v="1"/>
    <n v="0.245"/>
    <n v="0.72499999999999998"/>
    <n v="1.94"/>
    <n v="1"/>
    <n v="0.17762500000000001"/>
  </r>
  <r>
    <n v="1"/>
    <s v="G"/>
    <s v="EAST"/>
    <x v="8"/>
    <m/>
    <m/>
    <m/>
    <m/>
    <x v="1"/>
    <x v="1"/>
    <x v="9"/>
    <s v="GL-02"/>
    <s v="backpan"/>
    <m/>
    <n v="245"/>
    <n v="715"/>
    <n v="1"/>
    <n v="0.245"/>
    <n v="0.71499999999999997"/>
    <n v="1.92"/>
    <n v="1"/>
    <n v="0.17517499999999997"/>
  </r>
  <r>
    <n v="1"/>
    <s v="G"/>
    <s v="EAST"/>
    <x v="8"/>
    <m/>
    <m/>
    <m/>
    <m/>
    <x v="1"/>
    <x v="1"/>
    <x v="9"/>
    <s v="GL-02"/>
    <s v="backpan"/>
    <m/>
    <n v="245"/>
    <n v="705"/>
    <n v="1"/>
    <n v="0.245"/>
    <n v="0.70499999999999996"/>
    <n v="1.9"/>
    <n v="1"/>
    <n v="0.17272499999999999"/>
  </r>
  <r>
    <n v="1"/>
    <s v="G"/>
    <s v="EAST"/>
    <x v="8"/>
    <m/>
    <m/>
    <m/>
    <m/>
    <x v="1"/>
    <x v="1"/>
    <x v="9"/>
    <s v="GL-02"/>
    <s v="backpan"/>
    <m/>
    <n v="245"/>
    <n v="320"/>
    <n v="1"/>
    <n v="0.245"/>
    <n v="0.32"/>
    <n v="1.1299999999999999"/>
    <n v="1"/>
    <n v="7.8400000000000011E-2"/>
  </r>
  <r>
    <n v="1"/>
    <s v="G"/>
    <s v="EAST"/>
    <x v="8"/>
    <m/>
    <m/>
    <m/>
    <m/>
    <x v="1"/>
    <x v="1"/>
    <x v="9"/>
    <s v="GL-02"/>
    <s v="backpan"/>
    <m/>
    <n v="245"/>
    <n v="1850"/>
    <n v="1"/>
    <n v="0.245"/>
    <n v="1.85"/>
    <n v="4.1900000000000004"/>
    <n v="1"/>
    <n v="0.45324999999999999"/>
  </r>
  <r>
    <n v="1"/>
    <s v="G"/>
    <s v="EAST"/>
    <x v="8"/>
    <m/>
    <m/>
    <m/>
    <m/>
    <x v="1"/>
    <x v="1"/>
    <x v="9"/>
    <s v="GL-02"/>
    <s v="backpan"/>
    <m/>
    <n v="245"/>
    <n v="320"/>
    <n v="1"/>
    <n v="0.245"/>
    <n v="0.32"/>
    <n v="1.1299999999999999"/>
    <n v="1"/>
    <n v="7.8400000000000011E-2"/>
  </r>
  <r>
    <n v="1"/>
    <s v="G"/>
    <s v="EAST"/>
    <x v="8"/>
    <m/>
    <m/>
    <m/>
    <m/>
    <x v="1"/>
    <x v="1"/>
    <x v="9"/>
    <s v="GL-02"/>
    <s v="backpan"/>
    <m/>
    <n v="245"/>
    <n v="320"/>
    <n v="1"/>
    <n v="0.245"/>
    <n v="0.32"/>
    <n v="1.1299999999999999"/>
    <n v="1"/>
    <n v="7.8400000000000011E-2"/>
  </r>
  <r>
    <n v="1"/>
    <s v="G"/>
    <s v="EAST"/>
    <x v="8"/>
    <m/>
    <m/>
    <m/>
    <m/>
    <x v="1"/>
    <x v="1"/>
    <x v="9"/>
    <s v="GL-02"/>
    <s v="backpan"/>
    <m/>
    <n v="245"/>
    <n v="1860"/>
    <n v="1"/>
    <n v="0.245"/>
    <n v="1.86"/>
    <n v="4.21"/>
    <n v="1"/>
    <n v="0.45569999999999999"/>
  </r>
  <r>
    <n v="1"/>
    <s v="G"/>
    <s v="EAST"/>
    <x v="8"/>
    <m/>
    <m/>
    <m/>
    <m/>
    <x v="1"/>
    <x v="1"/>
    <x v="9"/>
    <s v="GL-02"/>
    <s v="backpan"/>
    <m/>
    <n v="245"/>
    <n v="342.5"/>
    <n v="1"/>
    <n v="0.245"/>
    <n v="0.34250000000000003"/>
    <n v="1.175"/>
    <n v="1"/>
    <n v="8.3912500000000001E-2"/>
  </r>
  <r>
    <n v="1"/>
    <s v="G"/>
    <s v="EAST"/>
    <x v="8"/>
    <m/>
    <m/>
    <m/>
    <m/>
    <x v="1"/>
    <x v="1"/>
    <x v="1"/>
    <s v="GL-01"/>
    <s v="backpan"/>
    <s v="130MM WIDTH DECAL"/>
    <n v="3600"/>
    <n v="342.5"/>
    <n v="1"/>
    <n v="3.6"/>
    <n v="0.34250000000000003"/>
    <n v="7.8849999999999998"/>
    <n v="1"/>
    <n v="1.2330000000000001"/>
  </r>
  <r>
    <n v="1"/>
    <s v="G"/>
    <s v="EAST"/>
    <x v="8"/>
    <m/>
    <m/>
    <m/>
    <m/>
    <x v="1"/>
    <x v="1"/>
    <x v="1"/>
    <s v="GL-01"/>
    <m/>
    <s v="130MM WIDTH DECAL"/>
    <n v="3600"/>
    <n v="2520"/>
    <n v="1"/>
    <n v="3.6"/>
    <n v="2.52"/>
    <n v="12.24"/>
    <n v="1"/>
    <n v="9.0719999999999992"/>
  </r>
  <r>
    <n v="1"/>
    <s v="G"/>
    <s v="EAST"/>
    <x v="8"/>
    <m/>
    <m/>
    <m/>
    <m/>
    <x v="1"/>
    <x v="1"/>
    <x v="1"/>
    <s v="GL-01"/>
    <m/>
    <s v="130MM WIDTH DECAL"/>
    <n v="3600"/>
    <n v="320"/>
    <n v="1"/>
    <n v="3.6"/>
    <n v="0.32"/>
    <n v="7.84"/>
    <n v="1"/>
    <n v="1.1519999999999999"/>
  </r>
  <r>
    <n v="1"/>
    <s v="G"/>
    <s v="EAST"/>
    <x v="8"/>
    <m/>
    <m/>
    <m/>
    <m/>
    <x v="1"/>
    <x v="1"/>
    <x v="1"/>
    <s v="GL-01"/>
    <m/>
    <s v="130MM WIDTH DECAL"/>
    <n v="3600"/>
    <n v="480"/>
    <n v="1"/>
    <n v="3.6"/>
    <n v="0.48"/>
    <n v="8.16"/>
    <n v="1"/>
    <n v="1.728"/>
  </r>
  <r>
    <n v="1"/>
    <s v="G"/>
    <s v="EAST"/>
    <x v="8"/>
    <m/>
    <m/>
    <m/>
    <m/>
    <x v="1"/>
    <x v="1"/>
    <x v="1"/>
    <s v="GL-01"/>
    <m/>
    <s v="130MM WIDTH DECAL"/>
    <n v="3600"/>
    <n v="1500"/>
    <n v="1"/>
    <n v="3.6"/>
    <n v="1.5"/>
    <n v="10.199999999999999"/>
    <n v="1"/>
    <n v="5.4"/>
  </r>
  <r>
    <n v="1"/>
    <s v="G"/>
    <s v="EAST"/>
    <x v="8"/>
    <m/>
    <m/>
    <m/>
    <m/>
    <x v="1"/>
    <x v="1"/>
    <x v="1"/>
    <s v="GL-01"/>
    <m/>
    <s v="130MM WIDTH DECAL"/>
    <n v="3600"/>
    <n v="520"/>
    <n v="1"/>
    <n v="3.6"/>
    <n v="0.52"/>
    <n v="8.24"/>
    <n v="1"/>
    <n v="1.8720000000000001"/>
  </r>
  <r>
    <n v="1"/>
    <s v="G"/>
    <s v="EAST"/>
    <x v="8"/>
    <m/>
    <m/>
    <m/>
    <m/>
    <x v="1"/>
    <x v="1"/>
    <x v="1"/>
    <s v="GL-01"/>
    <m/>
    <s v="130MM WIDTH DECAL"/>
    <n v="3600"/>
    <n v="460"/>
    <n v="1"/>
    <n v="3.6"/>
    <n v="0.46"/>
    <n v="8.1199999999999992"/>
    <n v="1"/>
    <n v="1.6559999999999999"/>
  </r>
  <r>
    <n v="1"/>
    <s v="G"/>
    <s v="EAST"/>
    <x v="8"/>
    <m/>
    <m/>
    <m/>
    <m/>
    <x v="1"/>
    <x v="1"/>
    <x v="1"/>
    <s v="GL-01"/>
    <m/>
    <s v="130MM WIDTH DECAL"/>
    <n v="3600"/>
    <n v="1060"/>
    <n v="1"/>
    <n v="3.6"/>
    <n v="1.06"/>
    <n v="9.32"/>
    <n v="1"/>
    <n v="3.8159999999999998"/>
  </r>
  <r>
    <n v="1"/>
    <s v="G"/>
    <s v="EAST"/>
    <x v="8"/>
    <m/>
    <m/>
    <m/>
    <m/>
    <x v="1"/>
    <x v="1"/>
    <x v="1"/>
    <s v="GL-01"/>
    <m/>
    <s v="130MM WIDTH DECAL"/>
    <n v="3600"/>
    <n v="320"/>
    <n v="1"/>
    <n v="3.6"/>
    <n v="0.32"/>
    <n v="7.84"/>
    <n v="1"/>
    <n v="1.1519999999999999"/>
  </r>
  <r>
    <n v="1"/>
    <s v="G"/>
    <s v="EAST"/>
    <x v="8"/>
    <m/>
    <m/>
    <m/>
    <m/>
    <x v="1"/>
    <x v="1"/>
    <x v="1"/>
    <s v="GL-01"/>
    <m/>
    <s v="130MM WIDTH DECAL"/>
    <n v="3600"/>
    <n v="500"/>
    <n v="1"/>
    <n v="3.6"/>
    <n v="0.5"/>
    <n v="8.1999999999999993"/>
    <n v="1"/>
    <n v="1.8"/>
  </r>
  <r>
    <n v="1"/>
    <s v="G"/>
    <s v="EAST"/>
    <x v="8"/>
    <m/>
    <m/>
    <m/>
    <m/>
    <x v="1"/>
    <x v="1"/>
    <x v="1"/>
    <s v="GL-01"/>
    <m/>
    <s v="130MM WIDTH DECAL"/>
    <n v="3600"/>
    <n v="575"/>
    <n v="1"/>
    <n v="3.6"/>
    <n v="0.57499999999999996"/>
    <n v="8.35"/>
    <n v="1"/>
    <n v="2.0699999999999998"/>
  </r>
  <r>
    <n v="1"/>
    <s v="G"/>
    <s v="EAST"/>
    <x v="8"/>
    <m/>
    <m/>
    <m/>
    <m/>
    <x v="1"/>
    <x v="1"/>
    <x v="1"/>
    <s v="GL-01"/>
    <m/>
    <s v="130MM WIDTH DECAL"/>
    <n v="3600"/>
    <n v="985"/>
    <n v="1"/>
    <n v="3.6"/>
    <n v="0.98499999999999999"/>
    <n v="9.17"/>
    <n v="1"/>
    <n v="3.5459999999999998"/>
  </r>
  <r>
    <n v="1"/>
    <s v="G"/>
    <s v="EAST"/>
    <x v="8"/>
    <m/>
    <m/>
    <m/>
    <m/>
    <x v="1"/>
    <x v="1"/>
    <x v="1"/>
    <s v="GL-01"/>
    <m/>
    <s v="130MM WIDTH DECAL"/>
    <n v="3600"/>
    <n v="450"/>
    <n v="1"/>
    <n v="3.6"/>
    <n v="0.45"/>
    <n v="8.1"/>
    <n v="1"/>
    <n v="1.62"/>
  </r>
  <r>
    <n v="1"/>
    <s v="G"/>
    <s v="EAST"/>
    <x v="8"/>
    <m/>
    <m/>
    <m/>
    <m/>
    <x v="1"/>
    <x v="1"/>
    <x v="1"/>
    <s v="GL-01"/>
    <m/>
    <s v="130MM WIDTH DECAL"/>
    <n v="3600"/>
    <n v="725"/>
    <n v="1"/>
    <n v="3.6"/>
    <n v="0.72499999999999998"/>
    <n v="8.65"/>
    <n v="1"/>
    <n v="2.61"/>
  </r>
  <r>
    <n v="1"/>
    <s v="G"/>
    <s v="EAST"/>
    <x v="8"/>
    <m/>
    <m/>
    <m/>
    <m/>
    <x v="1"/>
    <x v="1"/>
    <x v="1"/>
    <s v="GL-01"/>
    <m/>
    <s v="130MM WIDTH DECAL"/>
    <n v="3600"/>
    <n v="715"/>
    <n v="1"/>
    <n v="3.6"/>
    <n v="0.71499999999999997"/>
    <n v="8.6300000000000008"/>
    <n v="1"/>
    <n v="2.5739999999999998"/>
  </r>
  <r>
    <n v="1"/>
    <s v="G"/>
    <s v="EAST"/>
    <x v="8"/>
    <m/>
    <m/>
    <m/>
    <m/>
    <x v="1"/>
    <x v="1"/>
    <x v="1"/>
    <s v="GL-01"/>
    <m/>
    <s v="130MM WIDTH DECAL"/>
    <n v="3600"/>
    <n v="705"/>
    <n v="1"/>
    <n v="3.6"/>
    <n v="0.70499999999999996"/>
    <n v="8.61"/>
    <n v="1"/>
    <n v="2.5379999999999998"/>
  </r>
  <r>
    <n v="1"/>
    <s v="G"/>
    <s v="EAST"/>
    <x v="8"/>
    <m/>
    <m/>
    <m/>
    <m/>
    <x v="1"/>
    <x v="1"/>
    <x v="1"/>
    <s v="GL-01"/>
    <m/>
    <s v="130MM WIDTH DECAL"/>
    <n v="3600"/>
    <n v="320"/>
    <n v="1"/>
    <n v="3.6"/>
    <n v="0.32"/>
    <n v="7.84"/>
    <n v="1"/>
    <n v="1.1519999999999999"/>
  </r>
  <r>
    <n v="1"/>
    <s v="G"/>
    <s v="EAST"/>
    <x v="8"/>
    <m/>
    <m/>
    <m/>
    <m/>
    <x v="1"/>
    <x v="1"/>
    <x v="1"/>
    <s v="GL-01"/>
    <m/>
    <s v="130MM WIDTH DECAL"/>
    <n v="3600"/>
    <n v="1850"/>
    <n v="1"/>
    <n v="3.6"/>
    <n v="1.85"/>
    <n v="10.9"/>
    <n v="1"/>
    <n v="6.66"/>
  </r>
  <r>
    <n v="1"/>
    <s v="G"/>
    <s v="EAST"/>
    <x v="8"/>
    <m/>
    <m/>
    <m/>
    <m/>
    <x v="1"/>
    <x v="1"/>
    <x v="1"/>
    <s v="GL-01"/>
    <m/>
    <s v="130MM WIDTH DECAL"/>
    <n v="3600"/>
    <n v="320"/>
    <n v="1"/>
    <n v="3.6"/>
    <n v="0.32"/>
    <n v="7.84"/>
    <n v="1"/>
    <n v="1.1519999999999999"/>
  </r>
  <r>
    <n v="1"/>
    <s v="G"/>
    <s v="EAST"/>
    <x v="8"/>
    <m/>
    <m/>
    <m/>
    <m/>
    <x v="1"/>
    <x v="1"/>
    <x v="1"/>
    <s v="GL-01"/>
    <m/>
    <s v="130MM WIDTH DECAL"/>
    <n v="3600"/>
    <n v="320"/>
    <n v="1"/>
    <n v="3.6"/>
    <n v="0.32"/>
    <n v="7.84"/>
    <n v="1"/>
    <n v="1.1519999999999999"/>
  </r>
  <r>
    <n v="1"/>
    <s v="G"/>
    <s v="EAST"/>
    <x v="8"/>
    <m/>
    <m/>
    <m/>
    <m/>
    <x v="1"/>
    <x v="1"/>
    <x v="1"/>
    <s v="GL-01"/>
    <m/>
    <s v="130MM WIDTH DECAL"/>
    <n v="3600"/>
    <n v="1860"/>
    <n v="1"/>
    <n v="3.6"/>
    <n v="1.86"/>
    <n v="10.92"/>
    <n v="1"/>
    <n v="6.6959999999999997"/>
  </r>
  <r>
    <n v="1"/>
    <s v="G"/>
    <s v="EAST"/>
    <x v="8"/>
    <m/>
    <m/>
    <m/>
    <m/>
    <x v="1"/>
    <x v="1"/>
    <x v="1"/>
    <s v="GL-01"/>
    <s v="backpan"/>
    <s v="130MM WIDTH DECAL"/>
    <n v="3600"/>
    <n v="342.5"/>
    <n v="1"/>
    <n v="3.6"/>
    <n v="0.34250000000000003"/>
    <n v="7.8849999999999998"/>
    <n v="1"/>
    <n v="1.2330000000000001"/>
  </r>
  <r>
    <n v="1"/>
    <s v="G"/>
    <s v="EAST"/>
    <x v="8"/>
    <m/>
    <m/>
    <m/>
    <m/>
    <x v="2"/>
    <x v="1"/>
    <x v="9"/>
    <s v="GL-02"/>
    <s v="backpan"/>
    <m/>
    <n v="245"/>
    <n v="342.5"/>
    <n v="1"/>
    <n v="0.245"/>
    <n v="0.34250000000000003"/>
    <n v="1.175"/>
    <n v="1"/>
    <n v="8.3912500000000001E-2"/>
  </r>
  <r>
    <n v="1"/>
    <s v="G"/>
    <s v="EAST"/>
    <x v="8"/>
    <m/>
    <m/>
    <m/>
    <m/>
    <x v="2"/>
    <x v="1"/>
    <x v="9"/>
    <s v="GL-02"/>
    <s v="backpan"/>
    <m/>
    <n v="245"/>
    <n v="2520"/>
    <n v="1"/>
    <n v="0.245"/>
    <n v="2.52"/>
    <n v="5.53"/>
    <n v="1"/>
    <n v="0.61739999999999995"/>
  </r>
  <r>
    <n v="1"/>
    <s v="G"/>
    <s v="EAST"/>
    <x v="8"/>
    <m/>
    <m/>
    <m/>
    <m/>
    <x v="2"/>
    <x v="1"/>
    <x v="9"/>
    <s v="GL-02"/>
    <s v="backpan"/>
    <m/>
    <n v="245"/>
    <n v="320"/>
    <n v="1"/>
    <n v="0.245"/>
    <n v="0.32"/>
    <n v="1.1299999999999999"/>
    <n v="1"/>
    <n v="7.8400000000000011E-2"/>
  </r>
  <r>
    <n v="1"/>
    <s v="G"/>
    <s v="EAST"/>
    <x v="8"/>
    <m/>
    <m/>
    <m/>
    <m/>
    <x v="2"/>
    <x v="1"/>
    <x v="9"/>
    <s v="GL-02"/>
    <s v="backpan"/>
    <m/>
    <n v="245"/>
    <n v="480"/>
    <n v="1"/>
    <n v="0.245"/>
    <n v="0.48"/>
    <n v="1.45"/>
    <n v="1"/>
    <n v="0.1176"/>
  </r>
  <r>
    <n v="1"/>
    <s v="G"/>
    <s v="EAST"/>
    <x v="8"/>
    <m/>
    <m/>
    <m/>
    <m/>
    <x v="2"/>
    <x v="1"/>
    <x v="9"/>
    <s v="GL-02"/>
    <s v="backpan"/>
    <m/>
    <n v="245"/>
    <n v="1500"/>
    <n v="1"/>
    <n v="0.245"/>
    <n v="1.5"/>
    <n v="3.49"/>
    <n v="1"/>
    <n v="0.36749999999999999"/>
  </r>
  <r>
    <n v="1"/>
    <s v="G"/>
    <s v="EAST"/>
    <x v="8"/>
    <m/>
    <m/>
    <m/>
    <m/>
    <x v="2"/>
    <x v="1"/>
    <x v="9"/>
    <s v="GL-02"/>
    <s v="backpan"/>
    <m/>
    <n v="245"/>
    <n v="520"/>
    <n v="1"/>
    <n v="0.245"/>
    <n v="0.52"/>
    <n v="1.53"/>
    <n v="1"/>
    <n v="0.12739999999999999"/>
  </r>
  <r>
    <n v="1"/>
    <s v="G"/>
    <s v="EAST"/>
    <x v="8"/>
    <m/>
    <m/>
    <m/>
    <m/>
    <x v="2"/>
    <x v="1"/>
    <x v="9"/>
    <s v="GL-02"/>
    <s v="backpan"/>
    <m/>
    <n v="245"/>
    <n v="460"/>
    <n v="1"/>
    <n v="0.245"/>
    <n v="0.46"/>
    <n v="1.41"/>
    <n v="1"/>
    <n v="0.11270000000000001"/>
  </r>
  <r>
    <n v="1"/>
    <s v="G"/>
    <s v="EAST"/>
    <x v="8"/>
    <m/>
    <m/>
    <m/>
    <m/>
    <x v="2"/>
    <x v="1"/>
    <x v="9"/>
    <s v="GL-02"/>
    <s v="backpan"/>
    <m/>
    <n v="245"/>
    <n v="1060"/>
    <n v="1"/>
    <n v="0.245"/>
    <n v="1.06"/>
    <n v="2.61"/>
    <n v="1"/>
    <n v="0.25969999999999999"/>
  </r>
  <r>
    <n v="1"/>
    <s v="G"/>
    <s v="EAST"/>
    <x v="8"/>
    <m/>
    <m/>
    <m/>
    <m/>
    <x v="2"/>
    <x v="1"/>
    <x v="9"/>
    <s v="GL-02"/>
    <s v="backpan"/>
    <m/>
    <n v="245"/>
    <n v="320"/>
    <n v="1"/>
    <n v="0.245"/>
    <n v="0.32"/>
    <n v="1.1299999999999999"/>
    <n v="1"/>
    <n v="7.8400000000000011E-2"/>
  </r>
  <r>
    <n v="1"/>
    <s v="G"/>
    <s v="EAST"/>
    <x v="8"/>
    <m/>
    <m/>
    <m/>
    <m/>
    <x v="2"/>
    <x v="1"/>
    <x v="9"/>
    <s v="GL-02"/>
    <s v="backpan"/>
    <m/>
    <n v="245"/>
    <n v="500"/>
    <n v="1"/>
    <n v="0.245"/>
    <n v="0.5"/>
    <n v="1.49"/>
    <n v="1"/>
    <n v="0.1225"/>
  </r>
  <r>
    <n v="1"/>
    <s v="G"/>
    <s v="EAST"/>
    <x v="8"/>
    <m/>
    <m/>
    <m/>
    <m/>
    <x v="2"/>
    <x v="1"/>
    <x v="9"/>
    <s v="GL-02"/>
    <s v="backpan"/>
    <m/>
    <n v="245"/>
    <n v="575"/>
    <n v="1"/>
    <n v="0.245"/>
    <n v="0.57499999999999996"/>
    <n v="1.64"/>
    <n v="1"/>
    <n v="0.140875"/>
  </r>
  <r>
    <n v="1"/>
    <s v="G"/>
    <s v="EAST"/>
    <x v="8"/>
    <m/>
    <m/>
    <m/>
    <m/>
    <x v="2"/>
    <x v="1"/>
    <x v="9"/>
    <s v="GL-02"/>
    <s v="backpan"/>
    <m/>
    <n v="245"/>
    <n v="985"/>
    <n v="1"/>
    <n v="0.245"/>
    <n v="0.98499999999999999"/>
    <n v="2.46"/>
    <n v="1"/>
    <n v="0.24132499999999998"/>
  </r>
  <r>
    <n v="1"/>
    <s v="G"/>
    <s v="EAST"/>
    <x v="8"/>
    <m/>
    <m/>
    <m/>
    <m/>
    <x v="2"/>
    <x v="1"/>
    <x v="9"/>
    <s v="GL-02"/>
    <s v="backpan"/>
    <m/>
    <n v="245"/>
    <n v="450"/>
    <n v="1"/>
    <n v="0.245"/>
    <n v="0.45"/>
    <n v="1.39"/>
    <n v="1"/>
    <n v="0.11025"/>
  </r>
  <r>
    <n v="1"/>
    <s v="G"/>
    <s v="EAST"/>
    <x v="8"/>
    <m/>
    <m/>
    <m/>
    <m/>
    <x v="2"/>
    <x v="1"/>
    <x v="9"/>
    <s v="GL-02"/>
    <s v="backpan"/>
    <m/>
    <n v="245"/>
    <n v="725"/>
    <n v="1"/>
    <n v="0.245"/>
    <n v="0.72499999999999998"/>
    <n v="1.94"/>
    <n v="1"/>
    <n v="0.17762500000000001"/>
  </r>
  <r>
    <n v="1"/>
    <s v="G"/>
    <s v="EAST"/>
    <x v="8"/>
    <m/>
    <m/>
    <m/>
    <m/>
    <x v="2"/>
    <x v="1"/>
    <x v="9"/>
    <s v="GL-02"/>
    <s v="backpan"/>
    <m/>
    <n v="245"/>
    <n v="715"/>
    <n v="1"/>
    <n v="0.245"/>
    <n v="0.71499999999999997"/>
    <n v="1.92"/>
    <n v="1"/>
    <n v="0.17517499999999997"/>
  </r>
  <r>
    <n v="1"/>
    <s v="G"/>
    <s v="EAST"/>
    <x v="8"/>
    <m/>
    <m/>
    <m/>
    <m/>
    <x v="2"/>
    <x v="1"/>
    <x v="9"/>
    <s v="GL-02"/>
    <s v="backpan"/>
    <m/>
    <n v="245"/>
    <n v="705"/>
    <n v="1"/>
    <n v="0.245"/>
    <n v="0.70499999999999996"/>
    <n v="1.9"/>
    <n v="1"/>
    <n v="0.17272499999999999"/>
  </r>
  <r>
    <n v="1"/>
    <s v="G"/>
    <s v="EAST"/>
    <x v="8"/>
    <m/>
    <m/>
    <m/>
    <m/>
    <x v="2"/>
    <x v="1"/>
    <x v="9"/>
    <s v="GL-02"/>
    <s v="backpan"/>
    <m/>
    <n v="245"/>
    <n v="320"/>
    <n v="1"/>
    <n v="0.245"/>
    <n v="0.32"/>
    <n v="1.1299999999999999"/>
    <n v="1"/>
    <n v="7.8400000000000011E-2"/>
  </r>
  <r>
    <n v="1"/>
    <s v="G"/>
    <s v="EAST"/>
    <x v="8"/>
    <m/>
    <m/>
    <m/>
    <m/>
    <x v="2"/>
    <x v="1"/>
    <x v="9"/>
    <s v="GL-02"/>
    <s v="backpan"/>
    <m/>
    <n v="245"/>
    <n v="1850"/>
    <n v="1"/>
    <n v="0.245"/>
    <n v="1.85"/>
    <n v="4.1900000000000004"/>
    <n v="1"/>
    <n v="0.45324999999999999"/>
  </r>
  <r>
    <n v="1"/>
    <s v="G"/>
    <s v="EAST"/>
    <x v="8"/>
    <m/>
    <m/>
    <m/>
    <m/>
    <x v="2"/>
    <x v="1"/>
    <x v="9"/>
    <s v="GL-02"/>
    <s v="backpan"/>
    <m/>
    <n v="245"/>
    <n v="320"/>
    <n v="1"/>
    <n v="0.245"/>
    <n v="0.32"/>
    <n v="1.1299999999999999"/>
    <n v="1"/>
    <n v="7.8400000000000011E-2"/>
  </r>
  <r>
    <n v="1"/>
    <s v="G"/>
    <s v="EAST"/>
    <x v="8"/>
    <m/>
    <m/>
    <m/>
    <m/>
    <x v="2"/>
    <x v="1"/>
    <x v="9"/>
    <s v="GL-02"/>
    <s v="backpan"/>
    <m/>
    <n v="245"/>
    <n v="320"/>
    <n v="1"/>
    <n v="0.245"/>
    <n v="0.32"/>
    <n v="1.1299999999999999"/>
    <n v="1"/>
    <n v="7.8400000000000011E-2"/>
  </r>
  <r>
    <n v="1"/>
    <s v="G"/>
    <s v="EAST"/>
    <x v="8"/>
    <m/>
    <m/>
    <m/>
    <m/>
    <x v="2"/>
    <x v="1"/>
    <x v="9"/>
    <s v="GL-02"/>
    <s v="backpan"/>
    <m/>
    <n v="245"/>
    <n v="1860"/>
    <n v="1"/>
    <n v="0.245"/>
    <n v="1.86"/>
    <n v="4.21"/>
    <n v="1"/>
    <n v="0.45569999999999999"/>
  </r>
  <r>
    <n v="1"/>
    <s v="G"/>
    <s v="EAST"/>
    <x v="8"/>
    <m/>
    <m/>
    <m/>
    <m/>
    <x v="2"/>
    <x v="1"/>
    <x v="9"/>
    <s v="GL-02"/>
    <s v="backpan"/>
    <m/>
    <n v="245"/>
    <n v="342.5"/>
    <n v="1"/>
    <n v="0.245"/>
    <n v="0.34250000000000003"/>
    <n v="1.175"/>
    <n v="1"/>
    <n v="8.3912500000000001E-2"/>
  </r>
  <r>
    <n v="1"/>
    <s v="G"/>
    <s v="EAST"/>
    <x v="8"/>
    <m/>
    <m/>
    <m/>
    <m/>
    <x v="2"/>
    <x v="1"/>
    <x v="1"/>
    <s v="GL-01"/>
    <s v="backpan"/>
    <s v="130MM WIDTH DECAL"/>
    <n v="3600"/>
    <n v="342.5"/>
    <n v="1"/>
    <n v="3.6"/>
    <n v="0.34250000000000003"/>
    <n v="7.8849999999999998"/>
    <n v="1"/>
    <n v="1.2330000000000001"/>
  </r>
  <r>
    <n v="1"/>
    <s v="G"/>
    <s v="EAST"/>
    <x v="8"/>
    <m/>
    <m/>
    <m/>
    <m/>
    <x v="2"/>
    <x v="1"/>
    <x v="1"/>
    <s v="GL-01"/>
    <m/>
    <s v="130MM WIDTH DECAL"/>
    <n v="3600"/>
    <n v="2520"/>
    <n v="1"/>
    <n v="3.6"/>
    <n v="2.52"/>
    <n v="12.24"/>
    <n v="1"/>
    <n v="9.0719999999999992"/>
  </r>
  <r>
    <n v="1"/>
    <s v="G"/>
    <s v="EAST"/>
    <x v="8"/>
    <m/>
    <m/>
    <m/>
    <m/>
    <x v="2"/>
    <x v="1"/>
    <x v="1"/>
    <s v="GL-01"/>
    <m/>
    <s v="130MM WIDTH DECAL"/>
    <n v="3600"/>
    <n v="320"/>
    <n v="1"/>
    <n v="3.6"/>
    <n v="0.32"/>
    <n v="7.84"/>
    <n v="1"/>
    <n v="1.1519999999999999"/>
  </r>
  <r>
    <n v="1"/>
    <s v="G"/>
    <s v="EAST"/>
    <x v="8"/>
    <m/>
    <m/>
    <m/>
    <m/>
    <x v="2"/>
    <x v="1"/>
    <x v="1"/>
    <s v="GL-01"/>
    <m/>
    <s v="130MM WIDTH DECAL"/>
    <n v="3600"/>
    <n v="480"/>
    <n v="1"/>
    <n v="3.6"/>
    <n v="0.48"/>
    <n v="8.16"/>
    <n v="1"/>
    <n v="1.728"/>
  </r>
  <r>
    <n v="1"/>
    <s v="G"/>
    <s v="EAST"/>
    <x v="8"/>
    <m/>
    <m/>
    <m/>
    <m/>
    <x v="2"/>
    <x v="1"/>
    <x v="1"/>
    <s v="GL-01"/>
    <m/>
    <s v="130MM WIDTH DECAL"/>
    <n v="3600"/>
    <n v="1500"/>
    <n v="1"/>
    <n v="3.6"/>
    <n v="1.5"/>
    <n v="10.199999999999999"/>
    <n v="1"/>
    <n v="5.4"/>
  </r>
  <r>
    <n v="1"/>
    <s v="G"/>
    <s v="EAST"/>
    <x v="8"/>
    <m/>
    <m/>
    <m/>
    <m/>
    <x v="2"/>
    <x v="1"/>
    <x v="1"/>
    <s v="GL-01"/>
    <m/>
    <s v="130MM WIDTH DECAL"/>
    <n v="3600"/>
    <n v="520"/>
    <n v="1"/>
    <n v="3.6"/>
    <n v="0.52"/>
    <n v="8.24"/>
    <n v="1"/>
    <n v="1.8720000000000001"/>
  </r>
  <r>
    <n v="1"/>
    <s v="G"/>
    <s v="EAST"/>
    <x v="8"/>
    <m/>
    <m/>
    <m/>
    <m/>
    <x v="2"/>
    <x v="1"/>
    <x v="1"/>
    <s v="GL-01"/>
    <m/>
    <s v="130MM WIDTH DECAL"/>
    <n v="3600"/>
    <n v="460"/>
    <n v="1"/>
    <n v="3.6"/>
    <n v="0.46"/>
    <n v="8.1199999999999992"/>
    <n v="1"/>
    <n v="1.6559999999999999"/>
  </r>
  <r>
    <n v="1"/>
    <s v="G"/>
    <s v="EAST"/>
    <x v="8"/>
    <m/>
    <m/>
    <m/>
    <m/>
    <x v="2"/>
    <x v="1"/>
    <x v="1"/>
    <s v="GL-01"/>
    <m/>
    <s v="130MM WIDTH DECAL"/>
    <n v="3600"/>
    <n v="1060"/>
    <n v="1"/>
    <n v="3.6"/>
    <n v="1.06"/>
    <n v="9.32"/>
    <n v="1"/>
    <n v="3.8159999999999998"/>
  </r>
  <r>
    <n v="1"/>
    <s v="G"/>
    <s v="EAST"/>
    <x v="8"/>
    <m/>
    <m/>
    <m/>
    <m/>
    <x v="2"/>
    <x v="1"/>
    <x v="1"/>
    <s v="GL-01"/>
    <m/>
    <s v="130MM WIDTH DECAL"/>
    <n v="3600"/>
    <n v="320"/>
    <n v="1"/>
    <n v="3.6"/>
    <n v="0.32"/>
    <n v="7.84"/>
    <n v="1"/>
    <n v="1.1519999999999999"/>
  </r>
  <r>
    <n v="1"/>
    <s v="G"/>
    <s v="EAST"/>
    <x v="8"/>
    <m/>
    <m/>
    <m/>
    <m/>
    <x v="2"/>
    <x v="1"/>
    <x v="1"/>
    <s v="GL-01"/>
    <m/>
    <s v="130MM WIDTH DECAL"/>
    <n v="3600"/>
    <n v="500"/>
    <n v="1"/>
    <n v="3.6"/>
    <n v="0.5"/>
    <n v="8.1999999999999993"/>
    <n v="1"/>
    <n v="1.8"/>
  </r>
  <r>
    <n v="1"/>
    <s v="G"/>
    <s v="EAST"/>
    <x v="8"/>
    <m/>
    <m/>
    <m/>
    <m/>
    <x v="2"/>
    <x v="1"/>
    <x v="1"/>
    <s v="GL-01"/>
    <m/>
    <s v="130MM WIDTH DECAL"/>
    <n v="3600"/>
    <n v="575"/>
    <n v="1"/>
    <n v="3.6"/>
    <n v="0.57499999999999996"/>
    <n v="8.35"/>
    <n v="1"/>
    <n v="2.0699999999999998"/>
  </r>
  <r>
    <n v="1"/>
    <s v="G"/>
    <s v="EAST"/>
    <x v="8"/>
    <m/>
    <m/>
    <m/>
    <m/>
    <x v="2"/>
    <x v="1"/>
    <x v="1"/>
    <s v="GL-01"/>
    <m/>
    <s v="130MM WIDTH DECAL"/>
    <n v="3600"/>
    <n v="985"/>
    <n v="1"/>
    <n v="3.6"/>
    <n v="0.98499999999999999"/>
    <n v="9.17"/>
    <n v="1"/>
    <n v="3.5459999999999998"/>
  </r>
  <r>
    <n v="1"/>
    <s v="G"/>
    <s v="EAST"/>
    <x v="8"/>
    <m/>
    <m/>
    <m/>
    <m/>
    <x v="2"/>
    <x v="1"/>
    <x v="1"/>
    <s v="GL-01"/>
    <m/>
    <s v="130MM WIDTH DECAL"/>
    <n v="3600"/>
    <n v="450"/>
    <n v="1"/>
    <n v="3.6"/>
    <n v="0.45"/>
    <n v="8.1"/>
    <n v="1"/>
    <n v="1.62"/>
  </r>
  <r>
    <n v="1"/>
    <s v="G"/>
    <s v="EAST"/>
    <x v="8"/>
    <m/>
    <m/>
    <m/>
    <m/>
    <x v="2"/>
    <x v="1"/>
    <x v="1"/>
    <s v="GL-01"/>
    <m/>
    <s v="130MM WIDTH DECAL"/>
    <n v="3600"/>
    <n v="725"/>
    <n v="1"/>
    <n v="3.6"/>
    <n v="0.72499999999999998"/>
    <n v="8.65"/>
    <n v="1"/>
    <n v="2.61"/>
  </r>
  <r>
    <n v="1"/>
    <s v="G"/>
    <s v="EAST"/>
    <x v="8"/>
    <m/>
    <m/>
    <m/>
    <m/>
    <x v="2"/>
    <x v="1"/>
    <x v="1"/>
    <s v="GL-01"/>
    <m/>
    <s v="130MM WIDTH DECAL"/>
    <n v="3600"/>
    <n v="715"/>
    <n v="1"/>
    <n v="3.6"/>
    <n v="0.71499999999999997"/>
    <n v="8.6300000000000008"/>
    <n v="1"/>
    <n v="2.5739999999999998"/>
  </r>
  <r>
    <n v="1"/>
    <s v="G"/>
    <s v="EAST"/>
    <x v="8"/>
    <m/>
    <m/>
    <m/>
    <m/>
    <x v="2"/>
    <x v="1"/>
    <x v="1"/>
    <s v="GL-01"/>
    <m/>
    <s v="130MM WIDTH DECAL"/>
    <n v="3600"/>
    <n v="705"/>
    <n v="1"/>
    <n v="3.6"/>
    <n v="0.70499999999999996"/>
    <n v="8.61"/>
    <n v="1"/>
    <n v="2.5379999999999998"/>
  </r>
  <r>
    <n v="1"/>
    <s v="G"/>
    <s v="EAST"/>
    <x v="8"/>
    <m/>
    <m/>
    <m/>
    <m/>
    <x v="2"/>
    <x v="1"/>
    <x v="1"/>
    <s v="GL-01"/>
    <m/>
    <s v="130MM WIDTH DECAL"/>
    <n v="3600"/>
    <n v="320"/>
    <n v="1"/>
    <n v="3.6"/>
    <n v="0.32"/>
    <n v="7.84"/>
    <n v="1"/>
    <n v="1.1519999999999999"/>
  </r>
  <r>
    <n v="1"/>
    <s v="G"/>
    <s v="EAST"/>
    <x v="8"/>
    <m/>
    <m/>
    <m/>
    <m/>
    <x v="2"/>
    <x v="1"/>
    <x v="1"/>
    <s v="GL-01"/>
    <m/>
    <s v="130MM WIDTH DECAL"/>
    <n v="3600"/>
    <n v="1850"/>
    <n v="1"/>
    <n v="3.6"/>
    <n v="1.85"/>
    <n v="10.9"/>
    <n v="1"/>
    <n v="6.66"/>
  </r>
  <r>
    <n v="1"/>
    <s v="G"/>
    <s v="EAST"/>
    <x v="8"/>
    <m/>
    <m/>
    <m/>
    <m/>
    <x v="2"/>
    <x v="1"/>
    <x v="1"/>
    <s v="GL-01"/>
    <m/>
    <s v="130MM WIDTH DECAL"/>
    <n v="3600"/>
    <n v="320"/>
    <n v="1"/>
    <n v="3.6"/>
    <n v="0.32"/>
    <n v="7.84"/>
    <n v="1"/>
    <n v="1.1519999999999999"/>
  </r>
  <r>
    <n v="1"/>
    <s v="G"/>
    <s v="EAST"/>
    <x v="8"/>
    <m/>
    <m/>
    <m/>
    <m/>
    <x v="2"/>
    <x v="1"/>
    <x v="1"/>
    <s v="GL-01"/>
    <m/>
    <s v="130MM WIDTH DECAL"/>
    <n v="3600"/>
    <n v="320"/>
    <n v="1"/>
    <n v="3.6"/>
    <n v="0.32"/>
    <n v="7.84"/>
    <n v="1"/>
    <n v="1.1519999999999999"/>
  </r>
  <r>
    <n v="1"/>
    <s v="G"/>
    <s v="EAST"/>
    <x v="8"/>
    <m/>
    <m/>
    <m/>
    <m/>
    <x v="2"/>
    <x v="1"/>
    <x v="1"/>
    <s v="GL-01"/>
    <m/>
    <s v="130MM WIDTH DECAL"/>
    <n v="3600"/>
    <n v="1860"/>
    <n v="1"/>
    <n v="3.6"/>
    <n v="1.86"/>
    <n v="10.92"/>
    <n v="1"/>
    <n v="6.6959999999999997"/>
  </r>
  <r>
    <n v="1"/>
    <s v="G"/>
    <s v="EAST"/>
    <x v="8"/>
    <m/>
    <m/>
    <m/>
    <m/>
    <x v="2"/>
    <x v="1"/>
    <x v="1"/>
    <s v="GL-01"/>
    <s v="backpan"/>
    <s v="130MM WIDTH DECAL"/>
    <n v="3600"/>
    <n v="342.5"/>
    <n v="1"/>
    <n v="3.6"/>
    <n v="0.34250000000000003"/>
    <n v="7.8849999999999998"/>
    <n v="1"/>
    <n v="1.2330000000000001"/>
  </r>
  <r>
    <n v="1"/>
    <s v="G"/>
    <s v="south"/>
    <x v="9"/>
    <m/>
    <m/>
    <m/>
    <m/>
    <x v="0"/>
    <x v="1"/>
    <x v="0"/>
    <m/>
    <m/>
    <m/>
    <n v="1575"/>
    <n v="12805"/>
    <n v="1"/>
    <n v="1.575"/>
    <n v="12.805"/>
    <n v="28.76"/>
    <n v="1"/>
    <n v="20.167874999999999"/>
  </r>
  <r>
    <n v="1"/>
    <s v="G"/>
    <s v="south"/>
    <x v="9"/>
    <m/>
    <m/>
    <m/>
    <m/>
    <x v="1"/>
    <x v="1"/>
    <x v="1"/>
    <s v="GL-01"/>
    <m/>
    <m/>
    <n v="1575"/>
    <n v="1035"/>
    <n v="1"/>
    <n v="1.575"/>
    <n v="1.0349999999999999"/>
    <n v="5.22"/>
    <n v="1"/>
    <n v="1.630125"/>
  </r>
  <r>
    <n v="1"/>
    <s v="G"/>
    <s v="south"/>
    <x v="9"/>
    <m/>
    <m/>
    <m/>
    <m/>
    <x v="1"/>
    <x v="1"/>
    <x v="1"/>
    <s v="GL-01"/>
    <m/>
    <m/>
    <n v="1575"/>
    <n v="1670"/>
    <n v="1"/>
    <n v="1.575"/>
    <n v="1.67"/>
    <n v="6.49"/>
    <n v="1"/>
    <n v="2.6302500000000002"/>
  </r>
  <r>
    <n v="1"/>
    <s v="G"/>
    <s v="south"/>
    <x v="9"/>
    <m/>
    <m/>
    <m/>
    <m/>
    <x v="1"/>
    <x v="1"/>
    <x v="1"/>
    <s v="GL-01"/>
    <m/>
    <m/>
    <n v="1575"/>
    <n v="930"/>
    <n v="1"/>
    <n v="1.575"/>
    <n v="0.93"/>
    <n v="5.01"/>
    <n v="1"/>
    <n v="1.46475"/>
  </r>
  <r>
    <n v="1"/>
    <s v="G"/>
    <s v="south"/>
    <x v="9"/>
    <m/>
    <m/>
    <m/>
    <m/>
    <x v="1"/>
    <x v="1"/>
    <x v="9"/>
    <s v="GL-02"/>
    <s v="backpan"/>
    <m/>
    <n v="1575"/>
    <n v="355"/>
    <n v="1"/>
    <n v="1.575"/>
    <n v="0.35499999999999998"/>
    <n v="3.86"/>
    <n v="1"/>
    <n v="0.55912499999999998"/>
  </r>
  <r>
    <n v="1"/>
    <s v="G"/>
    <s v="south"/>
    <x v="9"/>
    <m/>
    <m/>
    <m/>
    <m/>
    <x v="1"/>
    <x v="1"/>
    <x v="1"/>
    <s v="GL-01"/>
    <m/>
    <m/>
    <n v="1575"/>
    <n v="1225"/>
    <n v="1"/>
    <n v="1.575"/>
    <n v="1.2250000000000001"/>
    <n v="5.6"/>
    <n v="1"/>
    <n v="1.9293750000000001"/>
  </r>
  <r>
    <n v="1"/>
    <s v="G"/>
    <s v="south"/>
    <x v="9"/>
    <m/>
    <m/>
    <m/>
    <m/>
    <x v="1"/>
    <x v="1"/>
    <x v="1"/>
    <s v="GL-01"/>
    <m/>
    <m/>
    <n v="1575"/>
    <n v="1835"/>
    <n v="1"/>
    <n v="1.575"/>
    <n v="1.835"/>
    <n v="6.82"/>
    <n v="1"/>
    <n v="2.8901249999999998"/>
  </r>
  <r>
    <n v="1"/>
    <s v="G"/>
    <s v="south"/>
    <x v="9"/>
    <m/>
    <m/>
    <m/>
    <m/>
    <x v="1"/>
    <x v="1"/>
    <x v="1"/>
    <s v="GL-01"/>
    <m/>
    <m/>
    <n v="1575"/>
    <n v="1200"/>
    <n v="1"/>
    <n v="1.575"/>
    <n v="1.2"/>
    <n v="5.55"/>
    <n v="1"/>
    <n v="1.89"/>
  </r>
  <r>
    <n v="1"/>
    <s v="G"/>
    <s v="south"/>
    <x v="9"/>
    <m/>
    <m/>
    <m/>
    <m/>
    <x v="1"/>
    <x v="1"/>
    <x v="1"/>
    <s v="GL-01"/>
    <m/>
    <m/>
    <n v="1575"/>
    <n v="1840"/>
    <n v="1"/>
    <n v="1.575"/>
    <n v="1.84"/>
    <n v="6.83"/>
    <n v="1"/>
    <n v="2.8980000000000001"/>
  </r>
  <r>
    <n v="1"/>
    <s v="G"/>
    <s v="south"/>
    <x v="9"/>
    <m/>
    <m/>
    <m/>
    <m/>
    <x v="1"/>
    <x v="1"/>
    <x v="1"/>
    <s v="GL-01"/>
    <m/>
    <m/>
    <n v="1575"/>
    <n v="2310"/>
    <n v="1"/>
    <n v="1.575"/>
    <n v="2.31"/>
    <n v="7.77"/>
    <n v="1"/>
    <n v="3.6382500000000002"/>
  </r>
  <r>
    <n v="1"/>
    <s v="G"/>
    <s v="south"/>
    <x v="9"/>
    <m/>
    <m/>
    <m/>
    <m/>
    <x v="1"/>
    <x v="1"/>
    <x v="9"/>
    <s v="GL-02"/>
    <s v="backpan"/>
    <m/>
    <n v="1575"/>
    <n v="405"/>
    <n v="1"/>
    <n v="1.575"/>
    <n v="0.40500000000000003"/>
    <n v="3.96"/>
    <n v="1"/>
    <n v="0.63787499999999997"/>
  </r>
  <r>
    <n v="1"/>
    <s v="G"/>
    <s v="south"/>
    <x v="9"/>
    <m/>
    <m/>
    <m/>
    <m/>
    <x v="2"/>
    <x v="1"/>
    <x v="1"/>
    <s v="GL-01"/>
    <m/>
    <m/>
    <n v="1575"/>
    <n v="1035"/>
    <n v="1"/>
    <n v="1.575"/>
    <n v="1.0349999999999999"/>
    <n v="5.22"/>
    <n v="1"/>
    <n v="1.630125"/>
  </r>
  <r>
    <n v="1"/>
    <s v="G"/>
    <s v="south"/>
    <x v="9"/>
    <m/>
    <m/>
    <m/>
    <m/>
    <x v="2"/>
    <x v="1"/>
    <x v="1"/>
    <s v="GL-01"/>
    <m/>
    <m/>
    <n v="1575"/>
    <n v="1670"/>
    <n v="1"/>
    <n v="1.575"/>
    <n v="1.67"/>
    <n v="6.49"/>
    <n v="1"/>
    <n v="2.6302500000000002"/>
  </r>
  <r>
    <n v="1"/>
    <s v="G"/>
    <s v="south"/>
    <x v="9"/>
    <m/>
    <m/>
    <m/>
    <m/>
    <x v="2"/>
    <x v="1"/>
    <x v="1"/>
    <s v="GL-01"/>
    <m/>
    <m/>
    <n v="1575"/>
    <n v="930"/>
    <n v="1"/>
    <n v="1.575"/>
    <n v="0.93"/>
    <n v="5.01"/>
    <n v="1"/>
    <n v="1.46475"/>
  </r>
  <r>
    <n v="1"/>
    <s v="G"/>
    <s v="south"/>
    <x v="9"/>
    <m/>
    <m/>
    <m/>
    <m/>
    <x v="2"/>
    <x v="1"/>
    <x v="9"/>
    <s v="GL-02"/>
    <s v="backpan"/>
    <m/>
    <n v="1575"/>
    <n v="355"/>
    <n v="1"/>
    <n v="1.575"/>
    <n v="0.35499999999999998"/>
    <n v="3.86"/>
    <n v="1"/>
    <n v="0.55912499999999998"/>
  </r>
  <r>
    <n v="1"/>
    <s v="G"/>
    <s v="south"/>
    <x v="9"/>
    <m/>
    <m/>
    <m/>
    <m/>
    <x v="2"/>
    <x v="1"/>
    <x v="1"/>
    <s v="GL-01"/>
    <m/>
    <m/>
    <n v="1575"/>
    <n v="1225"/>
    <n v="1"/>
    <n v="1.575"/>
    <n v="1.2250000000000001"/>
    <n v="5.6"/>
    <n v="1"/>
    <n v="1.9293750000000001"/>
  </r>
  <r>
    <n v="1"/>
    <s v="G"/>
    <s v="south"/>
    <x v="9"/>
    <m/>
    <m/>
    <m/>
    <m/>
    <x v="2"/>
    <x v="1"/>
    <x v="1"/>
    <s v="GL-01"/>
    <m/>
    <m/>
    <n v="1575"/>
    <n v="1835"/>
    <n v="1"/>
    <n v="1.575"/>
    <n v="1.835"/>
    <n v="6.82"/>
    <n v="1"/>
    <n v="2.8901249999999998"/>
  </r>
  <r>
    <n v="1"/>
    <s v="G"/>
    <s v="south"/>
    <x v="9"/>
    <m/>
    <m/>
    <m/>
    <m/>
    <x v="2"/>
    <x v="1"/>
    <x v="1"/>
    <s v="GL-01"/>
    <m/>
    <m/>
    <n v="1575"/>
    <n v="1200"/>
    <n v="1"/>
    <n v="1.575"/>
    <n v="1.2"/>
    <n v="5.55"/>
    <n v="1"/>
    <n v="1.89"/>
  </r>
  <r>
    <n v="1"/>
    <s v="G"/>
    <s v="south"/>
    <x v="9"/>
    <m/>
    <m/>
    <m/>
    <m/>
    <x v="2"/>
    <x v="1"/>
    <x v="1"/>
    <s v="GL-01"/>
    <m/>
    <m/>
    <n v="1575"/>
    <n v="1840"/>
    <n v="1"/>
    <n v="1.575"/>
    <n v="1.84"/>
    <n v="6.83"/>
    <n v="1"/>
    <n v="2.8980000000000001"/>
  </r>
  <r>
    <n v="1"/>
    <s v="G"/>
    <s v="south"/>
    <x v="9"/>
    <m/>
    <m/>
    <m/>
    <m/>
    <x v="2"/>
    <x v="1"/>
    <x v="1"/>
    <s v="GL-01"/>
    <m/>
    <m/>
    <n v="1575"/>
    <n v="2310"/>
    <n v="1"/>
    <n v="1.575"/>
    <n v="2.31"/>
    <n v="7.77"/>
    <n v="1"/>
    <n v="3.6382500000000002"/>
  </r>
  <r>
    <n v="1"/>
    <s v="G"/>
    <s v="south"/>
    <x v="9"/>
    <m/>
    <m/>
    <m/>
    <m/>
    <x v="2"/>
    <x v="1"/>
    <x v="9"/>
    <s v="GL-02"/>
    <s v="backpan"/>
    <m/>
    <n v="1575"/>
    <n v="405"/>
    <n v="1"/>
    <n v="1.575"/>
    <n v="0.40500000000000003"/>
    <n v="3.96"/>
    <n v="1"/>
    <n v="0.63787499999999997"/>
  </r>
  <r>
    <n v="1"/>
    <s v="G"/>
    <s v="south"/>
    <x v="10"/>
    <m/>
    <m/>
    <m/>
    <m/>
    <x v="0"/>
    <x v="1"/>
    <x v="0"/>
    <m/>
    <m/>
    <m/>
    <n v="1165"/>
    <n v="4550"/>
    <n v="1"/>
    <n v="1.165"/>
    <n v="4.55"/>
    <n v="11.43"/>
    <n v="1"/>
    <n v="5.3007499999999999"/>
  </r>
  <r>
    <n v="1"/>
    <s v="G"/>
    <s v="south"/>
    <x v="10"/>
    <m/>
    <m/>
    <m/>
    <m/>
    <x v="1"/>
    <x v="1"/>
    <x v="1"/>
    <s v="GL-01"/>
    <m/>
    <m/>
    <n v="850"/>
    <n v="4550"/>
    <n v="1"/>
    <n v="0.85"/>
    <n v="4.55"/>
    <n v="10.8"/>
    <n v="1"/>
    <n v="3.8675000000000002"/>
  </r>
  <r>
    <n v="1"/>
    <s v="G"/>
    <s v="south"/>
    <x v="10"/>
    <m/>
    <m/>
    <m/>
    <m/>
    <x v="1"/>
    <x v="1"/>
    <x v="6"/>
    <m/>
    <m/>
    <m/>
    <n v="315"/>
    <n v="4550"/>
    <n v="1"/>
    <n v="0.315"/>
    <n v="4.55"/>
    <n v="9.73"/>
    <n v="1"/>
    <n v="1.4332499999999999"/>
  </r>
  <r>
    <n v="1"/>
    <s v="G"/>
    <s v="south"/>
    <x v="10"/>
    <m/>
    <m/>
    <m/>
    <m/>
    <x v="2"/>
    <x v="1"/>
    <x v="1"/>
    <s v="GL-01"/>
    <m/>
    <m/>
    <n v="850"/>
    <n v="4550"/>
    <n v="1"/>
    <n v="0.85"/>
    <n v="4.55"/>
    <n v="10.8"/>
    <n v="1"/>
    <n v="3.8675000000000002"/>
  </r>
  <r>
    <n v="1"/>
    <s v="G"/>
    <s v="south"/>
    <x v="10"/>
    <m/>
    <m/>
    <m/>
    <m/>
    <x v="2"/>
    <x v="1"/>
    <x v="6"/>
    <m/>
    <m/>
    <m/>
    <n v="315"/>
    <n v="4550"/>
    <n v="1"/>
    <n v="0.315"/>
    <n v="4.55"/>
    <n v="9.73"/>
    <n v="1"/>
    <n v="1.4332499999999999"/>
  </r>
  <r>
    <n v="1"/>
    <s v="G"/>
    <s v="North"/>
    <x v="11"/>
    <m/>
    <m/>
    <m/>
    <m/>
    <x v="0"/>
    <x v="1"/>
    <x v="0"/>
    <m/>
    <m/>
    <m/>
    <n v="3030"/>
    <n v="1530"/>
    <n v="1"/>
    <n v="3.03"/>
    <n v="1.53"/>
    <n v="9.1199999999999992"/>
    <n v="1"/>
    <n v="4.6358999999999995"/>
  </r>
  <r>
    <n v="1"/>
    <s v="G"/>
    <s v="North"/>
    <x v="11"/>
    <m/>
    <m/>
    <m/>
    <m/>
    <x v="1"/>
    <x v="1"/>
    <x v="11"/>
    <s v="GL-05"/>
    <s v="D0-02"/>
    <m/>
    <n v="3030"/>
    <n v="1530"/>
    <n v="1"/>
    <n v="3.03"/>
    <n v="1.53"/>
    <n v="9.1199999999999992"/>
    <n v="1"/>
    <n v="4.6358999999999995"/>
  </r>
  <r>
    <n v="1"/>
    <s v="G"/>
    <s v="North"/>
    <x v="11"/>
    <m/>
    <m/>
    <m/>
    <m/>
    <x v="2"/>
    <x v="1"/>
    <x v="11"/>
    <s v="GL-05"/>
    <s v="D0-02"/>
    <m/>
    <n v="3030"/>
    <n v="1530"/>
    <n v="1"/>
    <n v="3.03"/>
    <n v="1.53"/>
    <n v="9.1199999999999992"/>
    <n v="1"/>
    <n v="4.6358999999999995"/>
  </r>
  <r>
    <n v="1"/>
    <s v="LEVE 1"/>
    <s v="North"/>
    <x v="12"/>
    <m/>
    <m/>
    <m/>
    <m/>
    <x v="0"/>
    <x v="0"/>
    <x v="0"/>
    <m/>
    <m/>
    <m/>
    <n v="2930"/>
    <n v="10600"/>
    <n v="1"/>
    <n v="2.93"/>
    <n v="10.6"/>
    <n v="27.06"/>
    <n v="1"/>
    <n v="31.058"/>
  </r>
  <r>
    <n v="1"/>
    <s v="LEVE 1"/>
    <s v="North"/>
    <x v="12"/>
    <m/>
    <m/>
    <m/>
    <m/>
    <x v="1"/>
    <x v="0"/>
    <x v="1"/>
    <s v="GL-03"/>
    <m/>
    <m/>
    <n v="2930"/>
    <n v="3533.3333333333335"/>
    <n v="1"/>
    <n v="2.93"/>
    <n v="3.5333333333333337"/>
    <n v="12.926666666666668"/>
    <n v="1"/>
    <n v="10.352666666666668"/>
  </r>
  <r>
    <n v="1"/>
    <s v="LEVE 1"/>
    <s v="North"/>
    <x v="12"/>
    <m/>
    <m/>
    <m/>
    <m/>
    <x v="1"/>
    <x v="0"/>
    <x v="1"/>
    <s v="GL-03"/>
    <m/>
    <m/>
    <n v="2930"/>
    <n v="3533.3333333333335"/>
    <n v="1"/>
    <n v="2.93"/>
    <n v="3.5333333333333337"/>
    <n v="12.926666666666668"/>
    <n v="1"/>
    <n v="10.352666666666668"/>
  </r>
  <r>
    <n v="1"/>
    <s v="LEVE 1"/>
    <s v="North"/>
    <x v="12"/>
    <m/>
    <m/>
    <m/>
    <m/>
    <x v="1"/>
    <x v="0"/>
    <x v="1"/>
    <s v="GL-03"/>
    <m/>
    <m/>
    <n v="2930"/>
    <n v="3533.3333333333335"/>
    <n v="1"/>
    <n v="2.93"/>
    <n v="3.5333333333333337"/>
    <n v="12.926666666666668"/>
    <n v="1"/>
    <n v="10.352666666666668"/>
  </r>
  <r>
    <n v="1"/>
    <s v="LEVE 1"/>
    <s v="North"/>
    <x v="12"/>
    <m/>
    <m/>
    <m/>
    <m/>
    <x v="2"/>
    <x v="0"/>
    <x v="1"/>
    <s v="GL-03"/>
    <m/>
    <m/>
    <n v="2930"/>
    <n v="3533.3333333333335"/>
    <n v="1"/>
    <n v="2.93"/>
    <n v="3.5333333333333337"/>
    <n v="12.926666666666668"/>
    <n v="1"/>
    <n v="10.352666666666668"/>
  </r>
  <r>
    <n v="1"/>
    <s v="LEVE 1"/>
    <s v="North"/>
    <x v="12"/>
    <m/>
    <m/>
    <m/>
    <m/>
    <x v="2"/>
    <x v="0"/>
    <x v="1"/>
    <s v="GL-03"/>
    <m/>
    <m/>
    <n v="2930"/>
    <n v="3533.3333333333335"/>
    <n v="1"/>
    <n v="2.93"/>
    <n v="3.5333333333333337"/>
    <n v="12.926666666666668"/>
    <n v="1"/>
    <n v="10.352666666666668"/>
  </r>
  <r>
    <n v="1"/>
    <s v="LEVE 1"/>
    <s v="North"/>
    <x v="12"/>
    <m/>
    <m/>
    <m/>
    <m/>
    <x v="2"/>
    <x v="0"/>
    <x v="1"/>
    <s v="GL-03"/>
    <m/>
    <m/>
    <n v="2930"/>
    <n v="3533.3333333333335"/>
    <n v="1"/>
    <n v="2.93"/>
    <n v="3.5333333333333337"/>
    <n v="12.926666666666668"/>
    <n v="1"/>
    <n v="10.352666666666668"/>
  </r>
  <r>
    <n v="1"/>
    <s v="LEVE 1"/>
    <s v="North"/>
    <x v="13"/>
    <m/>
    <m/>
    <m/>
    <m/>
    <x v="0"/>
    <x v="0"/>
    <x v="0"/>
    <m/>
    <m/>
    <m/>
    <n v="2930"/>
    <n v="3150"/>
    <n v="1"/>
    <n v="2.93"/>
    <n v="3.15"/>
    <n v="12.16"/>
    <n v="1"/>
    <n v="9.2294999999999998"/>
  </r>
  <r>
    <n v="1"/>
    <s v="LEVE 1"/>
    <s v="North"/>
    <x v="13"/>
    <m/>
    <m/>
    <m/>
    <m/>
    <x v="1"/>
    <x v="0"/>
    <x v="1"/>
    <s v="GL-03"/>
    <m/>
    <m/>
    <n v="2930"/>
    <n v="3150"/>
    <n v="1"/>
    <n v="2.93"/>
    <n v="3.15"/>
    <n v="12.16"/>
    <n v="1"/>
    <n v="9.2294999999999998"/>
  </r>
  <r>
    <n v="1"/>
    <s v="LEVE 1"/>
    <s v="North"/>
    <x v="13"/>
    <m/>
    <m/>
    <m/>
    <m/>
    <x v="2"/>
    <x v="0"/>
    <x v="1"/>
    <s v="GL-03"/>
    <m/>
    <m/>
    <n v="2930"/>
    <n v="3150"/>
    <n v="1"/>
    <n v="2.93"/>
    <n v="3.15"/>
    <n v="12.16"/>
    <n v="1"/>
    <n v="9.2294999999999998"/>
  </r>
  <r>
    <n v="1"/>
    <s v="LEVE 1"/>
    <s v="North"/>
    <x v="14"/>
    <m/>
    <m/>
    <m/>
    <m/>
    <x v="0"/>
    <x v="0"/>
    <x v="0"/>
    <m/>
    <m/>
    <m/>
    <n v="2930"/>
    <n v="2015"/>
    <n v="1"/>
    <n v="2.93"/>
    <n v="2.0150000000000001"/>
    <n v="9.89"/>
    <n v="1"/>
    <n v="5.9039500000000009"/>
  </r>
  <r>
    <n v="1"/>
    <s v="LEVE 1"/>
    <s v="North"/>
    <x v="14"/>
    <m/>
    <m/>
    <m/>
    <m/>
    <x v="1"/>
    <x v="0"/>
    <x v="1"/>
    <s v="GL-03"/>
    <m/>
    <m/>
    <n v="2930"/>
    <n v="2015"/>
    <n v="1"/>
    <n v="2.93"/>
    <n v="2.0150000000000001"/>
    <n v="9.89"/>
    <n v="1"/>
    <n v="5.9039500000000009"/>
  </r>
  <r>
    <n v="1"/>
    <s v="LEVE 1"/>
    <s v="North"/>
    <x v="14"/>
    <m/>
    <m/>
    <m/>
    <m/>
    <x v="2"/>
    <x v="0"/>
    <x v="1"/>
    <s v="GL-03"/>
    <m/>
    <m/>
    <n v="2930"/>
    <n v="2015"/>
    <n v="1"/>
    <n v="2.93"/>
    <n v="2.0150000000000001"/>
    <n v="9.89"/>
    <n v="1"/>
    <n v="5.9039500000000009"/>
  </r>
  <r>
    <n v="1"/>
    <s v="LEVE 1"/>
    <s v="North"/>
    <x v="15"/>
    <m/>
    <m/>
    <m/>
    <m/>
    <x v="0"/>
    <x v="0"/>
    <x v="0"/>
    <m/>
    <m/>
    <s v="scr-01"/>
    <n v="2880"/>
    <n v="4300"/>
    <n v="1"/>
    <n v="2.88"/>
    <n v="4.3"/>
    <n v="14.36"/>
    <n v="1"/>
    <n v="12.384"/>
  </r>
  <r>
    <n v="1"/>
    <s v="LEVE 1"/>
    <s v="North"/>
    <x v="15"/>
    <m/>
    <m/>
    <m/>
    <m/>
    <x v="1"/>
    <x v="0"/>
    <x v="1"/>
    <s v="GL-03"/>
    <m/>
    <m/>
    <n v="2880"/>
    <n v="4300"/>
    <n v="1"/>
    <n v="2.88"/>
    <n v="4.3"/>
    <n v="14.36"/>
    <n v="1"/>
    <n v="12.384"/>
  </r>
  <r>
    <n v="1"/>
    <s v="LEVE 1"/>
    <s v="North"/>
    <x v="15"/>
    <m/>
    <m/>
    <m/>
    <m/>
    <x v="2"/>
    <x v="0"/>
    <x v="1"/>
    <s v="GL-03"/>
    <m/>
    <m/>
    <n v="2880"/>
    <n v="4300"/>
    <n v="1"/>
    <n v="2.88"/>
    <n v="4.3"/>
    <n v="14.36"/>
    <n v="1"/>
    <n v="12.384"/>
  </r>
  <r>
    <n v="1"/>
    <s v="LEVE 1"/>
    <s v="North"/>
    <x v="16"/>
    <m/>
    <m/>
    <m/>
    <m/>
    <x v="0"/>
    <x v="1"/>
    <x v="0"/>
    <m/>
    <m/>
    <m/>
    <n v="2650"/>
    <n v="2700"/>
    <n v="1"/>
    <n v="2.65"/>
    <n v="2.7"/>
    <n v="10.7"/>
    <n v="1"/>
    <n v="7.1550000000000002"/>
  </r>
  <r>
    <n v="1"/>
    <s v="LEVE 1"/>
    <s v="North"/>
    <x v="16"/>
    <m/>
    <m/>
    <m/>
    <m/>
    <x v="1"/>
    <x v="1"/>
    <x v="1"/>
    <s v="GL-01"/>
    <m/>
    <s v="130MM WIDTH DECAL"/>
    <n v="2650"/>
    <n v="2700"/>
    <n v="1"/>
    <n v="2.65"/>
    <n v="2.7"/>
    <n v="10.7"/>
    <n v="1"/>
    <n v="7.1550000000000002"/>
  </r>
  <r>
    <n v="1"/>
    <s v="LEVE 1"/>
    <s v="North"/>
    <x v="16"/>
    <m/>
    <m/>
    <m/>
    <m/>
    <x v="2"/>
    <x v="1"/>
    <x v="1"/>
    <s v="GL-01"/>
    <m/>
    <s v="130MM WIDTH DECAL"/>
    <n v="2650"/>
    <n v="2700"/>
    <n v="1"/>
    <n v="2.65"/>
    <n v="2.7"/>
    <n v="10.7"/>
    <n v="1"/>
    <n v="7.1550000000000002"/>
  </r>
  <r>
    <n v="1"/>
    <s v="G"/>
    <s v="North"/>
    <x v="17"/>
    <m/>
    <m/>
    <m/>
    <m/>
    <x v="0"/>
    <x v="2"/>
    <x v="0"/>
    <m/>
    <m/>
    <m/>
    <n v="5035"/>
    <n v="2280"/>
    <n v="1"/>
    <n v="5.0350000000000001"/>
    <n v="2.2799999999999998"/>
    <n v="14.63"/>
    <n v="1"/>
    <n v="11.479800000000001"/>
  </r>
  <r>
    <n v="1"/>
    <s v="G"/>
    <s v="North"/>
    <x v="17"/>
    <m/>
    <m/>
    <m/>
    <m/>
    <x v="1"/>
    <x v="2"/>
    <x v="12"/>
    <s v="GL-01"/>
    <s v="D0-01"/>
    <m/>
    <n v="2375"/>
    <n v="1140"/>
    <n v="1"/>
    <n v="2.375"/>
    <n v="1.1399999999999999"/>
    <n v="7.03"/>
    <n v="1"/>
    <n v="2.7075"/>
  </r>
  <r>
    <n v="1"/>
    <s v="G"/>
    <s v="North"/>
    <x v="17"/>
    <m/>
    <m/>
    <m/>
    <m/>
    <x v="1"/>
    <x v="2"/>
    <x v="12"/>
    <s v="GL-01"/>
    <s v="D0-01"/>
    <m/>
    <n v="2375"/>
    <n v="1140"/>
    <n v="1"/>
    <n v="2.375"/>
    <n v="1.1399999999999999"/>
    <n v="7.03"/>
    <n v="1"/>
    <n v="2.7075"/>
  </r>
  <r>
    <n v="1"/>
    <s v="G"/>
    <s v="North"/>
    <x v="17"/>
    <m/>
    <m/>
    <m/>
    <m/>
    <x v="1"/>
    <x v="2"/>
    <x v="1"/>
    <s v="GL-01"/>
    <m/>
    <m/>
    <n v="1330"/>
    <n v="2280"/>
    <n v="1"/>
    <n v="1.33"/>
    <n v="2.2799999999999998"/>
    <n v="7.22"/>
    <n v="1"/>
    <n v="3.0324"/>
  </r>
  <r>
    <n v="1"/>
    <s v="G"/>
    <s v="North"/>
    <x v="17"/>
    <m/>
    <m/>
    <m/>
    <m/>
    <x v="1"/>
    <x v="2"/>
    <x v="1"/>
    <s v="GL-01"/>
    <m/>
    <m/>
    <n v="1330"/>
    <n v="2280"/>
    <n v="1"/>
    <n v="1.33"/>
    <n v="2.2799999999999998"/>
    <n v="7.22"/>
    <n v="1"/>
    <n v="3.0324"/>
  </r>
  <r>
    <n v="1"/>
    <s v="G"/>
    <s v="North"/>
    <x v="17"/>
    <m/>
    <m/>
    <m/>
    <m/>
    <x v="2"/>
    <x v="2"/>
    <x v="12"/>
    <s v="GL-01"/>
    <s v="D0-01"/>
    <m/>
    <n v="2375"/>
    <n v="2280"/>
    <n v="1"/>
    <n v="2.375"/>
    <n v="2.2799999999999998"/>
    <n v="9.31"/>
    <n v="1"/>
    <n v="5.415"/>
  </r>
  <r>
    <n v="1"/>
    <s v="G"/>
    <s v="North"/>
    <x v="17"/>
    <m/>
    <m/>
    <m/>
    <m/>
    <x v="2"/>
    <x v="2"/>
    <x v="1"/>
    <s v="GL-01"/>
    <m/>
    <m/>
    <n v="1330"/>
    <n v="2280"/>
    <n v="1"/>
    <n v="1.33"/>
    <n v="2.2799999999999998"/>
    <n v="7.22"/>
    <n v="1"/>
    <n v="3.0324"/>
  </r>
  <r>
    <n v="1"/>
    <s v="G"/>
    <s v="North"/>
    <x v="17"/>
    <m/>
    <m/>
    <m/>
    <m/>
    <x v="2"/>
    <x v="2"/>
    <x v="1"/>
    <s v="GL-01"/>
    <m/>
    <m/>
    <n v="1330"/>
    <n v="2280"/>
    <n v="1"/>
    <n v="1.33"/>
    <n v="2.2799999999999998"/>
    <n v="7.22"/>
    <n v="1"/>
    <n v="3.0324"/>
  </r>
  <r>
    <n v="1"/>
    <s v="ROOF"/>
    <s v="North"/>
    <x v="18"/>
    <m/>
    <m/>
    <m/>
    <m/>
    <x v="0"/>
    <x v="1"/>
    <x v="0"/>
    <m/>
    <m/>
    <m/>
    <n v="820"/>
    <n v="21605"/>
    <n v="1"/>
    <n v="0.82"/>
    <n v="21.605"/>
    <n v="44.85"/>
    <n v="1"/>
    <n v="17.716099999999997"/>
  </r>
  <r>
    <n v="1"/>
    <s v="ROOF"/>
    <s v="North"/>
    <x v="18"/>
    <m/>
    <m/>
    <m/>
    <m/>
    <x v="1"/>
    <x v="1"/>
    <x v="10"/>
    <m/>
    <m/>
    <m/>
    <n v="820"/>
    <n v="2700.625"/>
    <n v="1"/>
    <n v="0.82"/>
    <n v="2.7006250000000001"/>
    <n v="7.0412499999999998"/>
    <n v="1"/>
    <n v="2.2145124999999997"/>
  </r>
  <r>
    <n v="1"/>
    <s v="ROOF"/>
    <s v="North"/>
    <x v="18"/>
    <m/>
    <m/>
    <m/>
    <m/>
    <x v="1"/>
    <x v="1"/>
    <x v="1"/>
    <s v="GL-01"/>
    <m/>
    <m/>
    <n v="820"/>
    <n v="2700.625"/>
    <n v="1"/>
    <n v="0.82"/>
    <n v="2.7006250000000001"/>
    <n v="7.0412499999999998"/>
    <n v="1"/>
    <n v="2.2145124999999997"/>
  </r>
  <r>
    <n v="1"/>
    <s v="ROOF"/>
    <s v="North"/>
    <x v="18"/>
    <m/>
    <m/>
    <m/>
    <m/>
    <x v="1"/>
    <x v="1"/>
    <x v="1"/>
    <s v="GL-01"/>
    <m/>
    <m/>
    <n v="820"/>
    <n v="2700.625"/>
    <n v="1"/>
    <n v="0.82"/>
    <n v="2.7006250000000001"/>
    <n v="7.0412499999999998"/>
    <n v="1"/>
    <n v="2.2145124999999997"/>
  </r>
  <r>
    <n v="1"/>
    <s v="ROOF"/>
    <s v="North"/>
    <x v="18"/>
    <m/>
    <m/>
    <m/>
    <m/>
    <x v="1"/>
    <x v="1"/>
    <x v="1"/>
    <s v="GL-01"/>
    <m/>
    <m/>
    <n v="820"/>
    <n v="2700.625"/>
    <n v="1"/>
    <n v="0.82"/>
    <n v="2.7006250000000001"/>
    <n v="7.0412499999999998"/>
    <n v="1"/>
    <n v="2.2145124999999997"/>
  </r>
  <r>
    <n v="1"/>
    <s v="ROOF"/>
    <s v="North"/>
    <x v="18"/>
    <m/>
    <m/>
    <m/>
    <m/>
    <x v="1"/>
    <x v="1"/>
    <x v="1"/>
    <s v="GL-01"/>
    <m/>
    <m/>
    <n v="820"/>
    <n v="2700.625"/>
    <n v="1"/>
    <n v="0.82"/>
    <n v="2.7006250000000001"/>
    <n v="7.0412499999999998"/>
    <n v="1"/>
    <n v="2.2145124999999997"/>
  </r>
  <r>
    <n v="1"/>
    <s v="ROOF"/>
    <s v="North"/>
    <x v="18"/>
    <m/>
    <m/>
    <m/>
    <m/>
    <x v="1"/>
    <x v="1"/>
    <x v="1"/>
    <s v="GL-01"/>
    <m/>
    <m/>
    <n v="820"/>
    <n v="2700.625"/>
    <n v="1"/>
    <n v="0.82"/>
    <n v="2.7006250000000001"/>
    <n v="7.0412499999999998"/>
    <n v="1"/>
    <n v="2.2145124999999997"/>
  </r>
  <r>
    <n v="1"/>
    <s v="ROOF"/>
    <s v="North"/>
    <x v="18"/>
    <m/>
    <m/>
    <m/>
    <m/>
    <x v="1"/>
    <x v="1"/>
    <x v="1"/>
    <s v="GL-01"/>
    <m/>
    <m/>
    <n v="820"/>
    <n v="2700.625"/>
    <n v="1"/>
    <n v="0.82"/>
    <n v="2.7006250000000001"/>
    <n v="7.0412499999999998"/>
    <n v="1"/>
    <n v="2.2145124999999997"/>
  </r>
  <r>
    <n v="1"/>
    <s v="ROOF"/>
    <s v="North"/>
    <x v="18"/>
    <m/>
    <m/>
    <m/>
    <m/>
    <x v="1"/>
    <x v="1"/>
    <x v="10"/>
    <m/>
    <m/>
    <m/>
    <n v="820"/>
    <n v="2700.625"/>
    <n v="1"/>
    <n v="0.82"/>
    <n v="2.7006250000000001"/>
    <n v="7.0412499999999998"/>
    <n v="1"/>
    <n v="2.2145124999999997"/>
  </r>
  <r>
    <n v="1"/>
    <s v="ROOF"/>
    <s v="North"/>
    <x v="18"/>
    <m/>
    <m/>
    <m/>
    <m/>
    <x v="2"/>
    <x v="1"/>
    <x v="10"/>
    <m/>
    <m/>
    <m/>
    <n v="820"/>
    <n v="2700.625"/>
    <n v="1"/>
    <n v="0.82"/>
    <n v="2.7006250000000001"/>
    <n v="7.0412499999999998"/>
    <n v="1"/>
    <n v="2.2145124999999997"/>
  </r>
  <r>
    <n v="1"/>
    <s v="ROOF"/>
    <s v="North"/>
    <x v="18"/>
    <m/>
    <m/>
    <m/>
    <m/>
    <x v="2"/>
    <x v="1"/>
    <x v="1"/>
    <s v="GL-01"/>
    <m/>
    <m/>
    <n v="820"/>
    <n v="2700.625"/>
    <n v="1"/>
    <n v="0.82"/>
    <n v="2.7006250000000001"/>
    <n v="7.0412499999999998"/>
    <n v="1"/>
    <n v="2.2145124999999997"/>
  </r>
  <r>
    <n v="1"/>
    <s v="ROOF"/>
    <s v="North"/>
    <x v="18"/>
    <m/>
    <m/>
    <m/>
    <m/>
    <x v="2"/>
    <x v="1"/>
    <x v="1"/>
    <s v="GL-01"/>
    <m/>
    <m/>
    <n v="820"/>
    <n v="2700.625"/>
    <n v="1"/>
    <n v="0.82"/>
    <n v="2.7006250000000001"/>
    <n v="7.0412499999999998"/>
    <n v="1"/>
    <n v="2.2145124999999997"/>
  </r>
  <r>
    <n v="1"/>
    <s v="ROOF"/>
    <s v="North"/>
    <x v="18"/>
    <m/>
    <m/>
    <m/>
    <m/>
    <x v="2"/>
    <x v="1"/>
    <x v="1"/>
    <s v="GL-01"/>
    <m/>
    <m/>
    <n v="820"/>
    <n v="2700.625"/>
    <n v="1"/>
    <n v="0.82"/>
    <n v="2.7006250000000001"/>
    <n v="7.0412499999999998"/>
    <n v="1"/>
    <n v="2.2145124999999997"/>
  </r>
  <r>
    <n v="1"/>
    <s v="ROOF"/>
    <s v="North"/>
    <x v="18"/>
    <m/>
    <m/>
    <m/>
    <m/>
    <x v="2"/>
    <x v="1"/>
    <x v="1"/>
    <s v="GL-01"/>
    <m/>
    <m/>
    <n v="820"/>
    <n v="2700.625"/>
    <n v="1"/>
    <n v="0.82"/>
    <n v="2.7006250000000001"/>
    <n v="7.0412499999999998"/>
    <n v="1"/>
    <n v="2.2145124999999997"/>
  </r>
  <r>
    <n v="1"/>
    <s v="ROOF"/>
    <s v="North"/>
    <x v="18"/>
    <m/>
    <m/>
    <m/>
    <m/>
    <x v="2"/>
    <x v="1"/>
    <x v="1"/>
    <s v="GL-01"/>
    <m/>
    <m/>
    <n v="820"/>
    <n v="2700.625"/>
    <n v="1"/>
    <n v="0.82"/>
    <n v="2.7006250000000001"/>
    <n v="7.0412499999999998"/>
    <n v="1"/>
    <n v="2.2145124999999997"/>
  </r>
  <r>
    <n v="1"/>
    <s v="ROOF"/>
    <s v="North"/>
    <x v="18"/>
    <m/>
    <m/>
    <m/>
    <m/>
    <x v="2"/>
    <x v="1"/>
    <x v="1"/>
    <s v="GL-01"/>
    <m/>
    <m/>
    <n v="820"/>
    <n v="2700.625"/>
    <n v="1"/>
    <n v="0.82"/>
    <n v="2.7006250000000001"/>
    <n v="7.0412499999999998"/>
    <n v="1"/>
    <n v="2.2145124999999997"/>
  </r>
  <r>
    <n v="1"/>
    <s v="ROOF"/>
    <s v="North"/>
    <x v="18"/>
    <m/>
    <m/>
    <m/>
    <m/>
    <x v="2"/>
    <x v="1"/>
    <x v="10"/>
    <m/>
    <m/>
    <m/>
    <n v="820"/>
    <n v="2700.625"/>
    <n v="1"/>
    <n v="0.82"/>
    <n v="2.7006250000000001"/>
    <n v="7.0412499999999998"/>
    <n v="1"/>
    <n v="2.2145124999999997"/>
  </r>
  <r>
    <n v="1"/>
    <s v="ROOF"/>
    <s v="south"/>
    <x v="19"/>
    <m/>
    <m/>
    <m/>
    <m/>
    <x v="0"/>
    <x v="1"/>
    <x v="0"/>
    <m/>
    <m/>
    <m/>
    <n v="820"/>
    <n v="21605"/>
    <n v="1"/>
    <n v="0.82"/>
    <n v="21.605"/>
    <n v="44.85"/>
    <n v="1"/>
    <n v="17.716099999999997"/>
  </r>
  <r>
    <n v="1"/>
    <s v="ROOF"/>
    <s v="south"/>
    <x v="19"/>
    <m/>
    <m/>
    <m/>
    <m/>
    <x v="1"/>
    <x v="1"/>
    <x v="10"/>
    <m/>
    <m/>
    <m/>
    <n v="820"/>
    <n v="2700.625"/>
    <n v="1"/>
    <n v="0.82"/>
    <n v="2.7006250000000001"/>
    <n v="7.0412499999999998"/>
    <n v="1"/>
    <n v="2.2145124999999997"/>
  </r>
  <r>
    <n v="1"/>
    <s v="ROOF"/>
    <s v="south"/>
    <x v="19"/>
    <m/>
    <m/>
    <m/>
    <m/>
    <x v="1"/>
    <x v="1"/>
    <x v="1"/>
    <s v="GL-01"/>
    <m/>
    <m/>
    <n v="820"/>
    <n v="2700.625"/>
    <n v="1"/>
    <n v="0.82"/>
    <n v="2.7006250000000001"/>
    <n v="7.0412499999999998"/>
    <n v="1"/>
    <n v="2.2145124999999997"/>
  </r>
  <r>
    <n v="1"/>
    <s v="ROOF"/>
    <s v="south"/>
    <x v="19"/>
    <m/>
    <m/>
    <m/>
    <m/>
    <x v="1"/>
    <x v="1"/>
    <x v="1"/>
    <s v="GL-01"/>
    <m/>
    <m/>
    <n v="820"/>
    <n v="2700.625"/>
    <n v="1"/>
    <n v="0.82"/>
    <n v="2.7006250000000001"/>
    <n v="7.0412499999999998"/>
    <n v="1"/>
    <n v="2.2145124999999997"/>
  </r>
  <r>
    <n v="1"/>
    <s v="ROOF"/>
    <s v="south"/>
    <x v="19"/>
    <m/>
    <m/>
    <m/>
    <m/>
    <x v="1"/>
    <x v="1"/>
    <x v="1"/>
    <s v="GL-01"/>
    <m/>
    <m/>
    <n v="820"/>
    <n v="2700.625"/>
    <n v="1"/>
    <n v="0.82"/>
    <n v="2.7006250000000001"/>
    <n v="7.0412499999999998"/>
    <n v="1"/>
    <n v="2.2145124999999997"/>
  </r>
  <r>
    <n v="1"/>
    <s v="ROOF"/>
    <s v="south"/>
    <x v="19"/>
    <m/>
    <m/>
    <m/>
    <m/>
    <x v="1"/>
    <x v="1"/>
    <x v="1"/>
    <s v="GL-01"/>
    <m/>
    <m/>
    <n v="820"/>
    <n v="2700.625"/>
    <n v="1"/>
    <n v="0.82"/>
    <n v="2.7006250000000001"/>
    <n v="7.0412499999999998"/>
    <n v="1"/>
    <n v="2.2145124999999997"/>
  </r>
  <r>
    <n v="1"/>
    <s v="ROOF"/>
    <s v="south"/>
    <x v="19"/>
    <m/>
    <m/>
    <m/>
    <m/>
    <x v="1"/>
    <x v="1"/>
    <x v="1"/>
    <s v="GL-01"/>
    <m/>
    <m/>
    <n v="820"/>
    <n v="2700.625"/>
    <n v="1"/>
    <n v="0.82"/>
    <n v="2.7006250000000001"/>
    <n v="7.0412499999999998"/>
    <n v="1"/>
    <n v="2.2145124999999997"/>
  </r>
  <r>
    <n v="1"/>
    <s v="ROOF"/>
    <s v="south"/>
    <x v="19"/>
    <m/>
    <m/>
    <m/>
    <m/>
    <x v="1"/>
    <x v="1"/>
    <x v="1"/>
    <s v="GL-01"/>
    <m/>
    <m/>
    <n v="820"/>
    <n v="2700.625"/>
    <n v="1"/>
    <n v="0.82"/>
    <n v="2.7006250000000001"/>
    <n v="7.0412499999999998"/>
    <n v="1"/>
    <n v="2.2145124999999997"/>
  </r>
  <r>
    <n v="1"/>
    <s v="ROOF"/>
    <s v="south"/>
    <x v="19"/>
    <m/>
    <m/>
    <m/>
    <m/>
    <x v="1"/>
    <x v="1"/>
    <x v="10"/>
    <m/>
    <m/>
    <m/>
    <n v="820"/>
    <n v="2700.625"/>
    <n v="1"/>
    <n v="0.82"/>
    <n v="2.7006250000000001"/>
    <n v="7.0412499999999998"/>
    <n v="1"/>
    <n v="2.2145124999999997"/>
  </r>
  <r>
    <n v="1"/>
    <s v="ROOF"/>
    <s v="south"/>
    <x v="19"/>
    <m/>
    <m/>
    <m/>
    <m/>
    <x v="2"/>
    <x v="1"/>
    <x v="10"/>
    <m/>
    <m/>
    <m/>
    <n v="820"/>
    <n v="2700.625"/>
    <n v="1"/>
    <n v="0.82"/>
    <n v="2.7006250000000001"/>
    <n v="7.0412499999999998"/>
    <n v="1"/>
    <n v="2.2145124999999997"/>
  </r>
  <r>
    <n v="1"/>
    <s v="ROOF"/>
    <s v="south"/>
    <x v="19"/>
    <m/>
    <m/>
    <m/>
    <m/>
    <x v="2"/>
    <x v="1"/>
    <x v="1"/>
    <s v="GL-01"/>
    <m/>
    <m/>
    <n v="820"/>
    <n v="2700.625"/>
    <n v="1"/>
    <n v="0.82"/>
    <n v="2.7006250000000001"/>
    <n v="7.0412499999999998"/>
    <n v="1"/>
    <n v="2.2145124999999997"/>
  </r>
  <r>
    <n v="1"/>
    <s v="ROOF"/>
    <s v="south"/>
    <x v="19"/>
    <m/>
    <m/>
    <m/>
    <m/>
    <x v="2"/>
    <x v="1"/>
    <x v="1"/>
    <s v="GL-01"/>
    <m/>
    <m/>
    <n v="820"/>
    <n v="2700.625"/>
    <n v="1"/>
    <n v="0.82"/>
    <n v="2.7006250000000001"/>
    <n v="7.0412499999999998"/>
    <n v="1"/>
    <n v="2.2145124999999997"/>
  </r>
  <r>
    <n v="1"/>
    <s v="ROOF"/>
    <s v="south"/>
    <x v="19"/>
    <m/>
    <m/>
    <m/>
    <m/>
    <x v="2"/>
    <x v="1"/>
    <x v="1"/>
    <s v="GL-01"/>
    <m/>
    <m/>
    <n v="820"/>
    <n v="2700.625"/>
    <n v="1"/>
    <n v="0.82"/>
    <n v="2.7006250000000001"/>
    <n v="7.0412499999999998"/>
    <n v="1"/>
    <n v="2.2145124999999997"/>
  </r>
  <r>
    <n v="1"/>
    <s v="ROOF"/>
    <s v="south"/>
    <x v="19"/>
    <m/>
    <m/>
    <m/>
    <m/>
    <x v="2"/>
    <x v="1"/>
    <x v="1"/>
    <s v="GL-01"/>
    <m/>
    <m/>
    <n v="820"/>
    <n v="2700.625"/>
    <n v="1"/>
    <n v="0.82"/>
    <n v="2.7006250000000001"/>
    <n v="7.0412499999999998"/>
    <n v="1"/>
    <n v="2.2145124999999997"/>
  </r>
  <r>
    <n v="1"/>
    <s v="ROOF"/>
    <s v="south"/>
    <x v="19"/>
    <m/>
    <m/>
    <m/>
    <m/>
    <x v="2"/>
    <x v="1"/>
    <x v="1"/>
    <s v="GL-01"/>
    <m/>
    <m/>
    <n v="820"/>
    <n v="2700.625"/>
    <n v="1"/>
    <n v="0.82"/>
    <n v="2.7006250000000001"/>
    <n v="7.0412499999999998"/>
    <n v="1"/>
    <n v="2.2145124999999997"/>
  </r>
  <r>
    <n v="1"/>
    <s v="ROOF"/>
    <s v="south"/>
    <x v="19"/>
    <m/>
    <m/>
    <m/>
    <m/>
    <x v="2"/>
    <x v="1"/>
    <x v="1"/>
    <s v="GL-01"/>
    <m/>
    <m/>
    <n v="820"/>
    <n v="2700.625"/>
    <n v="1"/>
    <n v="0.82"/>
    <n v="2.7006250000000001"/>
    <n v="7.0412499999999998"/>
    <n v="1"/>
    <n v="2.2145124999999997"/>
  </r>
  <r>
    <n v="1"/>
    <s v="ROOF"/>
    <s v="south"/>
    <x v="19"/>
    <m/>
    <m/>
    <m/>
    <m/>
    <x v="2"/>
    <x v="1"/>
    <x v="10"/>
    <m/>
    <m/>
    <m/>
    <n v="820"/>
    <n v="2700.625"/>
    <n v="1"/>
    <n v="0.82"/>
    <n v="2.7006250000000001"/>
    <n v="7.0412499999999998"/>
    <n v="1"/>
    <n v="2.2145124999999997"/>
  </r>
  <r>
    <n v="1"/>
    <s v="ROOF"/>
    <s v="EAST"/>
    <x v="19"/>
    <m/>
    <m/>
    <m/>
    <m/>
    <x v="0"/>
    <x v="1"/>
    <x v="0"/>
    <m/>
    <m/>
    <m/>
    <n v="820"/>
    <n v="10520"/>
    <n v="1"/>
    <n v="0.82"/>
    <n v="10.52"/>
    <n v="22.68"/>
    <n v="1"/>
    <n v="8.6264000000000003"/>
  </r>
  <r>
    <n v="1"/>
    <s v="ROOF"/>
    <s v="EAST"/>
    <x v="19"/>
    <m/>
    <m/>
    <m/>
    <m/>
    <x v="1"/>
    <x v="1"/>
    <x v="10"/>
    <m/>
    <m/>
    <m/>
    <n v="820"/>
    <n v="1315"/>
    <n v="1"/>
    <n v="0.82"/>
    <n v="1.3149999999999999"/>
    <n v="4.2699999999999996"/>
    <n v="1"/>
    <n v="1.0783"/>
  </r>
  <r>
    <n v="1"/>
    <s v="ROOF"/>
    <s v="EAST"/>
    <x v="19"/>
    <m/>
    <m/>
    <m/>
    <m/>
    <x v="1"/>
    <x v="1"/>
    <x v="1"/>
    <s v="GL-01"/>
    <m/>
    <m/>
    <n v="820"/>
    <n v="1315"/>
    <n v="1"/>
    <n v="0.82"/>
    <n v="1.3149999999999999"/>
    <n v="4.2699999999999996"/>
    <n v="1"/>
    <n v="1.0783"/>
  </r>
  <r>
    <n v="1"/>
    <s v="ROOF"/>
    <s v="EAST"/>
    <x v="19"/>
    <m/>
    <m/>
    <m/>
    <m/>
    <x v="1"/>
    <x v="1"/>
    <x v="1"/>
    <s v="GL-01"/>
    <m/>
    <m/>
    <n v="820"/>
    <n v="1315"/>
    <n v="1"/>
    <n v="0.82"/>
    <n v="1.3149999999999999"/>
    <n v="4.2699999999999996"/>
    <n v="1"/>
    <n v="1.0783"/>
  </r>
  <r>
    <n v="1"/>
    <s v="ROOF"/>
    <s v="EAST"/>
    <x v="19"/>
    <m/>
    <m/>
    <m/>
    <m/>
    <x v="1"/>
    <x v="1"/>
    <x v="1"/>
    <s v="GL-01"/>
    <m/>
    <m/>
    <n v="820"/>
    <n v="1315"/>
    <n v="1"/>
    <n v="0.82"/>
    <n v="1.3149999999999999"/>
    <n v="4.2699999999999996"/>
    <n v="1"/>
    <n v="1.0783"/>
  </r>
  <r>
    <n v="1"/>
    <s v="ROOF"/>
    <s v="EAST"/>
    <x v="19"/>
    <m/>
    <m/>
    <m/>
    <m/>
    <x v="1"/>
    <x v="1"/>
    <x v="1"/>
    <s v="GL-01"/>
    <m/>
    <m/>
    <n v="820"/>
    <n v="1315"/>
    <n v="1"/>
    <n v="0.82"/>
    <n v="1.3149999999999999"/>
    <n v="4.2699999999999996"/>
    <n v="1"/>
    <n v="1.0783"/>
  </r>
  <r>
    <n v="1"/>
    <s v="ROOF"/>
    <s v="EAST"/>
    <x v="19"/>
    <m/>
    <m/>
    <m/>
    <m/>
    <x v="1"/>
    <x v="1"/>
    <x v="1"/>
    <s v="GL-01"/>
    <m/>
    <m/>
    <n v="820"/>
    <n v="1315"/>
    <n v="1"/>
    <n v="0.82"/>
    <n v="1.3149999999999999"/>
    <n v="4.2699999999999996"/>
    <n v="1"/>
    <n v="1.0783"/>
  </r>
  <r>
    <n v="1"/>
    <s v="ROOF"/>
    <s v="EAST"/>
    <x v="19"/>
    <m/>
    <m/>
    <m/>
    <m/>
    <x v="1"/>
    <x v="1"/>
    <x v="1"/>
    <s v="GL-01"/>
    <m/>
    <m/>
    <n v="820"/>
    <n v="1315"/>
    <n v="1"/>
    <n v="0.82"/>
    <n v="1.3149999999999999"/>
    <n v="4.2699999999999996"/>
    <n v="1"/>
    <n v="1.0783"/>
  </r>
  <r>
    <n v="1"/>
    <s v="ROOF"/>
    <s v="EAST"/>
    <x v="19"/>
    <m/>
    <m/>
    <m/>
    <m/>
    <x v="1"/>
    <x v="1"/>
    <x v="10"/>
    <m/>
    <m/>
    <m/>
    <n v="820"/>
    <n v="1315"/>
    <n v="1"/>
    <n v="0.82"/>
    <n v="1.3149999999999999"/>
    <n v="4.2699999999999996"/>
    <n v="1"/>
    <n v="1.0783"/>
  </r>
  <r>
    <n v="1"/>
    <s v="ROOF"/>
    <s v="EAST"/>
    <x v="19"/>
    <m/>
    <m/>
    <m/>
    <m/>
    <x v="2"/>
    <x v="1"/>
    <x v="10"/>
    <m/>
    <m/>
    <m/>
    <n v="820"/>
    <n v="1315"/>
    <n v="1"/>
    <n v="0.82"/>
    <n v="1.3149999999999999"/>
    <n v="4.2699999999999996"/>
    <n v="1"/>
    <n v="1.0783"/>
  </r>
  <r>
    <n v="1"/>
    <s v="ROOF"/>
    <s v="EAST"/>
    <x v="19"/>
    <m/>
    <m/>
    <m/>
    <m/>
    <x v="2"/>
    <x v="1"/>
    <x v="1"/>
    <s v="GL-01"/>
    <m/>
    <m/>
    <n v="820"/>
    <n v="1315"/>
    <n v="1"/>
    <n v="0.82"/>
    <n v="1.3149999999999999"/>
    <n v="4.2699999999999996"/>
    <n v="1"/>
    <n v="1.0783"/>
  </r>
  <r>
    <n v="1"/>
    <s v="ROOF"/>
    <s v="EAST"/>
    <x v="19"/>
    <m/>
    <m/>
    <m/>
    <m/>
    <x v="2"/>
    <x v="1"/>
    <x v="1"/>
    <s v="GL-01"/>
    <m/>
    <m/>
    <n v="820"/>
    <n v="1315"/>
    <n v="1"/>
    <n v="0.82"/>
    <n v="1.3149999999999999"/>
    <n v="4.2699999999999996"/>
    <n v="1"/>
    <n v="1.0783"/>
  </r>
  <r>
    <n v="1"/>
    <s v="ROOF"/>
    <s v="EAST"/>
    <x v="19"/>
    <m/>
    <m/>
    <m/>
    <m/>
    <x v="2"/>
    <x v="1"/>
    <x v="1"/>
    <s v="GL-01"/>
    <m/>
    <m/>
    <n v="820"/>
    <n v="1315"/>
    <n v="1"/>
    <n v="0.82"/>
    <n v="1.3149999999999999"/>
    <n v="4.2699999999999996"/>
    <n v="1"/>
    <n v="1.0783"/>
  </r>
  <r>
    <n v="1"/>
    <s v="ROOF"/>
    <s v="EAST"/>
    <x v="19"/>
    <m/>
    <m/>
    <m/>
    <m/>
    <x v="2"/>
    <x v="1"/>
    <x v="1"/>
    <s v="GL-01"/>
    <m/>
    <m/>
    <n v="820"/>
    <n v="1315"/>
    <n v="1"/>
    <n v="0.82"/>
    <n v="1.3149999999999999"/>
    <n v="4.2699999999999996"/>
    <n v="1"/>
    <n v="1.0783"/>
  </r>
  <r>
    <n v="1"/>
    <s v="ROOF"/>
    <s v="EAST"/>
    <x v="19"/>
    <m/>
    <m/>
    <m/>
    <m/>
    <x v="2"/>
    <x v="1"/>
    <x v="1"/>
    <s v="GL-01"/>
    <m/>
    <m/>
    <n v="820"/>
    <n v="1315"/>
    <n v="1"/>
    <n v="0.82"/>
    <n v="1.3149999999999999"/>
    <n v="4.2699999999999996"/>
    <n v="1"/>
    <n v="1.0783"/>
  </r>
  <r>
    <n v="1"/>
    <s v="ROOF"/>
    <s v="EAST"/>
    <x v="19"/>
    <m/>
    <m/>
    <m/>
    <m/>
    <x v="2"/>
    <x v="1"/>
    <x v="1"/>
    <s v="GL-01"/>
    <m/>
    <m/>
    <n v="820"/>
    <n v="1315"/>
    <n v="1"/>
    <n v="0.82"/>
    <n v="1.3149999999999999"/>
    <n v="4.2699999999999996"/>
    <n v="1"/>
    <n v="1.0783"/>
  </r>
  <r>
    <n v="1"/>
    <s v="ROOF"/>
    <s v="EAST"/>
    <x v="19"/>
    <m/>
    <m/>
    <m/>
    <m/>
    <x v="2"/>
    <x v="1"/>
    <x v="10"/>
    <m/>
    <m/>
    <m/>
    <n v="820"/>
    <n v="1315"/>
    <n v="1"/>
    <n v="0.82"/>
    <n v="1.3149999999999999"/>
    <n v="4.2699999999999996"/>
    <n v="1"/>
    <n v="1.0783"/>
  </r>
  <r>
    <n v="1"/>
    <s v="G"/>
    <s v="North"/>
    <x v="20"/>
    <m/>
    <m/>
    <m/>
    <m/>
    <x v="0"/>
    <x v="2"/>
    <x v="0"/>
    <m/>
    <m/>
    <m/>
    <n v="3600"/>
    <n v="1200"/>
    <n v="1"/>
    <n v="3.6"/>
    <n v="1.2"/>
    <n v="9.6"/>
    <n v="1"/>
    <n v="4.32"/>
  </r>
  <r>
    <n v="1"/>
    <s v="G"/>
    <s v="North"/>
    <x v="20"/>
    <m/>
    <m/>
    <m/>
    <m/>
    <x v="1"/>
    <x v="2"/>
    <x v="1"/>
    <s v="GL-01"/>
    <m/>
    <m/>
    <n v="3600"/>
    <n v="600"/>
    <n v="1"/>
    <n v="3.6"/>
    <n v="0.6"/>
    <n v="8.4"/>
    <n v="1"/>
    <n v="2.16"/>
  </r>
  <r>
    <n v="1"/>
    <s v="G"/>
    <s v="North"/>
    <x v="20"/>
    <m/>
    <m/>
    <m/>
    <m/>
    <x v="1"/>
    <x v="2"/>
    <x v="1"/>
    <s v="GL-01"/>
    <m/>
    <m/>
    <n v="3600"/>
    <n v="600"/>
    <n v="1"/>
    <n v="3.6"/>
    <n v="0.6"/>
    <n v="8.4"/>
    <n v="1"/>
    <n v="2.16"/>
  </r>
  <r>
    <n v="1"/>
    <s v="G"/>
    <s v="North"/>
    <x v="20"/>
    <m/>
    <m/>
    <m/>
    <m/>
    <x v="2"/>
    <x v="2"/>
    <x v="1"/>
    <s v="GL-01"/>
    <m/>
    <m/>
    <n v="3600"/>
    <n v="600"/>
    <n v="1"/>
    <n v="3.6"/>
    <n v="0.6"/>
    <n v="8.4"/>
    <n v="1"/>
    <n v="2.16"/>
  </r>
  <r>
    <n v="1"/>
    <s v="G"/>
    <s v="North"/>
    <x v="20"/>
    <m/>
    <m/>
    <m/>
    <m/>
    <x v="2"/>
    <x v="2"/>
    <x v="1"/>
    <s v="GL-01"/>
    <m/>
    <m/>
    <n v="3600"/>
    <n v="600"/>
    <n v="1"/>
    <n v="3.6"/>
    <n v="0.6"/>
    <n v="8.4"/>
    <n v="1"/>
    <n v="2.16"/>
  </r>
  <r>
    <n v="1"/>
    <s v="G"/>
    <s v="North"/>
    <x v="21"/>
    <m/>
    <m/>
    <m/>
    <m/>
    <x v="0"/>
    <x v="2"/>
    <x v="0"/>
    <m/>
    <m/>
    <m/>
    <n v="3600"/>
    <n v="1200"/>
    <n v="1"/>
    <n v="3.6"/>
    <n v="1.2"/>
    <n v="9.6"/>
    <n v="1"/>
    <n v="4.32"/>
  </r>
  <r>
    <n v="1"/>
    <s v="G"/>
    <s v="North"/>
    <x v="21"/>
    <m/>
    <m/>
    <m/>
    <m/>
    <x v="1"/>
    <x v="2"/>
    <x v="1"/>
    <s v="GL-01"/>
    <m/>
    <m/>
    <n v="3600"/>
    <n v="600"/>
    <n v="1"/>
    <n v="3.6"/>
    <n v="0.6"/>
    <n v="8.4"/>
    <n v="1"/>
    <n v="2.16"/>
  </r>
  <r>
    <n v="1"/>
    <s v="G"/>
    <s v="North"/>
    <x v="21"/>
    <m/>
    <m/>
    <m/>
    <m/>
    <x v="1"/>
    <x v="2"/>
    <x v="1"/>
    <s v="GL-01"/>
    <m/>
    <m/>
    <n v="3600"/>
    <n v="600"/>
    <n v="1"/>
    <n v="3.6"/>
    <n v="0.6"/>
    <n v="8.4"/>
    <n v="1"/>
    <n v="2.16"/>
  </r>
  <r>
    <n v="1"/>
    <s v="G"/>
    <s v="North"/>
    <x v="21"/>
    <m/>
    <m/>
    <m/>
    <m/>
    <x v="2"/>
    <x v="2"/>
    <x v="1"/>
    <s v="GL-01"/>
    <m/>
    <m/>
    <n v="3600"/>
    <n v="600"/>
    <n v="1"/>
    <n v="3.6"/>
    <n v="0.6"/>
    <n v="8.4"/>
    <n v="1"/>
    <n v="2.16"/>
  </r>
  <r>
    <n v="1"/>
    <s v="G"/>
    <s v="North"/>
    <x v="21"/>
    <m/>
    <m/>
    <m/>
    <m/>
    <x v="2"/>
    <x v="2"/>
    <x v="1"/>
    <s v="GL-01"/>
    <m/>
    <m/>
    <n v="3600"/>
    <n v="600"/>
    <n v="1"/>
    <n v="3.6"/>
    <n v="0.6"/>
    <n v="8.4"/>
    <n v="1"/>
    <n v="2.16"/>
  </r>
  <r>
    <n v="1"/>
    <s v="G"/>
    <s v="North"/>
    <x v="22"/>
    <m/>
    <m/>
    <m/>
    <m/>
    <x v="0"/>
    <x v="2"/>
    <x v="0"/>
    <m/>
    <m/>
    <m/>
    <n v="3600"/>
    <n v="1200"/>
    <n v="1"/>
    <n v="3.6"/>
    <n v="1.2"/>
    <n v="9.6"/>
    <n v="1"/>
    <n v="4.32"/>
  </r>
  <r>
    <n v="1"/>
    <s v="G"/>
    <s v="North"/>
    <x v="22"/>
    <m/>
    <m/>
    <m/>
    <m/>
    <x v="1"/>
    <x v="2"/>
    <x v="1"/>
    <s v="GL-01"/>
    <m/>
    <m/>
    <n v="3600"/>
    <n v="600"/>
    <n v="1"/>
    <n v="3.6"/>
    <n v="0.6"/>
    <n v="8.4"/>
    <n v="1"/>
    <n v="2.16"/>
  </r>
  <r>
    <n v="1"/>
    <s v="G"/>
    <s v="North"/>
    <x v="22"/>
    <m/>
    <m/>
    <m/>
    <m/>
    <x v="1"/>
    <x v="2"/>
    <x v="1"/>
    <s v="GL-01"/>
    <m/>
    <m/>
    <n v="3600"/>
    <n v="600"/>
    <n v="1"/>
    <n v="3.6"/>
    <n v="0.6"/>
    <n v="8.4"/>
    <n v="1"/>
    <n v="2.16"/>
  </r>
  <r>
    <n v="1"/>
    <s v="G"/>
    <s v="North"/>
    <x v="22"/>
    <m/>
    <m/>
    <m/>
    <m/>
    <x v="2"/>
    <x v="2"/>
    <x v="1"/>
    <s v="GL-01"/>
    <m/>
    <m/>
    <n v="3600"/>
    <n v="600"/>
    <n v="1"/>
    <n v="3.6"/>
    <n v="0.6"/>
    <n v="8.4"/>
    <n v="1"/>
    <n v="2.16"/>
  </r>
  <r>
    <n v="1"/>
    <s v="G"/>
    <s v="North"/>
    <x v="22"/>
    <m/>
    <m/>
    <m/>
    <m/>
    <x v="2"/>
    <x v="2"/>
    <x v="1"/>
    <s v="GL-01"/>
    <m/>
    <m/>
    <n v="3600"/>
    <n v="600"/>
    <n v="1"/>
    <n v="3.6"/>
    <n v="0.6"/>
    <n v="8.4"/>
    <n v="1"/>
    <n v="2.16"/>
  </r>
  <r>
    <n v="1"/>
    <s v="G"/>
    <s v="North"/>
    <x v="23"/>
    <m/>
    <m/>
    <m/>
    <m/>
    <x v="0"/>
    <x v="2"/>
    <x v="0"/>
    <m/>
    <m/>
    <m/>
    <n v="3600"/>
    <n v="600"/>
    <n v="1"/>
    <n v="3.6"/>
    <n v="0.6"/>
    <n v="8.4"/>
    <n v="1"/>
    <n v="2.16"/>
  </r>
  <r>
    <n v="1"/>
    <s v="G"/>
    <s v="North"/>
    <x v="23"/>
    <m/>
    <m/>
    <m/>
    <m/>
    <x v="1"/>
    <x v="2"/>
    <x v="1"/>
    <s v="GL-01"/>
    <m/>
    <m/>
    <n v="3600"/>
    <n v="600"/>
    <n v="1"/>
    <n v="3.6"/>
    <n v="0.6"/>
    <n v="8.4"/>
    <n v="1"/>
    <n v="2.16"/>
  </r>
  <r>
    <n v="1"/>
    <s v="G"/>
    <s v="North"/>
    <x v="23"/>
    <m/>
    <m/>
    <m/>
    <m/>
    <x v="2"/>
    <x v="2"/>
    <x v="1"/>
    <s v="GL-01"/>
    <m/>
    <m/>
    <n v="3600"/>
    <n v="600"/>
    <n v="1"/>
    <n v="3.6"/>
    <n v="0.6"/>
    <n v="8.4"/>
    <n v="1"/>
    <n v="2.16"/>
  </r>
  <r>
    <n v="1"/>
    <s v="G"/>
    <s v="North"/>
    <x v="24"/>
    <m/>
    <m/>
    <m/>
    <m/>
    <x v="0"/>
    <x v="2"/>
    <x v="0"/>
    <m/>
    <m/>
    <m/>
    <n v="3600"/>
    <n v="3595"/>
    <n v="1"/>
    <n v="3.6"/>
    <n v="3.5950000000000002"/>
    <n v="14.39"/>
    <n v="1"/>
    <n v="12.942"/>
  </r>
  <r>
    <n v="1"/>
    <s v="G"/>
    <s v="North"/>
    <x v="24"/>
    <m/>
    <m/>
    <m/>
    <m/>
    <x v="1"/>
    <x v="2"/>
    <x v="1"/>
    <s v="GL-01"/>
    <m/>
    <m/>
    <n v="3600"/>
    <n v="3595"/>
    <n v="1"/>
    <n v="3.6"/>
    <n v="3.5950000000000002"/>
    <n v="14.39"/>
    <n v="1"/>
    <n v="12.942"/>
  </r>
  <r>
    <n v="1"/>
    <s v="G"/>
    <s v="North"/>
    <x v="24"/>
    <m/>
    <m/>
    <m/>
    <m/>
    <x v="2"/>
    <x v="2"/>
    <x v="1"/>
    <s v="GL-01"/>
    <m/>
    <m/>
    <n v="3600"/>
    <n v="3595"/>
    <n v="1"/>
    <n v="3.6"/>
    <n v="3.5950000000000002"/>
    <n v="14.39"/>
    <n v="1"/>
    <n v="12.942"/>
  </r>
  <r>
    <n v="1"/>
    <s v="G"/>
    <s v="WEST"/>
    <x v="25"/>
    <m/>
    <m/>
    <m/>
    <m/>
    <x v="0"/>
    <x v="2"/>
    <x v="0"/>
    <m/>
    <m/>
    <m/>
    <n v="3600"/>
    <n v="1200"/>
    <n v="1"/>
    <n v="3.6"/>
    <n v="1.2"/>
    <n v="9.6"/>
    <n v="1"/>
    <n v="4.32"/>
  </r>
  <r>
    <n v="1"/>
    <s v="G"/>
    <s v="WEST"/>
    <x v="25"/>
    <m/>
    <m/>
    <m/>
    <m/>
    <x v="1"/>
    <x v="2"/>
    <x v="1"/>
    <s v="GL-01"/>
    <m/>
    <m/>
    <n v="3600"/>
    <n v="600"/>
    <n v="1"/>
    <n v="3.6"/>
    <n v="0.6"/>
    <n v="8.4"/>
    <n v="1"/>
    <n v="2.16"/>
  </r>
  <r>
    <n v="1"/>
    <s v="G"/>
    <s v="WEST"/>
    <x v="25"/>
    <m/>
    <m/>
    <m/>
    <m/>
    <x v="1"/>
    <x v="2"/>
    <x v="1"/>
    <s v="GL-01"/>
    <m/>
    <m/>
    <n v="3600"/>
    <n v="600"/>
    <n v="1"/>
    <n v="3.6"/>
    <n v="0.6"/>
    <n v="8.4"/>
    <n v="1"/>
    <n v="2.16"/>
  </r>
  <r>
    <n v="1"/>
    <s v="G"/>
    <s v="WEST"/>
    <x v="25"/>
    <m/>
    <m/>
    <m/>
    <m/>
    <x v="2"/>
    <x v="2"/>
    <x v="1"/>
    <s v="GL-01"/>
    <m/>
    <m/>
    <n v="3600"/>
    <n v="600"/>
    <n v="1"/>
    <n v="3.6"/>
    <n v="0.6"/>
    <n v="8.4"/>
    <n v="1"/>
    <n v="2.16"/>
  </r>
  <r>
    <n v="1"/>
    <s v="G"/>
    <s v="WEST"/>
    <x v="25"/>
    <m/>
    <m/>
    <m/>
    <m/>
    <x v="2"/>
    <x v="2"/>
    <x v="1"/>
    <s v="GL-01"/>
    <m/>
    <m/>
    <n v="3600"/>
    <n v="600"/>
    <n v="1"/>
    <n v="3.6"/>
    <n v="0.6"/>
    <n v="8.4"/>
    <n v="1"/>
    <n v="2.16"/>
  </r>
  <r>
    <n v="1"/>
    <s v="level 1 "/>
    <s v="North"/>
    <x v="26"/>
    <m/>
    <m/>
    <m/>
    <m/>
    <x v="0"/>
    <x v="2"/>
    <x v="0"/>
    <m/>
    <m/>
    <m/>
    <n v="3690"/>
    <n v="3500"/>
    <n v="1"/>
    <n v="3.69"/>
    <n v="3.5"/>
    <n v="14.38"/>
    <n v="1"/>
    <n v="12.914999999999999"/>
  </r>
  <r>
    <n v="1"/>
    <s v="level 1 "/>
    <s v="North"/>
    <x v="26"/>
    <m/>
    <m/>
    <m/>
    <m/>
    <x v="1"/>
    <x v="2"/>
    <x v="1"/>
    <s v="GL-01"/>
    <m/>
    <m/>
    <n v="3690"/>
    <n v="1750"/>
    <n v="1"/>
    <n v="3.69"/>
    <n v="1.75"/>
    <n v="10.88"/>
    <n v="1"/>
    <n v="6.4574999999999996"/>
  </r>
  <r>
    <n v="1"/>
    <s v="level 1 "/>
    <s v="North"/>
    <x v="26"/>
    <m/>
    <m/>
    <m/>
    <m/>
    <x v="1"/>
    <x v="2"/>
    <x v="1"/>
    <s v="GL-01"/>
    <m/>
    <m/>
    <n v="3690"/>
    <n v="1750"/>
    <n v="1"/>
    <n v="3.69"/>
    <n v="1.75"/>
    <n v="10.88"/>
    <n v="1"/>
    <n v="6.4574999999999996"/>
  </r>
  <r>
    <n v="1"/>
    <s v="level 1 "/>
    <s v="North"/>
    <x v="26"/>
    <m/>
    <m/>
    <m/>
    <m/>
    <x v="2"/>
    <x v="2"/>
    <x v="1"/>
    <s v="GL-01"/>
    <m/>
    <m/>
    <n v="3690"/>
    <n v="1750"/>
    <n v="1"/>
    <n v="3.69"/>
    <n v="1.75"/>
    <n v="10.88"/>
    <n v="1"/>
    <n v="6.4574999999999996"/>
  </r>
  <r>
    <n v="1"/>
    <s v="level 1 "/>
    <s v="North"/>
    <x v="26"/>
    <m/>
    <m/>
    <m/>
    <m/>
    <x v="2"/>
    <x v="2"/>
    <x v="1"/>
    <s v="GL-01"/>
    <m/>
    <m/>
    <n v="3690"/>
    <n v="1750"/>
    <n v="1"/>
    <n v="3.69"/>
    <n v="1.75"/>
    <n v="10.88"/>
    <n v="1"/>
    <n v="6.4574999999999996"/>
  </r>
  <r>
    <n v="1"/>
    <s v="level 1 "/>
    <s v="North"/>
    <x v="27"/>
    <m/>
    <m/>
    <m/>
    <m/>
    <x v="0"/>
    <x v="2"/>
    <x v="0"/>
    <m/>
    <m/>
    <m/>
    <n v="3690"/>
    <n v="3500"/>
    <n v="1"/>
    <n v="3.69"/>
    <n v="3.5"/>
    <n v="14.38"/>
    <n v="1"/>
    <n v="12.914999999999999"/>
  </r>
  <r>
    <n v="1"/>
    <s v="level 1 "/>
    <s v="North"/>
    <x v="27"/>
    <m/>
    <m/>
    <m/>
    <m/>
    <x v="1"/>
    <x v="2"/>
    <x v="1"/>
    <s v="GL-01"/>
    <m/>
    <m/>
    <n v="3690"/>
    <n v="1750"/>
    <n v="1"/>
    <n v="3.69"/>
    <n v="1.75"/>
    <n v="10.88"/>
    <n v="1"/>
    <n v="6.4574999999999996"/>
  </r>
  <r>
    <n v="1"/>
    <s v="level 1 "/>
    <s v="North"/>
    <x v="27"/>
    <m/>
    <m/>
    <m/>
    <m/>
    <x v="1"/>
    <x v="2"/>
    <x v="1"/>
    <s v="GL-01"/>
    <m/>
    <m/>
    <n v="3690"/>
    <n v="1750"/>
    <n v="1"/>
    <n v="3.69"/>
    <n v="1.75"/>
    <n v="10.88"/>
    <n v="1"/>
    <n v="6.4574999999999996"/>
  </r>
  <r>
    <n v="1"/>
    <s v="level 1 "/>
    <s v="North"/>
    <x v="27"/>
    <m/>
    <m/>
    <m/>
    <m/>
    <x v="2"/>
    <x v="2"/>
    <x v="1"/>
    <s v="GL-01"/>
    <m/>
    <m/>
    <n v="3690"/>
    <n v="1750"/>
    <n v="1"/>
    <n v="3.69"/>
    <n v="1.75"/>
    <n v="10.88"/>
    <n v="1"/>
    <n v="6.4574999999999996"/>
  </r>
  <r>
    <n v="1"/>
    <s v="level 1 "/>
    <s v="North"/>
    <x v="27"/>
    <m/>
    <m/>
    <m/>
    <m/>
    <x v="2"/>
    <x v="2"/>
    <x v="1"/>
    <s v="GL-01"/>
    <m/>
    <m/>
    <n v="3690"/>
    <n v="1750"/>
    <n v="1"/>
    <n v="3.69"/>
    <n v="1.75"/>
    <n v="10.88"/>
    <n v="1"/>
    <n v="6.4574999999999996"/>
  </r>
  <r>
    <n v="1"/>
    <s v="level 1 "/>
    <s v="North"/>
    <x v="28"/>
    <m/>
    <m/>
    <m/>
    <m/>
    <x v="0"/>
    <x v="2"/>
    <x v="0"/>
    <m/>
    <m/>
    <m/>
    <n v="3690"/>
    <n v="3500"/>
    <n v="1"/>
    <n v="3.69"/>
    <n v="3.5"/>
    <n v="14.38"/>
    <n v="1"/>
    <n v="12.914999999999999"/>
  </r>
  <r>
    <n v="1"/>
    <s v="level 1 "/>
    <s v="North"/>
    <x v="28"/>
    <m/>
    <m/>
    <m/>
    <m/>
    <x v="1"/>
    <x v="2"/>
    <x v="1"/>
    <s v="GL-01"/>
    <m/>
    <m/>
    <n v="3690"/>
    <n v="1750"/>
    <n v="1"/>
    <n v="3.69"/>
    <n v="1.75"/>
    <n v="10.88"/>
    <n v="1"/>
    <n v="6.4574999999999996"/>
  </r>
  <r>
    <n v="1"/>
    <s v="level 1 "/>
    <s v="North"/>
    <x v="28"/>
    <m/>
    <m/>
    <m/>
    <m/>
    <x v="1"/>
    <x v="2"/>
    <x v="1"/>
    <s v="GL-01"/>
    <m/>
    <m/>
    <n v="3690"/>
    <n v="1750"/>
    <n v="1"/>
    <n v="3.69"/>
    <n v="1.75"/>
    <n v="10.88"/>
    <n v="1"/>
    <n v="6.4574999999999996"/>
  </r>
  <r>
    <n v="1"/>
    <s v="level 1 "/>
    <s v="North"/>
    <x v="28"/>
    <m/>
    <m/>
    <m/>
    <m/>
    <x v="2"/>
    <x v="2"/>
    <x v="1"/>
    <s v="GL-01"/>
    <m/>
    <m/>
    <n v="3690"/>
    <n v="1750"/>
    <n v="1"/>
    <n v="3.69"/>
    <n v="1.75"/>
    <n v="10.88"/>
    <n v="1"/>
    <n v="6.4574999999999996"/>
  </r>
  <r>
    <n v="1"/>
    <s v="level 1 "/>
    <s v="North"/>
    <x v="28"/>
    <m/>
    <m/>
    <m/>
    <m/>
    <x v="2"/>
    <x v="2"/>
    <x v="1"/>
    <s v="GL-01"/>
    <m/>
    <m/>
    <n v="3690"/>
    <n v="1750"/>
    <n v="1"/>
    <n v="3.69"/>
    <n v="1.75"/>
    <n v="10.88"/>
    <n v="1"/>
    <n v="6.4574999999999996"/>
  </r>
  <r>
    <n v="1"/>
    <s v="level 1 "/>
    <s v="North"/>
    <x v="21"/>
    <m/>
    <m/>
    <m/>
    <m/>
    <x v="0"/>
    <x v="2"/>
    <x v="0"/>
    <m/>
    <m/>
    <m/>
    <n v="3690"/>
    <n v="1750"/>
    <n v="1"/>
    <n v="3.69"/>
    <n v="1.75"/>
    <n v="10.88"/>
    <n v="1"/>
    <n v="6.4574999999999996"/>
  </r>
  <r>
    <n v="1"/>
    <s v="level 1 "/>
    <s v="North"/>
    <x v="21"/>
    <m/>
    <m/>
    <m/>
    <m/>
    <x v="1"/>
    <x v="2"/>
    <x v="1"/>
    <s v="GL-01"/>
    <m/>
    <m/>
    <n v="3690"/>
    <n v="1750"/>
    <n v="1"/>
    <n v="3.69"/>
    <n v="1.75"/>
    <n v="10.88"/>
    <n v="1"/>
    <n v="6.4574999999999996"/>
  </r>
  <r>
    <n v="1"/>
    <s v="level 1 "/>
    <s v="North"/>
    <x v="21"/>
    <m/>
    <m/>
    <m/>
    <m/>
    <x v="2"/>
    <x v="2"/>
    <x v="1"/>
    <s v="GL-01"/>
    <m/>
    <m/>
    <n v="3690"/>
    <n v="1750"/>
    <n v="1"/>
    <n v="3.69"/>
    <n v="1.75"/>
    <n v="10.88"/>
    <n v="1"/>
    <n v="6.4574999999999996"/>
  </r>
  <r>
    <n v="1"/>
    <s v="level 1 "/>
    <s v="North"/>
    <x v="23"/>
    <m/>
    <m/>
    <m/>
    <m/>
    <x v="0"/>
    <x v="2"/>
    <x v="0"/>
    <m/>
    <m/>
    <m/>
    <n v="3690"/>
    <n v="1750"/>
    <n v="1"/>
    <n v="3.69"/>
    <n v="1.75"/>
    <n v="10.88"/>
    <n v="1"/>
    <n v="6.4574999999999996"/>
  </r>
  <r>
    <n v="1"/>
    <s v="level 1 "/>
    <s v="North"/>
    <x v="23"/>
    <m/>
    <m/>
    <m/>
    <m/>
    <x v="1"/>
    <x v="2"/>
    <x v="1"/>
    <s v="GL-01"/>
    <m/>
    <m/>
    <n v="3690"/>
    <n v="1750"/>
    <n v="1"/>
    <n v="3.69"/>
    <n v="1.75"/>
    <n v="10.88"/>
    <n v="1"/>
    <n v="6.4574999999999996"/>
  </r>
  <r>
    <n v="1"/>
    <s v="level 1 "/>
    <s v="North"/>
    <x v="23"/>
    <m/>
    <m/>
    <m/>
    <m/>
    <x v="2"/>
    <x v="2"/>
    <x v="1"/>
    <s v="GL-01"/>
    <m/>
    <m/>
    <n v="3690"/>
    <n v="1750"/>
    <n v="1"/>
    <n v="3.69"/>
    <n v="1.75"/>
    <n v="10.88"/>
    <n v="1"/>
    <n v="6.4574999999999996"/>
  </r>
  <r>
    <n v="1"/>
    <s v="level 1 "/>
    <s v="North"/>
    <x v="24"/>
    <m/>
    <m/>
    <m/>
    <m/>
    <x v="0"/>
    <x v="2"/>
    <x v="0"/>
    <m/>
    <m/>
    <m/>
    <n v="3690"/>
    <n v="1750"/>
    <n v="1"/>
    <n v="3.69"/>
    <n v="1.75"/>
    <n v="10.88"/>
    <n v="1"/>
    <n v="6.4574999999999996"/>
  </r>
  <r>
    <n v="1"/>
    <s v="level 1 "/>
    <s v="North"/>
    <x v="24"/>
    <m/>
    <m/>
    <m/>
    <m/>
    <x v="1"/>
    <x v="2"/>
    <x v="1"/>
    <s v="GL-01"/>
    <m/>
    <m/>
    <n v="3690"/>
    <n v="1750"/>
    <n v="1"/>
    <n v="3.69"/>
    <n v="1.75"/>
    <n v="10.88"/>
    <n v="1"/>
    <n v="6.4574999999999996"/>
  </r>
  <r>
    <n v="1"/>
    <s v="level 1 "/>
    <s v="North"/>
    <x v="24"/>
    <m/>
    <m/>
    <m/>
    <m/>
    <x v="2"/>
    <x v="2"/>
    <x v="1"/>
    <s v="GL-01"/>
    <m/>
    <m/>
    <n v="3690"/>
    <n v="1750"/>
    <n v="1"/>
    <n v="3.69"/>
    <n v="1.75"/>
    <n v="10.88"/>
    <n v="1"/>
    <n v="6.4574999999999996"/>
  </r>
  <r>
    <n v="1"/>
    <s v="level 1 "/>
    <s v="North"/>
    <x v="22"/>
    <m/>
    <m/>
    <m/>
    <m/>
    <x v="0"/>
    <x v="2"/>
    <x v="0"/>
    <m/>
    <m/>
    <m/>
    <n v="3690"/>
    <n v="1750"/>
    <n v="1"/>
    <n v="3.69"/>
    <n v="1.75"/>
    <n v="10.88"/>
    <n v="1"/>
    <n v="6.4574999999999996"/>
  </r>
  <r>
    <n v="1"/>
    <s v="level 1 "/>
    <s v="North"/>
    <x v="22"/>
    <m/>
    <m/>
    <m/>
    <m/>
    <x v="1"/>
    <x v="2"/>
    <x v="1"/>
    <s v="GL-01"/>
    <m/>
    <m/>
    <n v="3690"/>
    <n v="1750"/>
    <n v="1"/>
    <n v="3.69"/>
    <n v="1.75"/>
    <n v="10.88"/>
    <n v="1"/>
    <n v="6.4574999999999996"/>
  </r>
  <r>
    <n v="1"/>
    <s v="level 1 "/>
    <s v="North"/>
    <x v="22"/>
    <m/>
    <m/>
    <m/>
    <m/>
    <x v="2"/>
    <x v="2"/>
    <x v="1"/>
    <s v="GL-01"/>
    <m/>
    <m/>
    <n v="3690"/>
    <n v="1750"/>
    <n v="1"/>
    <n v="3.69"/>
    <n v="1.75"/>
    <n v="10.88"/>
    <n v="1"/>
    <n v="6.4574999999999996"/>
  </r>
  <r>
    <n v="1"/>
    <s v="level 1 "/>
    <s v="WEST"/>
    <x v="29"/>
    <m/>
    <m/>
    <m/>
    <m/>
    <x v="0"/>
    <x v="2"/>
    <x v="0"/>
    <m/>
    <m/>
    <m/>
    <n v="3690"/>
    <n v="3500"/>
    <n v="1"/>
    <n v="3.69"/>
    <n v="3.5"/>
    <n v="14.38"/>
    <n v="1"/>
    <n v="12.914999999999999"/>
  </r>
  <r>
    <n v="1"/>
    <s v="level 1 "/>
    <s v="WEST"/>
    <x v="29"/>
    <m/>
    <m/>
    <m/>
    <m/>
    <x v="1"/>
    <x v="2"/>
    <x v="1"/>
    <s v="GL-01"/>
    <m/>
    <m/>
    <n v="3690"/>
    <n v="1750"/>
    <n v="1"/>
    <n v="3.69"/>
    <n v="1.75"/>
    <n v="10.88"/>
    <n v="1"/>
    <n v="6.4574999999999996"/>
  </r>
  <r>
    <n v="1"/>
    <s v="level 1 "/>
    <s v="WEST"/>
    <x v="29"/>
    <m/>
    <m/>
    <m/>
    <m/>
    <x v="1"/>
    <x v="2"/>
    <x v="1"/>
    <s v="GL-01"/>
    <m/>
    <m/>
    <n v="3690"/>
    <n v="1750"/>
    <n v="1"/>
    <n v="3.69"/>
    <n v="1.75"/>
    <n v="10.88"/>
    <n v="1"/>
    <n v="6.4574999999999996"/>
  </r>
  <r>
    <n v="1"/>
    <s v="level 1 "/>
    <s v="WEST"/>
    <x v="29"/>
    <m/>
    <m/>
    <m/>
    <m/>
    <x v="2"/>
    <x v="2"/>
    <x v="1"/>
    <s v="GL-01"/>
    <m/>
    <m/>
    <n v="3690"/>
    <n v="1750"/>
    <n v="1"/>
    <n v="3.69"/>
    <n v="1.75"/>
    <n v="10.88"/>
    <n v="1"/>
    <n v="6.4574999999999996"/>
  </r>
  <r>
    <n v="1"/>
    <s v="level 1 "/>
    <s v="WEST"/>
    <x v="29"/>
    <m/>
    <m/>
    <m/>
    <m/>
    <x v="2"/>
    <x v="2"/>
    <x v="1"/>
    <s v="GL-01"/>
    <m/>
    <m/>
    <n v="3690"/>
    <n v="1750"/>
    <n v="1"/>
    <n v="3.69"/>
    <n v="1.75"/>
    <n v="10.88"/>
    <n v="1"/>
    <n v="6.4574999999999996"/>
  </r>
  <r>
    <n v="1"/>
    <s v="G"/>
    <s v="EAST"/>
    <x v="30"/>
    <m/>
    <m/>
    <m/>
    <m/>
    <x v="0"/>
    <x v="0"/>
    <x v="0"/>
    <m/>
    <m/>
    <m/>
    <n v="2050"/>
    <n v="2322"/>
    <n v="1"/>
    <n v="2.0499999999999998"/>
    <n v="2.3220000000000001"/>
    <n v="8.7439999999999998"/>
    <n v="1"/>
    <n v="4.7600999999999996"/>
  </r>
  <r>
    <n v="1"/>
    <s v="G"/>
    <s v="EAST"/>
    <x v="30"/>
    <m/>
    <m/>
    <m/>
    <m/>
    <x v="1"/>
    <x v="0"/>
    <x v="1"/>
    <s v="GL-03"/>
    <m/>
    <m/>
    <n v="2050"/>
    <n v="1161"/>
    <n v="1"/>
    <n v="2.0499999999999998"/>
    <n v="1.161"/>
    <n v="6.4219999999999997"/>
    <n v="1"/>
    <n v="2.3800499999999998"/>
  </r>
  <r>
    <n v="1"/>
    <s v="G"/>
    <s v="EAST"/>
    <x v="30"/>
    <m/>
    <m/>
    <m/>
    <m/>
    <x v="1"/>
    <x v="0"/>
    <x v="1"/>
    <s v="GL-03"/>
    <m/>
    <m/>
    <n v="2050"/>
    <n v="1161"/>
    <n v="1"/>
    <n v="2.0499999999999998"/>
    <n v="1.161"/>
    <n v="6.4219999999999997"/>
    <n v="1"/>
    <n v="2.3800499999999998"/>
  </r>
  <r>
    <n v="1"/>
    <s v="G"/>
    <s v="EAST"/>
    <x v="30"/>
    <m/>
    <m/>
    <m/>
    <m/>
    <x v="2"/>
    <x v="0"/>
    <x v="1"/>
    <s v="GL-03"/>
    <m/>
    <m/>
    <n v="2050"/>
    <n v="1161"/>
    <n v="1"/>
    <n v="2.0499999999999998"/>
    <n v="1.161"/>
    <n v="6.4219999999999997"/>
    <n v="1"/>
    <n v="2.3800499999999998"/>
  </r>
  <r>
    <n v="1"/>
    <s v="G"/>
    <s v="EAST"/>
    <x v="30"/>
    <m/>
    <m/>
    <m/>
    <m/>
    <x v="2"/>
    <x v="0"/>
    <x v="1"/>
    <s v="GL-03"/>
    <m/>
    <m/>
    <n v="2050"/>
    <n v="1161"/>
    <n v="1"/>
    <n v="2.0499999999999998"/>
    <n v="1.161"/>
    <n v="6.4219999999999997"/>
    <n v="1"/>
    <n v="2.3800499999999998"/>
  </r>
  <r>
    <n v="1"/>
    <s v="G"/>
    <s v="EAST"/>
    <x v="31"/>
    <m/>
    <m/>
    <m/>
    <m/>
    <x v="0"/>
    <x v="0"/>
    <x v="0"/>
    <m/>
    <m/>
    <s v="CERAMIC"/>
    <n v="2050"/>
    <n v="115"/>
    <n v="1"/>
    <n v="2.0499999999999998"/>
    <n v="0.115"/>
    <n v="4.33"/>
    <n v="1"/>
    <n v="0.23574999999999996"/>
  </r>
  <r>
    <n v="1"/>
    <s v="G"/>
    <s v="EAST"/>
    <x v="31"/>
    <m/>
    <m/>
    <m/>
    <m/>
    <x v="1"/>
    <x v="0"/>
    <x v="1"/>
    <s v="GL-03"/>
    <m/>
    <s v="CERAMIC"/>
    <n v="2050"/>
    <n v="115"/>
    <n v="1"/>
    <n v="2.0499999999999998"/>
    <n v="0.115"/>
    <n v="4.33"/>
    <n v="1"/>
    <n v="0.23574999999999996"/>
  </r>
  <r>
    <n v="1"/>
    <s v="G"/>
    <s v="EAST"/>
    <x v="31"/>
    <m/>
    <m/>
    <m/>
    <m/>
    <x v="1"/>
    <x v="0"/>
    <x v="1"/>
    <s v="GL-03"/>
    <m/>
    <s v="CERAMIC"/>
    <n v="2050"/>
    <n v="115"/>
    <n v="1"/>
    <n v="2.0499999999999998"/>
    <n v="0.115"/>
    <n v="4.33"/>
    <n v="1"/>
    <n v="0.23574999999999996"/>
  </r>
  <r>
    <n v="1"/>
    <s v="G"/>
    <s v="EAST"/>
    <x v="32"/>
    <m/>
    <m/>
    <m/>
    <m/>
    <x v="0"/>
    <x v="0"/>
    <x v="0"/>
    <m/>
    <m/>
    <m/>
    <n v="2050"/>
    <n v="695"/>
    <n v="1"/>
    <n v="2.0499999999999998"/>
    <n v="0.69499999999999995"/>
    <n v="5.49"/>
    <n v="1"/>
    <n v="1.4247499999999997"/>
  </r>
  <r>
    <n v="1"/>
    <s v="G"/>
    <s v="EAST"/>
    <x v="32"/>
    <m/>
    <m/>
    <m/>
    <m/>
    <x v="1"/>
    <x v="0"/>
    <x v="1"/>
    <s v="GL-03"/>
    <m/>
    <m/>
    <n v="2050"/>
    <n v="695"/>
    <n v="1"/>
    <n v="2.0499999999999998"/>
    <n v="0.69499999999999995"/>
    <n v="5.49"/>
    <n v="1"/>
    <n v="1.4247499999999997"/>
  </r>
  <r>
    <n v="1"/>
    <s v="G"/>
    <s v="EAST"/>
    <x v="32"/>
    <m/>
    <m/>
    <m/>
    <m/>
    <x v="2"/>
    <x v="0"/>
    <x v="1"/>
    <s v="GL-03"/>
    <m/>
    <m/>
    <n v="2050"/>
    <n v="695"/>
    <n v="1"/>
    <n v="2.0499999999999998"/>
    <n v="0.69499999999999995"/>
    <n v="5.49"/>
    <n v="1"/>
    <n v="1.4247499999999997"/>
  </r>
  <r>
    <n v="1"/>
    <s v="G"/>
    <s v="EAST"/>
    <x v="33"/>
    <m/>
    <m/>
    <m/>
    <m/>
    <x v="0"/>
    <x v="0"/>
    <x v="0"/>
    <m/>
    <s v="curved"/>
    <m/>
    <n v="2050"/>
    <n v="3715"/>
    <n v="1"/>
    <n v="2.0499999999999998"/>
    <n v="3.7149999999999999"/>
    <n v="11.53"/>
    <n v="1"/>
    <n v="7.6157499999999994"/>
  </r>
  <r>
    <n v="1"/>
    <s v="G"/>
    <s v="EAST"/>
    <x v="33"/>
    <m/>
    <m/>
    <m/>
    <m/>
    <x v="1"/>
    <x v="0"/>
    <x v="1"/>
    <s v="GL-03"/>
    <s v="curved"/>
    <m/>
    <n v="2050"/>
    <n v="1857.5"/>
    <n v="1"/>
    <n v="2.0499999999999998"/>
    <n v="1.8574999999999999"/>
    <n v="7.8150000000000004"/>
    <n v="1"/>
    <n v="3.8078749999999997"/>
  </r>
  <r>
    <n v="1"/>
    <s v="G"/>
    <s v="EAST"/>
    <x v="33"/>
    <m/>
    <m/>
    <m/>
    <m/>
    <x v="1"/>
    <x v="0"/>
    <x v="1"/>
    <s v="GL-03"/>
    <s v="curved"/>
    <m/>
    <n v="2050"/>
    <n v="1857.5"/>
    <n v="1"/>
    <n v="2.0499999999999998"/>
    <n v="1.8574999999999999"/>
    <n v="7.8150000000000004"/>
    <n v="1"/>
    <n v="3.8078749999999997"/>
  </r>
  <r>
    <n v="1"/>
    <s v="G"/>
    <s v="EAST"/>
    <x v="33"/>
    <m/>
    <m/>
    <m/>
    <m/>
    <x v="2"/>
    <x v="0"/>
    <x v="1"/>
    <s v="GL-03"/>
    <s v="curved"/>
    <m/>
    <n v="2050"/>
    <n v="1857.5"/>
    <n v="1"/>
    <n v="2.0499999999999998"/>
    <n v="1.8574999999999999"/>
    <n v="7.8150000000000004"/>
    <n v="1"/>
    <n v="3.8078749999999997"/>
  </r>
  <r>
    <n v="1"/>
    <s v="G"/>
    <s v="EAST"/>
    <x v="33"/>
    <m/>
    <m/>
    <m/>
    <m/>
    <x v="2"/>
    <x v="0"/>
    <x v="1"/>
    <s v="GL-03"/>
    <s v="curved"/>
    <m/>
    <n v="2050"/>
    <n v="1857.5"/>
    <n v="1"/>
    <n v="2.0499999999999998"/>
    <n v="1.8574999999999999"/>
    <n v="7.8150000000000004"/>
    <n v="1"/>
    <n v="3.8078749999999997"/>
  </r>
  <r>
    <n v="1"/>
    <s v="G"/>
    <s v="EAST"/>
    <x v="34"/>
    <m/>
    <m/>
    <m/>
    <m/>
    <x v="0"/>
    <x v="0"/>
    <x v="0"/>
    <m/>
    <s v="curved"/>
    <m/>
    <n v="2050"/>
    <n v="2506"/>
    <n v="1"/>
    <n v="2.0499999999999998"/>
    <n v="2.5059999999999998"/>
    <n v="9.1120000000000001"/>
    <n v="1"/>
    <n v="5.1372999999999989"/>
  </r>
  <r>
    <n v="1"/>
    <s v="G"/>
    <s v="EAST"/>
    <x v="34"/>
    <m/>
    <m/>
    <m/>
    <m/>
    <x v="1"/>
    <x v="0"/>
    <x v="1"/>
    <s v="GL-03"/>
    <s v="curved"/>
    <m/>
    <n v="2050"/>
    <n v="1253"/>
    <n v="1"/>
    <n v="2.0499999999999998"/>
    <n v="1.2529999999999999"/>
    <n v="6.6059999999999999"/>
    <n v="1"/>
    <n v="2.5686499999999994"/>
  </r>
  <r>
    <n v="1"/>
    <s v="G"/>
    <s v="EAST"/>
    <x v="34"/>
    <m/>
    <m/>
    <m/>
    <m/>
    <x v="1"/>
    <x v="0"/>
    <x v="1"/>
    <s v="GL-03"/>
    <s v="curved"/>
    <m/>
    <n v="2050"/>
    <n v="1253"/>
    <n v="1"/>
    <n v="2.0499999999999998"/>
    <n v="1.2529999999999999"/>
    <n v="6.6059999999999999"/>
    <n v="1"/>
    <n v="2.5686499999999994"/>
  </r>
  <r>
    <n v="1"/>
    <s v="G"/>
    <s v="EAST"/>
    <x v="34"/>
    <m/>
    <m/>
    <m/>
    <m/>
    <x v="2"/>
    <x v="0"/>
    <x v="1"/>
    <s v="GL-03"/>
    <s v="curved"/>
    <m/>
    <n v="2050"/>
    <n v="1253"/>
    <n v="1"/>
    <n v="2.0499999999999998"/>
    <n v="1.2529999999999999"/>
    <n v="6.6059999999999999"/>
    <n v="1"/>
    <n v="2.5686499999999994"/>
  </r>
  <r>
    <n v="1"/>
    <s v="G"/>
    <s v="EAST"/>
    <x v="34"/>
    <m/>
    <m/>
    <m/>
    <m/>
    <x v="2"/>
    <x v="0"/>
    <x v="1"/>
    <s v="GL-03"/>
    <s v="curved"/>
    <m/>
    <n v="2050"/>
    <n v="1253"/>
    <n v="1"/>
    <n v="2.0499999999999998"/>
    <n v="1.2529999999999999"/>
    <n v="6.6059999999999999"/>
    <n v="1"/>
    <n v="2.5686499999999994"/>
  </r>
  <r>
    <n v="1"/>
    <s v="G"/>
    <s v="EAST"/>
    <x v="35"/>
    <m/>
    <m/>
    <m/>
    <m/>
    <x v="0"/>
    <x v="0"/>
    <x v="0"/>
    <m/>
    <s v="curved "/>
    <s v="CERAMIC"/>
    <n v="2050"/>
    <n v="350"/>
    <n v="1"/>
    <n v="2.0499999999999998"/>
    <n v="0.35"/>
    <n v="4.8"/>
    <n v="1"/>
    <n v="0.71749999999999992"/>
  </r>
  <r>
    <n v="1"/>
    <s v="G"/>
    <s v="EAST"/>
    <x v="35"/>
    <m/>
    <m/>
    <m/>
    <m/>
    <x v="1"/>
    <x v="0"/>
    <x v="1"/>
    <s v="GL-03"/>
    <s v="curved"/>
    <s v="CERAMIC"/>
    <n v="2050"/>
    <n v="350"/>
    <n v="1"/>
    <n v="2.0499999999999998"/>
    <n v="0.35"/>
    <n v="4.8"/>
    <n v="1"/>
    <n v="0.71749999999999992"/>
  </r>
  <r>
    <n v="1"/>
    <s v="G"/>
    <s v="EAST"/>
    <x v="35"/>
    <m/>
    <m/>
    <m/>
    <m/>
    <x v="2"/>
    <x v="0"/>
    <x v="1"/>
    <s v="GL-03"/>
    <s v="curved"/>
    <s v="CERAMIC"/>
    <n v="2050"/>
    <n v="350"/>
    <n v="1"/>
    <n v="2.0499999999999998"/>
    <n v="0.35"/>
    <n v="4.8"/>
    <n v="1"/>
    <n v="0.71749999999999992"/>
  </r>
  <r>
    <n v="1"/>
    <s v="G"/>
    <s v="EAST"/>
    <x v="36"/>
    <m/>
    <m/>
    <m/>
    <m/>
    <x v="0"/>
    <x v="0"/>
    <x v="0"/>
    <m/>
    <s v="curved"/>
    <m/>
    <n v="2050"/>
    <n v="2185"/>
    <n v="1"/>
    <n v="2.0499999999999998"/>
    <n v="2.1850000000000001"/>
    <n v="8.4700000000000006"/>
    <n v="1"/>
    <n v="4.4792500000000004"/>
  </r>
  <r>
    <n v="1"/>
    <s v="G"/>
    <s v="EAST"/>
    <x v="36"/>
    <m/>
    <m/>
    <m/>
    <m/>
    <x v="1"/>
    <x v="0"/>
    <x v="1"/>
    <s v="GL-03"/>
    <s v="curved"/>
    <m/>
    <n v="2050"/>
    <n v="1092.5"/>
    <n v="1"/>
    <n v="2.0499999999999998"/>
    <n v="1.0925"/>
    <n v="6.2850000000000001"/>
    <n v="1"/>
    <n v="2.2396250000000002"/>
  </r>
  <r>
    <n v="1"/>
    <s v="G"/>
    <s v="EAST"/>
    <x v="36"/>
    <m/>
    <m/>
    <m/>
    <m/>
    <x v="1"/>
    <x v="0"/>
    <x v="1"/>
    <s v="GL-03"/>
    <s v="curved"/>
    <m/>
    <n v="2050"/>
    <n v="1092.5"/>
    <n v="1"/>
    <n v="2.0499999999999998"/>
    <n v="1.0925"/>
    <n v="6.2850000000000001"/>
    <n v="1"/>
    <n v="2.2396250000000002"/>
  </r>
  <r>
    <n v="1"/>
    <s v="G"/>
    <s v="EAST"/>
    <x v="36"/>
    <m/>
    <m/>
    <m/>
    <m/>
    <x v="2"/>
    <x v="0"/>
    <x v="1"/>
    <s v="GL-03"/>
    <s v="curved"/>
    <m/>
    <n v="2050"/>
    <n v="1092.5"/>
    <n v="1"/>
    <n v="2.0499999999999998"/>
    <n v="1.0925"/>
    <n v="6.2850000000000001"/>
    <n v="1"/>
    <n v="2.2396250000000002"/>
  </r>
  <r>
    <n v="1"/>
    <s v="G"/>
    <s v="EAST"/>
    <x v="36"/>
    <m/>
    <m/>
    <m/>
    <m/>
    <x v="2"/>
    <x v="0"/>
    <x v="1"/>
    <s v="GL-03"/>
    <s v="curved"/>
    <m/>
    <n v="2050"/>
    <n v="1092.5"/>
    <n v="1"/>
    <n v="2.0499999999999998"/>
    <n v="1.0925"/>
    <n v="6.2850000000000001"/>
    <n v="1"/>
    <n v="2.2396250000000002"/>
  </r>
  <r>
    <n v="1"/>
    <s v="G"/>
    <s v="EAST"/>
    <x v="37"/>
    <m/>
    <m/>
    <m/>
    <m/>
    <x v="0"/>
    <x v="0"/>
    <x v="0"/>
    <m/>
    <s v="curved"/>
    <m/>
    <n v="2050"/>
    <n v="2575"/>
    <n v="1"/>
    <n v="2.0499999999999998"/>
    <n v="2.5750000000000002"/>
    <n v="9.25"/>
    <n v="1"/>
    <n v="5.2787499999999987"/>
  </r>
  <r>
    <n v="1"/>
    <s v="G"/>
    <s v="EAST"/>
    <x v="37"/>
    <m/>
    <m/>
    <m/>
    <m/>
    <x v="1"/>
    <x v="0"/>
    <x v="1"/>
    <s v="GL-03"/>
    <s v="curved"/>
    <m/>
    <n v="2050"/>
    <n v="1287.5"/>
    <n v="1"/>
    <n v="2.0499999999999998"/>
    <n v="1.2875000000000001"/>
    <n v="6.6749999999999998"/>
    <n v="1"/>
    <n v="2.6393749999999994"/>
  </r>
  <r>
    <n v="1"/>
    <s v="G"/>
    <s v="EAST"/>
    <x v="37"/>
    <m/>
    <m/>
    <m/>
    <m/>
    <x v="1"/>
    <x v="0"/>
    <x v="1"/>
    <s v="GL-03"/>
    <s v="curved"/>
    <m/>
    <n v="2050"/>
    <n v="1287.5"/>
    <n v="1"/>
    <n v="2.0499999999999998"/>
    <n v="1.2875000000000001"/>
    <n v="6.6749999999999998"/>
    <n v="1"/>
    <n v="2.6393749999999994"/>
  </r>
  <r>
    <n v="1"/>
    <s v="G"/>
    <s v="EAST"/>
    <x v="37"/>
    <m/>
    <m/>
    <m/>
    <m/>
    <x v="2"/>
    <x v="0"/>
    <x v="1"/>
    <s v="GL-03"/>
    <s v="curved"/>
    <m/>
    <n v="2050"/>
    <n v="1287.5"/>
    <n v="1"/>
    <n v="2.0499999999999998"/>
    <n v="1.2875000000000001"/>
    <n v="6.6749999999999998"/>
    <n v="1"/>
    <n v="2.6393749999999994"/>
  </r>
  <r>
    <n v="1"/>
    <s v="G"/>
    <s v="EAST"/>
    <x v="37"/>
    <m/>
    <m/>
    <m/>
    <m/>
    <x v="2"/>
    <x v="0"/>
    <x v="1"/>
    <s v="GL-03"/>
    <s v="curved"/>
    <m/>
    <n v="2050"/>
    <n v="1287.5"/>
    <n v="1"/>
    <n v="2.0499999999999998"/>
    <n v="1.2875000000000001"/>
    <n v="6.6749999999999998"/>
    <n v="1"/>
    <n v="2.6393749999999994"/>
  </r>
  <r>
    <n v="1"/>
    <s v="G"/>
    <s v="EAST"/>
    <x v="38"/>
    <m/>
    <m/>
    <m/>
    <m/>
    <x v="0"/>
    <x v="0"/>
    <x v="0"/>
    <m/>
    <s v="curved"/>
    <s v="CERAMIC"/>
    <n v="2050"/>
    <n v="350"/>
    <n v="1"/>
    <n v="2.0499999999999998"/>
    <n v="0.35"/>
    <n v="4.8"/>
    <n v="1"/>
    <n v="0.71749999999999992"/>
  </r>
  <r>
    <n v="1"/>
    <s v="G"/>
    <s v="EAST"/>
    <x v="38"/>
    <m/>
    <m/>
    <m/>
    <m/>
    <x v="1"/>
    <x v="0"/>
    <x v="1"/>
    <s v="GL-03"/>
    <s v="curved"/>
    <s v="CERAMIC"/>
    <n v="2050"/>
    <n v="350"/>
    <n v="1"/>
    <n v="2.0499999999999998"/>
    <n v="0.35"/>
    <n v="4.8"/>
    <n v="1"/>
    <n v="0.71749999999999992"/>
  </r>
  <r>
    <n v="1"/>
    <s v="G"/>
    <s v="EAST"/>
    <x v="38"/>
    <m/>
    <m/>
    <m/>
    <m/>
    <x v="2"/>
    <x v="0"/>
    <x v="1"/>
    <s v="GL-03"/>
    <s v="curved"/>
    <s v="CERAMIC"/>
    <n v="2050"/>
    <n v="350"/>
    <n v="1"/>
    <n v="2.0499999999999998"/>
    <n v="0.35"/>
    <n v="4.8"/>
    <n v="1"/>
    <n v="0.71749999999999992"/>
  </r>
  <r>
    <n v="1"/>
    <s v="G"/>
    <s v="EAST"/>
    <x v="39"/>
    <m/>
    <m/>
    <m/>
    <m/>
    <x v="0"/>
    <x v="0"/>
    <x v="0"/>
    <m/>
    <s v="curved"/>
    <m/>
    <n v="2050"/>
    <n v="4993"/>
    <n v="1"/>
    <n v="2.0499999999999998"/>
    <n v="4.9930000000000003"/>
    <n v="14.086"/>
    <n v="1"/>
    <n v="10.23565"/>
  </r>
  <r>
    <n v="1"/>
    <s v="G"/>
    <s v="EAST"/>
    <x v="39"/>
    <m/>
    <m/>
    <m/>
    <m/>
    <x v="1"/>
    <x v="0"/>
    <x v="1"/>
    <s v="GL-03"/>
    <s v="curved"/>
    <m/>
    <n v="2050"/>
    <n v="1664.3333333333333"/>
    <n v="1"/>
    <n v="2.0499999999999998"/>
    <n v="1.6643333333333332"/>
    <n v="7.4286666666666656"/>
    <n v="1"/>
    <n v="3.4118833333333329"/>
  </r>
  <r>
    <n v="1"/>
    <s v="G"/>
    <s v="EAST"/>
    <x v="39"/>
    <m/>
    <m/>
    <m/>
    <m/>
    <x v="1"/>
    <x v="0"/>
    <x v="1"/>
    <s v="GL-03"/>
    <s v="curved"/>
    <m/>
    <n v="2050"/>
    <n v="1664.3333333333333"/>
    <n v="1"/>
    <n v="2.0499999999999998"/>
    <n v="1.6643333333333332"/>
    <n v="7.4286666666666656"/>
    <n v="1"/>
    <n v="3.4118833333333329"/>
  </r>
  <r>
    <n v="1"/>
    <s v="G"/>
    <s v="EAST"/>
    <x v="39"/>
    <m/>
    <m/>
    <m/>
    <m/>
    <x v="1"/>
    <x v="0"/>
    <x v="1"/>
    <s v="GL-03"/>
    <s v="curved"/>
    <m/>
    <n v="2050"/>
    <n v="1664.3333333333333"/>
    <n v="1"/>
    <n v="2.0499999999999998"/>
    <n v="1.6643333333333332"/>
    <n v="7.4286666666666656"/>
    <n v="1"/>
    <n v="3.4118833333333329"/>
  </r>
  <r>
    <n v="1"/>
    <s v="G"/>
    <s v="EAST"/>
    <x v="39"/>
    <m/>
    <m/>
    <m/>
    <m/>
    <x v="2"/>
    <x v="0"/>
    <x v="1"/>
    <s v="GL-03"/>
    <s v="curved"/>
    <m/>
    <n v="2050"/>
    <n v="1664.3333333333333"/>
    <n v="1"/>
    <n v="2.0499999999999998"/>
    <n v="1.6643333333333332"/>
    <n v="7.4286666666666656"/>
    <n v="1"/>
    <n v="3.4118833333333329"/>
  </r>
  <r>
    <n v="1"/>
    <s v="G"/>
    <s v="EAST"/>
    <x v="39"/>
    <m/>
    <m/>
    <m/>
    <m/>
    <x v="2"/>
    <x v="0"/>
    <x v="1"/>
    <s v="GL-03"/>
    <s v="curved"/>
    <m/>
    <n v="2050"/>
    <n v="1664.3333333333333"/>
    <n v="1"/>
    <n v="2.0499999999999998"/>
    <n v="1.6643333333333332"/>
    <n v="7.4286666666666656"/>
    <n v="1"/>
    <n v="3.4118833333333329"/>
  </r>
  <r>
    <n v="1"/>
    <s v="G"/>
    <s v="EAST"/>
    <x v="39"/>
    <m/>
    <m/>
    <m/>
    <m/>
    <x v="2"/>
    <x v="0"/>
    <x v="1"/>
    <s v="GL-03"/>
    <s v="curved"/>
    <m/>
    <n v="2050"/>
    <n v="1664.3333333333333"/>
    <n v="1"/>
    <n v="2.0499999999999998"/>
    <n v="1.6643333333333332"/>
    <n v="7.4286666666666656"/>
    <n v="1"/>
    <n v="3.4118833333333329"/>
  </r>
  <r>
    <n v="1"/>
    <s v="G"/>
    <s v="EAST"/>
    <x v="40"/>
    <m/>
    <m/>
    <m/>
    <m/>
    <x v="0"/>
    <x v="0"/>
    <x v="0"/>
    <m/>
    <s v="curved"/>
    <m/>
    <n v="2050"/>
    <n v="4104"/>
    <n v="1"/>
    <n v="2.0499999999999998"/>
    <n v="4.1040000000000001"/>
    <n v="12.308"/>
    <n v="1"/>
    <n v="8.4131999999999998"/>
  </r>
  <r>
    <n v="1"/>
    <s v="G"/>
    <s v="EAST"/>
    <x v="40"/>
    <m/>
    <m/>
    <m/>
    <m/>
    <x v="1"/>
    <x v="0"/>
    <x v="1"/>
    <s v="GL-03"/>
    <s v="curved"/>
    <m/>
    <n v="2050"/>
    <n v="1368"/>
    <n v="1"/>
    <n v="2.0499999999999998"/>
    <n v="1.3680000000000001"/>
    <n v="6.8360000000000003"/>
    <n v="1"/>
    <n v="2.8043999999999998"/>
  </r>
  <r>
    <n v="1"/>
    <s v="G"/>
    <s v="EAST"/>
    <x v="40"/>
    <m/>
    <m/>
    <m/>
    <m/>
    <x v="1"/>
    <x v="0"/>
    <x v="1"/>
    <s v="GL-03"/>
    <s v="curved"/>
    <m/>
    <n v="2050"/>
    <n v="1368"/>
    <n v="1"/>
    <n v="2.0499999999999998"/>
    <n v="1.3680000000000001"/>
    <n v="6.8360000000000003"/>
    <n v="1"/>
    <n v="2.8043999999999998"/>
  </r>
  <r>
    <n v="1"/>
    <s v="G"/>
    <s v="EAST"/>
    <x v="40"/>
    <m/>
    <m/>
    <m/>
    <m/>
    <x v="1"/>
    <x v="0"/>
    <x v="1"/>
    <s v="GL-03"/>
    <s v="curved"/>
    <m/>
    <n v="2050"/>
    <n v="1368"/>
    <n v="1"/>
    <n v="2.0499999999999998"/>
    <n v="1.3680000000000001"/>
    <n v="6.8360000000000003"/>
    <n v="1"/>
    <n v="2.8043999999999998"/>
  </r>
  <r>
    <n v="1"/>
    <s v="G"/>
    <s v="EAST"/>
    <x v="40"/>
    <m/>
    <m/>
    <m/>
    <m/>
    <x v="2"/>
    <x v="0"/>
    <x v="1"/>
    <s v="GL-03"/>
    <s v="curved"/>
    <m/>
    <n v="2050"/>
    <n v="1368"/>
    <n v="1"/>
    <n v="2.0499999999999998"/>
    <n v="1.3680000000000001"/>
    <n v="6.8360000000000003"/>
    <n v="1"/>
    <n v="2.8043999999999998"/>
  </r>
  <r>
    <n v="1"/>
    <s v="G"/>
    <s v="EAST"/>
    <x v="40"/>
    <m/>
    <m/>
    <m/>
    <m/>
    <x v="2"/>
    <x v="0"/>
    <x v="1"/>
    <s v="GL-03"/>
    <s v="curved"/>
    <m/>
    <n v="2050"/>
    <n v="1368"/>
    <n v="1"/>
    <n v="2.0499999999999998"/>
    <n v="1.3680000000000001"/>
    <n v="6.8360000000000003"/>
    <n v="1"/>
    <n v="2.8043999999999998"/>
  </r>
  <r>
    <n v="1"/>
    <s v="G"/>
    <s v="EAST"/>
    <x v="40"/>
    <m/>
    <m/>
    <m/>
    <m/>
    <x v="2"/>
    <x v="0"/>
    <x v="1"/>
    <s v="GL-03"/>
    <s v="curved"/>
    <m/>
    <n v="2050"/>
    <n v="1368"/>
    <n v="1"/>
    <n v="2.0499999999999998"/>
    <n v="1.3680000000000001"/>
    <n v="6.8360000000000003"/>
    <n v="1"/>
    <n v="2.8043999999999998"/>
  </r>
  <r>
    <n v="1"/>
    <s v="G"/>
    <s v="EAST"/>
    <x v="41"/>
    <m/>
    <m/>
    <m/>
    <m/>
    <x v="0"/>
    <x v="0"/>
    <x v="0"/>
    <m/>
    <s v="curved"/>
    <m/>
    <n v="2050"/>
    <n v="1935"/>
    <n v="1"/>
    <n v="2.0499999999999998"/>
    <n v="1.9350000000000001"/>
    <n v="7.97"/>
    <n v="1"/>
    <n v="3.9667499999999993"/>
  </r>
  <r>
    <n v="1"/>
    <s v="G"/>
    <s v="EAST"/>
    <x v="41"/>
    <m/>
    <m/>
    <m/>
    <m/>
    <x v="1"/>
    <x v="0"/>
    <x v="1"/>
    <s v="GL-03"/>
    <s v="curved"/>
    <m/>
    <n v="2050"/>
    <n v="1935"/>
    <n v="1"/>
    <n v="2.0499999999999998"/>
    <n v="1.9350000000000001"/>
    <n v="7.97"/>
    <n v="1"/>
    <n v="3.9667499999999993"/>
  </r>
  <r>
    <n v="1"/>
    <s v="G"/>
    <s v="EAST"/>
    <x v="41"/>
    <m/>
    <m/>
    <m/>
    <m/>
    <x v="2"/>
    <x v="0"/>
    <x v="1"/>
    <s v="GL-03"/>
    <s v="curved"/>
    <m/>
    <n v="2050"/>
    <n v="1935"/>
    <n v="1"/>
    <n v="2.0499999999999998"/>
    <n v="1.9350000000000001"/>
    <n v="7.97"/>
    <n v="1"/>
    <n v="3.9667499999999993"/>
  </r>
  <r>
    <n v="1"/>
    <s v="G"/>
    <s v="EAST"/>
    <x v="42"/>
    <m/>
    <m/>
    <m/>
    <m/>
    <x v="0"/>
    <x v="0"/>
    <x v="0"/>
    <m/>
    <s v="curved"/>
    <s v="CERAMIC"/>
    <n v="2050"/>
    <n v="190"/>
    <n v="1"/>
    <n v="2.0499999999999998"/>
    <n v="0.19"/>
    <n v="4.4800000000000004"/>
    <n v="1"/>
    <n v="0.38949999999999996"/>
  </r>
  <r>
    <n v="1"/>
    <s v="G"/>
    <s v="EAST"/>
    <x v="42"/>
    <m/>
    <m/>
    <m/>
    <m/>
    <x v="1"/>
    <x v="0"/>
    <x v="1"/>
    <s v="GL-03"/>
    <s v="curved"/>
    <s v="CERAMIC"/>
    <n v="2050"/>
    <n v="190"/>
    <n v="1"/>
    <n v="2.0499999999999998"/>
    <n v="0.19"/>
    <n v="4.4800000000000004"/>
    <n v="1"/>
    <n v="0.38949999999999996"/>
  </r>
  <r>
    <n v="1"/>
    <s v="G"/>
    <s v="EAST"/>
    <x v="42"/>
    <m/>
    <m/>
    <m/>
    <m/>
    <x v="2"/>
    <x v="0"/>
    <x v="1"/>
    <s v="GL-03"/>
    <s v="curved"/>
    <s v="CERAMIC"/>
    <n v="2050"/>
    <n v="190"/>
    <n v="1"/>
    <n v="2.0499999999999998"/>
    <n v="0.19"/>
    <n v="4.4800000000000004"/>
    <n v="1"/>
    <n v="0.38949999999999996"/>
  </r>
  <r>
    <n v="1"/>
    <s v="G"/>
    <s v="EAST"/>
    <x v="43"/>
    <m/>
    <m/>
    <m/>
    <m/>
    <x v="0"/>
    <x v="0"/>
    <x v="0"/>
    <m/>
    <m/>
    <s v="CERAMIC"/>
    <n v="2050"/>
    <n v="315"/>
    <n v="1"/>
    <n v="2.0499999999999998"/>
    <n v="0.315"/>
    <n v="4.7300000000000004"/>
    <n v="1"/>
    <n v="0.64575000000000005"/>
  </r>
  <r>
    <n v="1"/>
    <s v="G"/>
    <s v="EAST"/>
    <x v="43"/>
    <m/>
    <m/>
    <m/>
    <m/>
    <x v="1"/>
    <x v="0"/>
    <x v="1"/>
    <s v="GL-03"/>
    <m/>
    <s v="CERAMIC"/>
    <n v="2050"/>
    <n v="315"/>
    <n v="1"/>
    <n v="2.0499999999999998"/>
    <n v="0.315"/>
    <n v="4.7300000000000004"/>
    <n v="1"/>
    <n v="0.64575000000000005"/>
  </r>
  <r>
    <n v="1"/>
    <s v="G"/>
    <s v="EAST"/>
    <x v="43"/>
    <m/>
    <m/>
    <m/>
    <m/>
    <x v="2"/>
    <x v="0"/>
    <x v="1"/>
    <s v="GL-03"/>
    <m/>
    <s v="CERAMIC"/>
    <n v="2050"/>
    <n v="315"/>
    <n v="1"/>
    <n v="2.0499999999999998"/>
    <n v="0.315"/>
    <n v="4.7300000000000004"/>
    <n v="1"/>
    <n v="0.64575000000000005"/>
  </r>
  <r>
    <n v="1"/>
    <s v="G"/>
    <s v="EAST"/>
    <x v="44"/>
    <m/>
    <m/>
    <m/>
    <m/>
    <x v="0"/>
    <x v="0"/>
    <x v="0"/>
    <m/>
    <m/>
    <m/>
    <n v="2050"/>
    <n v="240"/>
    <n v="1"/>
    <n v="2.0499999999999998"/>
    <n v="0.24"/>
    <n v="4.58"/>
    <n v="1"/>
    <n v="0.49199999999999994"/>
  </r>
  <r>
    <n v="1"/>
    <s v="G"/>
    <s v="EAST"/>
    <x v="44"/>
    <m/>
    <m/>
    <m/>
    <m/>
    <x v="1"/>
    <x v="0"/>
    <x v="1"/>
    <s v="GL-03"/>
    <m/>
    <m/>
    <n v="2050"/>
    <n v="240"/>
    <n v="1"/>
    <n v="2.0499999999999998"/>
    <n v="0.24"/>
    <n v="4.58"/>
    <n v="1"/>
    <n v="0.49199999999999994"/>
  </r>
  <r>
    <n v="1"/>
    <s v="G"/>
    <s v="EAST"/>
    <x v="44"/>
    <m/>
    <m/>
    <m/>
    <m/>
    <x v="2"/>
    <x v="0"/>
    <x v="1"/>
    <s v="GL-03"/>
    <m/>
    <m/>
    <n v="2050"/>
    <n v="240"/>
    <n v="1"/>
    <n v="2.0499999999999998"/>
    <n v="0.24"/>
    <n v="4.58"/>
    <n v="1"/>
    <n v="0.49199999999999994"/>
  </r>
  <r>
    <n v="1"/>
    <s v="level 1"/>
    <s v="EAST"/>
    <x v="45"/>
    <m/>
    <m/>
    <m/>
    <m/>
    <x v="1"/>
    <x v="3"/>
    <x v="0"/>
    <m/>
    <m/>
    <m/>
    <n v="3000"/>
    <n v="1750"/>
    <n v="1"/>
    <n v="3"/>
    <n v="1.75"/>
    <n v="9.5"/>
    <n v="1"/>
    <n v="5.25"/>
  </r>
  <r>
    <n v="1"/>
    <s v="level 1"/>
    <s v="EAST"/>
    <x v="46"/>
    <m/>
    <m/>
    <m/>
    <m/>
    <x v="1"/>
    <x v="3"/>
    <x v="0"/>
    <m/>
    <m/>
    <m/>
    <n v="3000"/>
    <n v="1750"/>
    <n v="1"/>
    <n v="3"/>
    <n v="1.75"/>
    <n v="9.5"/>
    <n v="1"/>
    <n v="5.25"/>
  </r>
  <r>
    <n v="1"/>
    <s v="level 1"/>
    <s v="EAST"/>
    <x v="47"/>
    <m/>
    <m/>
    <m/>
    <m/>
    <x v="1"/>
    <x v="3"/>
    <x v="0"/>
    <m/>
    <m/>
    <m/>
    <n v="3000"/>
    <n v="1750"/>
    <n v="1"/>
    <n v="3"/>
    <n v="1.75"/>
    <n v="9.5"/>
    <n v="1"/>
    <n v="5.25"/>
  </r>
  <r>
    <n v="1"/>
    <s v="level 1"/>
    <s v="EAST"/>
    <x v="48"/>
    <m/>
    <m/>
    <m/>
    <m/>
    <x v="1"/>
    <x v="3"/>
    <x v="0"/>
    <m/>
    <m/>
    <m/>
    <n v="3000"/>
    <n v="1460"/>
    <n v="1"/>
    <n v="3"/>
    <n v="1.46"/>
    <n v="8.92"/>
    <n v="1"/>
    <n v="4.38"/>
  </r>
  <r>
    <n v="1"/>
    <s v="level 1"/>
    <s v="EAST"/>
    <x v="49"/>
    <m/>
    <m/>
    <m/>
    <m/>
    <x v="1"/>
    <x v="3"/>
    <x v="0"/>
    <m/>
    <m/>
    <m/>
    <n v="910"/>
    <n v="1750"/>
    <n v="1"/>
    <n v="0.91"/>
    <n v="1.75"/>
    <n v="5.32"/>
    <n v="1"/>
    <n v="1.5925"/>
  </r>
  <r>
    <n v="1"/>
    <s v="level 1"/>
    <s v="EAST"/>
    <x v="50"/>
    <m/>
    <m/>
    <m/>
    <m/>
    <x v="1"/>
    <x v="3"/>
    <x v="0"/>
    <m/>
    <m/>
    <m/>
    <n v="910"/>
    <n v="1750"/>
    <n v="1"/>
    <n v="0.91"/>
    <n v="1.75"/>
    <n v="5.32"/>
    <n v="1"/>
    <n v="1.5925"/>
  </r>
  <r>
    <n v="1"/>
    <s v="level 1"/>
    <s v="EAST"/>
    <x v="51"/>
    <m/>
    <m/>
    <m/>
    <m/>
    <x v="1"/>
    <x v="3"/>
    <x v="0"/>
    <m/>
    <m/>
    <m/>
    <n v="910"/>
    <n v="1750"/>
    <n v="1"/>
    <n v="0.91"/>
    <n v="1.75"/>
    <n v="5.32"/>
    <n v="1"/>
    <n v="1.5925"/>
  </r>
  <r>
    <n v="1"/>
    <s v="level 1"/>
    <s v="EAST"/>
    <x v="52"/>
    <m/>
    <m/>
    <m/>
    <m/>
    <x v="1"/>
    <x v="3"/>
    <x v="0"/>
    <m/>
    <m/>
    <m/>
    <n v="910"/>
    <n v="1460"/>
    <n v="1"/>
    <n v="0.91"/>
    <n v="1.46"/>
    <n v="4.74"/>
    <n v="1"/>
    <n v="1.3286000000000002"/>
  </r>
  <r>
    <n v="1"/>
    <s v="level 1"/>
    <s v="EAST"/>
    <x v="53"/>
    <m/>
    <m/>
    <m/>
    <m/>
    <x v="1"/>
    <x v="3"/>
    <x v="0"/>
    <m/>
    <m/>
    <m/>
    <n v="6175"/>
    <n v="1455"/>
    <n v="1"/>
    <n v="6.1749999999999998"/>
    <n v="1.4550000000000001"/>
    <n v="15.26"/>
    <n v="1"/>
    <n v="8.9846249999999994"/>
  </r>
  <r>
    <n v="1"/>
    <s v="level 1"/>
    <s v="EAST"/>
    <x v="54"/>
    <m/>
    <m/>
    <m/>
    <m/>
    <x v="1"/>
    <x v="3"/>
    <x v="0"/>
    <m/>
    <m/>
    <m/>
    <n v="6175"/>
    <n v="1755"/>
    <n v="1"/>
    <n v="6.1749999999999998"/>
    <n v="1.7549999999999999"/>
    <n v="15.86"/>
    <n v="1"/>
    <n v="10.837125"/>
  </r>
  <r>
    <n v="1"/>
    <s v="level 1"/>
    <s v="EAST"/>
    <x v="55"/>
    <m/>
    <m/>
    <m/>
    <m/>
    <x v="1"/>
    <x v="3"/>
    <x v="0"/>
    <m/>
    <m/>
    <m/>
    <n v="6175"/>
    <n v="1192"/>
    <n v="1"/>
    <n v="6.1749999999999998"/>
    <n v="1.1919999999999999"/>
    <n v="14.734"/>
    <n v="1"/>
    <n v="7.3605999999999998"/>
  </r>
  <r>
    <n v="1"/>
    <s v="level 1"/>
    <s v="EAST"/>
    <x v="56"/>
    <m/>
    <m/>
    <m/>
    <m/>
    <x v="1"/>
    <x v="3"/>
    <x v="0"/>
    <m/>
    <m/>
    <m/>
    <n v="6175"/>
    <n v="1850"/>
    <n v="1"/>
    <n v="6.1749999999999998"/>
    <n v="1.85"/>
    <n v="16.05"/>
    <n v="1"/>
    <n v="11.42375"/>
  </r>
  <r>
    <n v="1"/>
    <s v="level 1"/>
    <s v="EAST"/>
    <x v="57"/>
    <m/>
    <m/>
    <m/>
    <m/>
    <x v="1"/>
    <x v="3"/>
    <x v="0"/>
    <m/>
    <m/>
    <m/>
    <n v="6175"/>
    <n v="1850"/>
    <n v="1"/>
    <n v="6.1749999999999998"/>
    <n v="1.85"/>
    <n v="16.05"/>
    <n v="1"/>
    <n v="11.42375"/>
  </r>
  <r>
    <n v="1"/>
    <s v="level 1"/>
    <s v="EAST"/>
    <x v="58"/>
    <m/>
    <m/>
    <m/>
    <m/>
    <x v="1"/>
    <x v="3"/>
    <x v="0"/>
    <m/>
    <m/>
    <m/>
    <n v="6175"/>
    <n v="1850"/>
    <n v="1"/>
    <n v="6.1749999999999998"/>
    <n v="1.85"/>
    <n v="16.05"/>
    <n v="1"/>
    <n v="11.42375"/>
  </r>
  <r>
    <n v="1"/>
    <s v="level 1"/>
    <s v="EAST"/>
    <x v="59"/>
    <m/>
    <m/>
    <m/>
    <m/>
    <x v="1"/>
    <x v="3"/>
    <x v="0"/>
    <m/>
    <m/>
    <m/>
    <n v="6175"/>
    <n v="1750"/>
    <n v="1"/>
    <n v="6.1749999999999998"/>
    <n v="1.75"/>
    <n v="15.85"/>
    <n v="1"/>
    <n v="10.80625"/>
  </r>
  <r>
    <n v="1"/>
    <s v="level 1"/>
    <s v="EAST"/>
    <x v="60"/>
    <m/>
    <m/>
    <m/>
    <m/>
    <x v="1"/>
    <x v="3"/>
    <x v="0"/>
    <m/>
    <m/>
    <m/>
    <n v="6175"/>
    <n v="1490"/>
    <n v="1"/>
    <n v="6.1749999999999998"/>
    <n v="1.49"/>
    <n v="15.33"/>
    <n v="1"/>
    <n v="9.2007499999999993"/>
  </r>
  <r>
    <n v="1"/>
    <s v="level 1"/>
    <s v="EAST"/>
    <x v="61"/>
    <m/>
    <m/>
    <m/>
    <m/>
    <x v="1"/>
    <x v="3"/>
    <x v="0"/>
    <m/>
    <m/>
    <m/>
    <n v="6175"/>
    <n v="1480"/>
    <n v="1"/>
    <n v="6.1749999999999998"/>
    <n v="1.48"/>
    <n v="15.31"/>
    <n v="1"/>
    <n v="9.1389999999999993"/>
  </r>
  <r>
    <n v="1"/>
    <s v="level 1"/>
    <s v="EAST"/>
    <x v="62"/>
    <m/>
    <m/>
    <m/>
    <m/>
    <x v="1"/>
    <x v="3"/>
    <x v="0"/>
    <m/>
    <m/>
    <m/>
    <n v="6035"/>
    <n v="1025"/>
    <n v="1"/>
    <n v="6.0350000000000001"/>
    <n v="1.0249999999999999"/>
    <n v="14.12"/>
    <n v="1"/>
    <n v="6.1858750000000002"/>
  </r>
  <r>
    <n v="1"/>
    <s v="level 1"/>
    <s v="EAST"/>
    <x v="63"/>
    <m/>
    <m/>
    <m/>
    <m/>
    <x v="1"/>
    <x v="3"/>
    <x v="0"/>
    <m/>
    <m/>
    <m/>
    <n v="6035"/>
    <n v="2700"/>
    <n v="1"/>
    <n v="6.0350000000000001"/>
    <n v="2.7"/>
    <n v="17.47"/>
    <n v="1"/>
    <n v="16.294499999999999"/>
  </r>
  <r>
    <n v="1"/>
    <s v="level 1"/>
    <s v="EAST"/>
    <x v="64"/>
    <m/>
    <m/>
    <m/>
    <m/>
    <x v="1"/>
    <x v="3"/>
    <x v="0"/>
    <m/>
    <m/>
    <m/>
    <n v="6035"/>
    <n v="2700"/>
    <n v="1"/>
    <n v="6.0350000000000001"/>
    <n v="2.7"/>
    <n v="17.47"/>
    <n v="1"/>
    <n v="16.294499999999999"/>
  </r>
  <r>
    <n v="1"/>
    <s v="level 1"/>
    <s v="EAST"/>
    <x v="65"/>
    <m/>
    <m/>
    <m/>
    <m/>
    <x v="1"/>
    <x v="3"/>
    <x v="0"/>
    <m/>
    <m/>
    <m/>
    <n v="6035"/>
    <n v="2700"/>
    <n v="1"/>
    <n v="6.0350000000000001"/>
    <n v="2.7"/>
    <n v="17.47"/>
    <n v="1"/>
    <n v="16.294499999999999"/>
  </r>
  <r>
    <n v="1"/>
    <s v="level 1"/>
    <s v="EAST"/>
    <x v="66"/>
    <m/>
    <m/>
    <m/>
    <m/>
    <x v="1"/>
    <x v="3"/>
    <x v="0"/>
    <m/>
    <m/>
    <m/>
    <n v="6035"/>
    <n v="2700"/>
    <n v="1"/>
    <n v="6.0350000000000001"/>
    <n v="2.7"/>
    <n v="17.47"/>
    <n v="1"/>
    <n v="16.294499999999999"/>
  </r>
  <r>
    <n v="1"/>
    <s v="level 1"/>
    <s v="EAST"/>
    <x v="67"/>
    <m/>
    <m/>
    <m/>
    <m/>
    <x v="1"/>
    <x v="3"/>
    <x v="0"/>
    <m/>
    <m/>
    <m/>
    <n v="6035"/>
    <n v="2700"/>
    <n v="1"/>
    <n v="6.0350000000000001"/>
    <n v="2.7"/>
    <n v="17.47"/>
    <n v="1"/>
    <n v="16.294499999999999"/>
  </r>
  <r>
    <n v="1"/>
    <s v="level 1"/>
    <s v="EAST"/>
    <x v="68"/>
    <m/>
    <m/>
    <m/>
    <m/>
    <x v="1"/>
    <x v="3"/>
    <x v="0"/>
    <m/>
    <m/>
    <m/>
    <n v="6035"/>
    <n v="2700"/>
    <n v="1"/>
    <n v="6.0350000000000001"/>
    <n v="2.7"/>
    <n v="17.47"/>
    <n v="1"/>
    <n v="16.294499999999999"/>
  </r>
  <r>
    <n v="1"/>
    <s v="level 1"/>
    <s v="EAST"/>
    <x v="69"/>
    <m/>
    <m/>
    <m/>
    <m/>
    <x v="1"/>
    <x v="3"/>
    <x v="0"/>
    <m/>
    <m/>
    <m/>
    <n v="6035"/>
    <n v="2700"/>
    <n v="1"/>
    <n v="6.0350000000000001"/>
    <n v="2.7"/>
    <n v="17.47"/>
    <n v="1"/>
    <n v="16.294499999999999"/>
  </r>
  <r>
    <n v="1"/>
    <s v="level 1"/>
    <s v="EAST"/>
    <x v="70"/>
    <m/>
    <m/>
    <m/>
    <m/>
    <x v="1"/>
    <x v="3"/>
    <x v="0"/>
    <m/>
    <m/>
    <m/>
    <n v="6035"/>
    <n v="2700"/>
    <n v="1"/>
    <n v="6.0350000000000001"/>
    <n v="2.7"/>
    <n v="17.47"/>
    <n v="1"/>
    <n v="16.294499999999999"/>
  </r>
  <r>
    <n v="1"/>
    <s v="level 1"/>
    <s v="EAST"/>
    <x v="71"/>
    <m/>
    <m/>
    <m/>
    <m/>
    <x v="1"/>
    <x v="3"/>
    <x v="0"/>
    <m/>
    <m/>
    <m/>
    <n v="6035"/>
    <n v="2700"/>
    <n v="1"/>
    <n v="6.0350000000000001"/>
    <n v="2.7"/>
    <n v="17.47"/>
    <n v="1"/>
    <n v="16.294499999999999"/>
  </r>
  <r>
    <n v="1"/>
    <s v="level 1"/>
    <s v="EAST"/>
    <x v="72"/>
    <m/>
    <m/>
    <m/>
    <m/>
    <x v="1"/>
    <x v="3"/>
    <x v="0"/>
    <m/>
    <m/>
    <m/>
    <n v="2110"/>
    <n v="2700"/>
    <n v="1"/>
    <n v="2.11"/>
    <n v="2.7"/>
    <n v="9.6199999999999992"/>
    <n v="1"/>
    <n v="5.6970000000000001"/>
  </r>
  <r>
    <n v="1"/>
    <s v="level 1"/>
    <s v="EAST"/>
    <x v="73"/>
    <m/>
    <m/>
    <m/>
    <m/>
    <x v="1"/>
    <x v="3"/>
    <x v="0"/>
    <m/>
    <m/>
    <m/>
    <n v="550"/>
    <n v="2700"/>
    <n v="1"/>
    <n v="0.55000000000000004"/>
    <n v="2.7"/>
    <n v="6.5"/>
    <n v="1"/>
    <n v="1.4850000000000003"/>
  </r>
  <r>
    <n v="1"/>
    <s v="level 1"/>
    <s v="EAST"/>
    <x v="74"/>
    <m/>
    <m/>
    <m/>
    <m/>
    <x v="1"/>
    <x v="3"/>
    <x v="10"/>
    <m/>
    <m/>
    <s v="L0-03"/>
    <n v="650"/>
    <n v="2700"/>
    <n v="1"/>
    <n v="0.65"/>
    <n v="2.7"/>
    <n v="6.7"/>
    <n v="1"/>
    <n v="1.7549999999999999"/>
  </r>
  <r>
    <n v="1"/>
    <s v="level 1"/>
    <s v="EAST"/>
    <x v="75"/>
    <m/>
    <m/>
    <m/>
    <m/>
    <x v="1"/>
    <x v="3"/>
    <x v="0"/>
    <m/>
    <m/>
    <m/>
    <n v="6035"/>
    <n v="2700"/>
    <n v="1"/>
    <n v="6.0350000000000001"/>
    <n v="2.7"/>
    <n v="17.47"/>
    <n v="1"/>
    <n v="16.294499999999999"/>
  </r>
  <r>
    <n v="1"/>
    <s v="level 1"/>
    <s v="EAST"/>
    <x v="76"/>
    <m/>
    <m/>
    <m/>
    <m/>
    <x v="1"/>
    <x v="3"/>
    <x v="0"/>
    <m/>
    <m/>
    <m/>
    <n v="6035"/>
    <n v="2700"/>
    <n v="1"/>
    <n v="6.0350000000000001"/>
    <n v="2.7"/>
    <n v="17.47"/>
    <n v="1"/>
    <n v="16.294499999999999"/>
  </r>
  <r>
    <n v="1"/>
    <s v="level 1"/>
    <s v="EAST"/>
    <x v="77"/>
    <m/>
    <m/>
    <m/>
    <m/>
    <x v="1"/>
    <x v="3"/>
    <x v="0"/>
    <m/>
    <m/>
    <m/>
    <n v="6035"/>
    <n v="2700"/>
    <n v="1"/>
    <n v="6.0350000000000001"/>
    <n v="2.7"/>
    <n v="17.47"/>
    <n v="1"/>
    <n v="16.294499999999999"/>
  </r>
  <r>
    <n v="1"/>
    <s v="level 1"/>
    <s v="EAST"/>
    <x v="78"/>
    <m/>
    <m/>
    <m/>
    <m/>
    <x v="1"/>
    <x v="3"/>
    <x v="0"/>
    <m/>
    <m/>
    <m/>
    <n v="6035"/>
    <n v="2700"/>
    <n v="1"/>
    <n v="6.0350000000000001"/>
    <n v="2.7"/>
    <n v="17.47"/>
    <n v="1"/>
    <n v="16.294499999999999"/>
  </r>
  <r>
    <n v="1"/>
    <s v="level 1"/>
    <s v="EAST"/>
    <x v="79"/>
    <m/>
    <m/>
    <m/>
    <m/>
    <x v="1"/>
    <x v="3"/>
    <x v="0"/>
    <m/>
    <m/>
    <m/>
    <n v="6235"/>
    <n v="2700"/>
    <n v="1"/>
    <n v="6.2350000000000003"/>
    <n v="2.7"/>
    <n v="17.87"/>
    <n v="1"/>
    <n v="16.834499999999998"/>
  </r>
  <r>
    <n v="1"/>
    <s v="level 1"/>
    <s v="EAST"/>
    <x v="80"/>
    <m/>
    <m/>
    <m/>
    <m/>
    <x v="1"/>
    <x v="3"/>
    <x v="0"/>
    <m/>
    <m/>
    <m/>
    <n v="6235"/>
    <n v="2700"/>
    <n v="1"/>
    <n v="6.2350000000000003"/>
    <n v="2.7"/>
    <n v="17.87"/>
    <n v="1"/>
    <n v="16.834499999999998"/>
  </r>
  <r>
    <n v="1"/>
    <s v="level 1"/>
    <s v="EAST"/>
    <x v="81"/>
    <m/>
    <m/>
    <m/>
    <m/>
    <x v="1"/>
    <x v="3"/>
    <x v="0"/>
    <m/>
    <m/>
    <m/>
    <n v="4925"/>
    <n v="1435"/>
    <n v="1"/>
    <n v="4.9249999999999998"/>
    <n v="1.4350000000000001"/>
    <n v="12.72"/>
    <n v="1"/>
    <n v="7.0673750000000002"/>
  </r>
  <r>
    <n v="1"/>
    <s v="level 1"/>
    <s v="EAST"/>
    <x v="82"/>
    <m/>
    <m/>
    <m/>
    <m/>
    <x v="1"/>
    <x v="3"/>
    <x v="0"/>
    <m/>
    <m/>
    <m/>
    <n v="1880"/>
    <n v="1310"/>
    <n v="1"/>
    <n v="1.88"/>
    <n v="1.31"/>
    <n v="6.38"/>
    <n v="1"/>
    <n v="2.4627999999999997"/>
  </r>
  <r>
    <n v="1"/>
    <s v="level 1"/>
    <s v="EAST"/>
    <x v="83"/>
    <m/>
    <m/>
    <m/>
    <m/>
    <x v="1"/>
    <x v="3"/>
    <x v="0"/>
    <m/>
    <m/>
    <m/>
    <n v="1880"/>
    <n v="2700"/>
    <n v="1"/>
    <n v="1.88"/>
    <n v="2.7"/>
    <n v="9.16"/>
    <n v="1"/>
    <n v="5.0759999999999996"/>
  </r>
  <r>
    <n v="1"/>
    <s v="level 1"/>
    <s v="EAST"/>
    <x v="84"/>
    <m/>
    <m/>
    <m/>
    <m/>
    <x v="1"/>
    <x v="3"/>
    <x v="0"/>
    <m/>
    <m/>
    <m/>
    <n v="1880"/>
    <n v="1650"/>
    <n v="1"/>
    <n v="1.88"/>
    <n v="1.65"/>
    <n v="7.06"/>
    <n v="1"/>
    <n v="3.1019999999999999"/>
  </r>
  <r>
    <n v="1"/>
    <s v="level 1"/>
    <s v="EAST"/>
    <x v="85"/>
    <m/>
    <m/>
    <m/>
    <m/>
    <x v="1"/>
    <x v="3"/>
    <x v="0"/>
    <m/>
    <m/>
    <m/>
    <n v="1310"/>
    <n v="1310"/>
    <n v="1"/>
    <n v="1.31"/>
    <n v="1.31"/>
    <n v="5.24"/>
    <n v="1"/>
    <n v="1.7161000000000002"/>
  </r>
  <r>
    <n v="1"/>
    <s v="level 1"/>
    <s v="EAST"/>
    <x v="86"/>
    <m/>
    <m/>
    <m/>
    <m/>
    <x v="1"/>
    <x v="3"/>
    <x v="0"/>
    <m/>
    <m/>
    <m/>
    <n v="1310"/>
    <n v="2700"/>
    <n v="1"/>
    <n v="1.31"/>
    <n v="2.7"/>
    <n v="8.02"/>
    <n v="1"/>
    <n v="3.5369999999999999"/>
  </r>
  <r>
    <n v="1"/>
    <s v="level 1"/>
    <s v="EAST"/>
    <x v="87"/>
    <m/>
    <m/>
    <m/>
    <m/>
    <x v="1"/>
    <x v="3"/>
    <x v="0"/>
    <m/>
    <m/>
    <m/>
    <n v="1310"/>
    <n v="1650"/>
    <n v="1"/>
    <n v="1.31"/>
    <n v="1.65"/>
    <n v="5.92"/>
    <n v="1"/>
    <n v="2.1615000000000002"/>
  </r>
  <r>
    <n v="1"/>
    <s v="level 1"/>
    <s v="EAST"/>
    <x v="88"/>
    <m/>
    <m/>
    <m/>
    <m/>
    <x v="1"/>
    <x v="4"/>
    <x v="0"/>
    <m/>
    <m/>
    <m/>
    <n v="780"/>
    <n v="1800"/>
    <n v="1"/>
    <n v="0.78"/>
    <n v="1.8"/>
    <n v="5.16"/>
    <n v="1"/>
    <n v="1.4039999999999999"/>
  </r>
  <r>
    <n v="1"/>
    <s v="level 1"/>
    <s v="EAST"/>
    <x v="89"/>
    <m/>
    <m/>
    <m/>
    <m/>
    <x v="1"/>
    <x v="4"/>
    <x v="0"/>
    <m/>
    <m/>
    <m/>
    <n v="780"/>
    <n v="1800"/>
    <n v="1"/>
    <n v="0.78"/>
    <n v="1.8"/>
    <n v="5.16"/>
    <n v="1"/>
    <n v="1.4039999999999999"/>
  </r>
  <r>
    <n v="1"/>
    <s v="level 1"/>
    <s v="EAST"/>
    <x v="90"/>
    <m/>
    <m/>
    <m/>
    <m/>
    <x v="1"/>
    <x v="4"/>
    <x v="0"/>
    <m/>
    <m/>
    <m/>
    <n v="780"/>
    <n v="1800"/>
    <n v="1"/>
    <n v="0.78"/>
    <n v="1.8"/>
    <n v="5.16"/>
    <n v="1"/>
    <n v="1.4039999999999999"/>
  </r>
  <r>
    <n v="1"/>
    <s v="level 1"/>
    <s v="EAST"/>
    <x v="91"/>
    <m/>
    <m/>
    <m/>
    <m/>
    <x v="1"/>
    <x v="4"/>
    <x v="0"/>
    <m/>
    <m/>
    <m/>
    <n v="780"/>
    <n v="1800"/>
    <n v="1"/>
    <n v="0.78"/>
    <n v="1.8"/>
    <n v="5.16"/>
    <n v="1"/>
    <n v="1.4039999999999999"/>
  </r>
  <r>
    <n v="1"/>
    <s v="level 1"/>
    <s v="EAST"/>
    <x v="92"/>
    <m/>
    <m/>
    <m/>
    <m/>
    <x v="1"/>
    <x v="4"/>
    <x v="0"/>
    <m/>
    <m/>
    <m/>
    <n v="780"/>
    <n v="1800"/>
    <n v="1"/>
    <n v="0.78"/>
    <n v="1.8"/>
    <n v="5.16"/>
    <n v="1"/>
    <n v="1.4039999999999999"/>
  </r>
  <r>
    <n v="1"/>
    <s v="level 1"/>
    <s v="EAST"/>
    <x v="93"/>
    <m/>
    <m/>
    <m/>
    <m/>
    <x v="1"/>
    <x v="4"/>
    <x v="0"/>
    <m/>
    <m/>
    <m/>
    <n v="780"/>
    <n v="1800"/>
    <n v="1"/>
    <n v="0.78"/>
    <n v="1.8"/>
    <n v="5.16"/>
    <n v="1"/>
    <n v="1.4039999999999999"/>
  </r>
  <r>
    <n v="1"/>
    <s v="level 1"/>
    <s v="EAST"/>
    <x v="94"/>
    <m/>
    <m/>
    <m/>
    <m/>
    <x v="1"/>
    <x v="4"/>
    <x v="0"/>
    <m/>
    <m/>
    <m/>
    <n v="780"/>
    <n v="1800"/>
    <n v="1"/>
    <n v="0.78"/>
    <n v="1.8"/>
    <n v="5.16"/>
    <n v="1"/>
    <n v="1.4039999999999999"/>
  </r>
  <r>
    <n v="1"/>
    <s v="level 1"/>
    <s v="EAST"/>
    <x v="95"/>
    <m/>
    <m/>
    <m/>
    <m/>
    <x v="1"/>
    <x v="4"/>
    <x v="0"/>
    <m/>
    <m/>
    <m/>
    <n v="780"/>
    <n v="1800"/>
    <n v="1"/>
    <n v="0.78"/>
    <n v="1.8"/>
    <n v="5.16"/>
    <n v="1"/>
    <n v="1.4039999999999999"/>
  </r>
  <r>
    <n v="1"/>
    <s v="level 1"/>
    <s v="EAST"/>
    <x v="96"/>
    <m/>
    <m/>
    <m/>
    <m/>
    <x v="1"/>
    <x v="4"/>
    <x v="0"/>
    <m/>
    <m/>
    <m/>
    <n v="780"/>
    <n v="1800"/>
    <n v="1"/>
    <n v="0.78"/>
    <n v="1.8"/>
    <n v="5.16"/>
    <n v="1"/>
    <n v="1.4039999999999999"/>
  </r>
  <r>
    <n v="1"/>
    <s v="level 1"/>
    <s v="EAST"/>
    <x v="97"/>
    <m/>
    <m/>
    <m/>
    <m/>
    <x v="1"/>
    <x v="4"/>
    <x v="0"/>
    <m/>
    <m/>
    <m/>
    <n v="780"/>
    <n v="1800"/>
    <n v="1"/>
    <n v="0.78"/>
    <n v="1.8"/>
    <n v="5.16"/>
    <n v="1"/>
    <n v="1.4039999999999999"/>
  </r>
  <r>
    <n v="1"/>
    <s v="level 1"/>
    <s v="EAST"/>
    <x v="98"/>
    <m/>
    <m/>
    <m/>
    <m/>
    <x v="1"/>
    <x v="4"/>
    <x v="0"/>
    <m/>
    <m/>
    <s v="CHECK"/>
    <n v="780"/>
    <n v="383"/>
    <n v="1"/>
    <n v="0.78"/>
    <n v="0.38300000000000001"/>
    <n v="2.3260000000000001"/>
    <n v="1"/>
    <n v="0.29874000000000001"/>
  </r>
  <r>
    <n v="1"/>
    <s v="level 1"/>
    <s v="EAST"/>
    <x v="99"/>
    <m/>
    <m/>
    <m/>
    <m/>
    <x v="1"/>
    <x v="4"/>
    <x v="0"/>
    <m/>
    <m/>
    <s v="CHECK"/>
    <n v="430"/>
    <n v="930"/>
    <n v="1"/>
    <n v="0.43"/>
    <n v="0.93"/>
    <n v="2.72"/>
    <n v="1"/>
    <n v="0.39989999999999998"/>
  </r>
  <r>
    <n v="1"/>
    <s v="level 1"/>
    <s v="EAST"/>
    <x v="100"/>
    <m/>
    <m/>
    <m/>
    <m/>
    <x v="1"/>
    <x v="4"/>
    <x v="0"/>
    <m/>
    <m/>
    <s v="CHECK"/>
    <n v="245"/>
    <n v="2080"/>
    <n v="1"/>
    <n v="0.245"/>
    <n v="2.08"/>
    <n v="4.6500000000000004"/>
    <n v="1"/>
    <n v="0.50959999999999994"/>
  </r>
  <r>
    <n v="1"/>
    <s v="level 1"/>
    <s v="EAST"/>
    <x v="101"/>
    <m/>
    <m/>
    <m/>
    <m/>
    <x v="1"/>
    <x v="4"/>
    <x v="10"/>
    <m/>
    <m/>
    <s v="L0-05"/>
    <n v="430"/>
    <n v="1600"/>
    <n v="1"/>
    <n v="0.43"/>
    <n v="1.6"/>
    <n v="4.0599999999999996"/>
    <n v="1"/>
    <n v="0.68799999999999994"/>
  </r>
  <r>
    <n v="1"/>
    <s v="level 1"/>
    <s v="EAST"/>
    <x v="102"/>
    <m/>
    <m/>
    <m/>
    <m/>
    <x v="1"/>
    <x v="4"/>
    <x v="0"/>
    <m/>
    <m/>
    <m/>
    <n v="430"/>
    <n v="1624.6666666666667"/>
    <n v="1"/>
    <n v="0.43"/>
    <n v="1.6246666666666667"/>
    <n v="4.1093333333333337"/>
    <n v="1"/>
    <n v="0.69860666666666671"/>
  </r>
  <r>
    <n v="1"/>
    <s v="level 1"/>
    <s v="EAST"/>
    <x v="103"/>
    <m/>
    <m/>
    <m/>
    <m/>
    <x v="1"/>
    <x v="4"/>
    <x v="0"/>
    <m/>
    <m/>
    <m/>
    <n v="430"/>
    <n v="1624.6666666666667"/>
    <n v="1"/>
    <n v="0.43"/>
    <n v="1.6246666666666667"/>
    <n v="4.1093333333333337"/>
    <n v="1"/>
    <n v="0.69860666666666671"/>
  </r>
  <r>
    <n v="1"/>
    <s v="level 1"/>
    <s v="EAST"/>
    <x v="104"/>
    <m/>
    <m/>
    <m/>
    <m/>
    <x v="1"/>
    <x v="4"/>
    <x v="0"/>
    <m/>
    <m/>
    <m/>
    <n v="430"/>
    <n v="1624.6666666666667"/>
    <n v="1"/>
    <n v="0.43"/>
    <n v="1.6246666666666667"/>
    <n v="4.1093333333333337"/>
    <n v="1"/>
    <n v="0.69860666666666671"/>
  </r>
  <r>
    <n v="1"/>
    <s v="level 1"/>
    <s v="EAST"/>
    <x v="105"/>
    <m/>
    <m/>
    <m/>
    <m/>
    <x v="1"/>
    <x v="4"/>
    <x v="0"/>
    <m/>
    <m/>
    <m/>
    <n v="430"/>
    <n v="1624.6666666666667"/>
    <n v="1"/>
    <n v="0.43"/>
    <n v="1.6246666666666667"/>
    <n v="4.1093333333333337"/>
    <n v="1"/>
    <n v="0.69860666666666671"/>
  </r>
  <r>
    <n v="1"/>
    <s v="level 1"/>
    <s v="EAST"/>
    <x v="106"/>
    <m/>
    <m/>
    <m/>
    <m/>
    <x v="1"/>
    <x v="4"/>
    <x v="0"/>
    <m/>
    <m/>
    <m/>
    <n v="430"/>
    <n v="1624.6666666666667"/>
    <n v="1"/>
    <n v="0.43"/>
    <n v="1.6246666666666667"/>
    <n v="4.1093333333333337"/>
    <n v="1"/>
    <n v="0.69860666666666671"/>
  </r>
  <r>
    <n v="1"/>
    <s v="level 1"/>
    <s v="EAST"/>
    <x v="107"/>
    <m/>
    <m/>
    <m/>
    <m/>
    <x v="1"/>
    <x v="4"/>
    <x v="0"/>
    <m/>
    <m/>
    <m/>
    <n v="430"/>
    <n v="1624.6666666666667"/>
    <n v="1"/>
    <n v="0.43"/>
    <n v="1.6246666666666667"/>
    <n v="4.1093333333333337"/>
    <n v="1"/>
    <n v="0.69860666666666671"/>
  </r>
  <r>
    <n v="1"/>
    <s v="level 1"/>
    <s v="EAST"/>
    <x v="108"/>
    <m/>
    <m/>
    <m/>
    <m/>
    <x v="1"/>
    <x v="4"/>
    <x v="0"/>
    <m/>
    <m/>
    <m/>
    <n v="430"/>
    <n v="1624.6666666666667"/>
    <n v="1"/>
    <n v="0.43"/>
    <n v="1.6246666666666667"/>
    <n v="4.1093333333333337"/>
    <n v="1"/>
    <n v="0.69860666666666671"/>
  </r>
  <r>
    <n v="1"/>
    <s v="level 1"/>
    <s v="EAST"/>
    <x v="109"/>
    <m/>
    <m/>
    <m/>
    <m/>
    <x v="1"/>
    <x v="4"/>
    <x v="0"/>
    <m/>
    <m/>
    <m/>
    <n v="430"/>
    <n v="1624.6666666666667"/>
    <n v="1"/>
    <n v="0.43"/>
    <n v="1.6246666666666667"/>
    <n v="4.1093333333333337"/>
    <n v="1"/>
    <n v="0.69860666666666671"/>
  </r>
  <r>
    <n v="1"/>
    <s v="level 1"/>
    <s v="EAST"/>
    <x v="110"/>
    <m/>
    <m/>
    <m/>
    <m/>
    <x v="1"/>
    <x v="4"/>
    <x v="0"/>
    <m/>
    <m/>
    <m/>
    <n v="430"/>
    <n v="1624.6666666666667"/>
    <n v="1"/>
    <n v="0.43"/>
    <n v="1.6246666666666667"/>
    <n v="4.1093333333333337"/>
    <n v="1"/>
    <n v="0.69860666666666671"/>
  </r>
  <r>
    <n v="1"/>
    <s v="level 1"/>
    <s v="EAST"/>
    <x v="111"/>
    <m/>
    <m/>
    <m/>
    <m/>
    <x v="1"/>
    <x v="4"/>
    <x v="10"/>
    <m/>
    <m/>
    <s v="L0-04"/>
    <n v="400"/>
    <n v="2200"/>
    <n v="1"/>
    <n v="0.4"/>
    <n v="2.2000000000000002"/>
    <n v="5.2"/>
    <n v="1"/>
    <n v="0.88"/>
  </r>
  <r>
    <n v="1"/>
    <s v="level 1"/>
    <s v="EAST"/>
    <x v="112"/>
    <m/>
    <m/>
    <m/>
    <m/>
    <x v="1"/>
    <x v="4"/>
    <x v="0"/>
    <m/>
    <m/>
    <m/>
    <n v="400"/>
    <n v="1800"/>
    <n v="1"/>
    <n v="0.4"/>
    <n v="1.8"/>
    <n v="4.4000000000000004"/>
    <n v="1"/>
    <n v="0.72"/>
  </r>
  <r>
    <n v="1"/>
    <s v="level 1"/>
    <s v="EAST"/>
    <x v="113"/>
    <m/>
    <m/>
    <m/>
    <m/>
    <x v="1"/>
    <x v="4"/>
    <x v="0"/>
    <m/>
    <m/>
    <m/>
    <n v="400"/>
    <n v="1800"/>
    <n v="1"/>
    <n v="0.4"/>
    <n v="1.8"/>
    <n v="4.4000000000000004"/>
    <n v="1"/>
    <n v="0.72"/>
  </r>
  <r>
    <n v="1"/>
    <s v="level 1"/>
    <s v="EAST"/>
    <x v="114"/>
    <m/>
    <m/>
    <m/>
    <m/>
    <x v="1"/>
    <x v="4"/>
    <x v="0"/>
    <m/>
    <m/>
    <m/>
    <n v="400"/>
    <n v="1800"/>
    <n v="1"/>
    <n v="0.4"/>
    <n v="1.8"/>
    <n v="4.4000000000000004"/>
    <n v="1"/>
    <n v="0.72"/>
  </r>
  <r>
    <n v="1"/>
    <s v="level 1"/>
    <s v="EAST"/>
    <x v="115"/>
    <m/>
    <m/>
    <m/>
    <m/>
    <x v="1"/>
    <x v="4"/>
    <x v="0"/>
    <m/>
    <m/>
    <m/>
    <n v="400"/>
    <n v="1800"/>
    <n v="1"/>
    <n v="0.4"/>
    <n v="1.8"/>
    <n v="4.4000000000000004"/>
    <n v="1"/>
    <n v="0.72"/>
  </r>
  <r>
    <n v="1"/>
    <s v="level 1"/>
    <s v="EAST"/>
    <x v="116"/>
    <m/>
    <m/>
    <m/>
    <m/>
    <x v="1"/>
    <x v="4"/>
    <x v="0"/>
    <m/>
    <m/>
    <m/>
    <n v="400"/>
    <n v="1800"/>
    <n v="1"/>
    <n v="0.4"/>
    <n v="1.8"/>
    <n v="4.4000000000000004"/>
    <n v="1"/>
    <n v="0.72"/>
  </r>
  <r>
    <n v="1"/>
    <s v="level 1"/>
    <s v="EAST"/>
    <x v="117"/>
    <m/>
    <m/>
    <m/>
    <m/>
    <x v="1"/>
    <x v="4"/>
    <x v="0"/>
    <m/>
    <m/>
    <m/>
    <n v="400"/>
    <n v="1800"/>
    <n v="1"/>
    <n v="0.4"/>
    <n v="1.8"/>
    <n v="4.4000000000000004"/>
    <n v="1"/>
    <n v="0.72"/>
  </r>
  <r>
    <n v="1"/>
    <s v="level 1"/>
    <s v="EAST"/>
    <x v="118"/>
    <m/>
    <m/>
    <m/>
    <m/>
    <x v="1"/>
    <x v="4"/>
    <x v="0"/>
    <m/>
    <m/>
    <m/>
    <n v="400"/>
    <n v="1800"/>
    <n v="1"/>
    <n v="0.4"/>
    <n v="1.8"/>
    <n v="4.4000000000000004"/>
    <n v="1"/>
    <n v="0.72"/>
  </r>
  <r>
    <n v="1"/>
    <s v="level 1"/>
    <s v="EAST"/>
    <x v="119"/>
    <m/>
    <m/>
    <m/>
    <m/>
    <x v="1"/>
    <x v="4"/>
    <x v="0"/>
    <m/>
    <m/>
    <m/>
    <n v="400"/>
    <n v="1800"/>
    <n v="1"/>
    <n v="0.4"/>
    <n v="1.8"/>
    <n v="4.4000000000000004"/>
    <n v="1"/>
    <n v="0.72"/>
  </r>
  <r>
    <n v="1"/>
    <s v="level 1"/>
    <s v="EAST"/>
    <x v="120"/>
    <m/>
    <m/>
    <m/>
    <m/>
    <x v="1"/>
    <x v="4"/>
    <x v="0"/>
    <m/>
    <m/>
    <m/>
    <n v="400"/>
    <n v="1800"/>
    <n v="1"/>
    <n v="0.4"/>
    <n v="1.8"/>
    <n v="4.4000000000000004"/>
    <n v="1"/>
    <n v="0.72"/>
  </r>
  <r>
    <n v="1"/>
    <s v="level 1"/>
    <s v="EAST"/>
    <x v="121"/>
    <m/>
    <m/>
    <m/>
    <m/>
    <x v="1"/>
    <x v="4"/>
    <x v="10"/>
    <m/>
    <m/>
    <s v="L0-02"/>
    <n v="450"/>
    <n v="1350"/>
    <n v="1"/>
    <n v="0.45"/>
    <n v="1.35"/>
    <n v="3.6"/>
    <n v="1"/>
    <n v="0.60750000000000004"/>
  </r>
  <r>
    <n v="1"/>
    <s v="level 1"/>
    <s v="EAST"/>
    <x v="122"/>
    <m/>
    <m/>
    <m/>
    <m/>
    <x v="1"/>
    <x v="4"/>
    <x v="0"/>
    <m/>
    <m/>
    <m/>
    <n v="450"/>
    <n v="1672.5"/>
    <n v="1"/>
    <n v="0.45"/>
    <n v="1.6725000000000001"/>
    <n v="4.2450000000000001"/>
    <n v="1"/>
    <n v="0.75262499999999999"/>
  </r>
  <r>
    <n v="1"/>
    <s v="level 1"/>
    <s v="EAST"/>
    <x v="123"/>
    <m/>
    <m/>
    <m/>
    <m/>
    <x v="1"/>
    <x v="4"/>
    <x v="0"/>
    <m/>
    <m/>
    <m/>
    <n v="450"/>
    <n v="1672.5"/>
    <n v="1"/>
    <n v="0.45"/>
    <n v="1.6725000000000001"/>
    <n v="4.2450000000000001"/>
    <n v="1"/>
    <n v="0.75262499999999999"/>
  </r>
  <r>
    <n v="1"/>
    <s v="level 1"/>
    <s v="EAST"/>
    <x v="124"/>
    <m/>
    <m/>
    <m/>
    <m/>
    <x v="1"/>
    <x v="4"/>
    <x v="0"/>
    <m/>
    <m/>
    <m/>
    <n v="215"/>
    <n v="1764.1428571428571"/>
    <n v="1"/>
    <n v="0.215"/>
    <n v="1.764142857142857"/>
    <n v="3.9582857142857142"/>
    <n v="1"/>
    <n v="0.37929071428571426"/>
  </r>
  <r>
    <n v="1"/>
    <s v="level 1"/>
    <s v="EAST"/>
    <x v="125"/>
    <m/>
    <m/>
    <m/>
    <m/>
    <x v="1"/>
    <x v="4"/>
    <x v="0"/>
    <m/>
    <m/>
    <m/>
    <n v="215"/>
    <n v="1764.1428571428571"/>
    <n v="1"/>
    <n v="0.215"/>
    <n v="1.764142857142857"/>
    <n v="3.9582857142857142"/>
    <n v="1"/>
    <n v="0.37929071428571426"/>
  </r>
  <r>
    <n v="1"/>
    <s v="level 1"/>
    <s v="EAST"/>
    <x v="126"/>
    <m/>
    <m/>
    <m/>
    <m/>
    <x v="1"/>
    <x v="4"/>
    <x v="0"/>
    <m/>
    <m/>
    <m/>
    <n v="215"/>
    <n v="1764.1428571428571"/>
    <n v="1"/>
    <n v="0.215"/>
    <n v="1.764142857142857"/>
    <n v="3.9582857142857142"/>
    <n v="1"/>
    <n v="0.37929071428571426"/>
  </r>
  <r>
    <n v="1"/>
    <s v="level 1"/>
    <s v="EAST"/>
    <x v="127"/>
    <m/>
    <m/>
    <m/>
    <m/>
    <x v="1"/>
    <x v="4"/>
    <x v="0"/>
    <m/>
    <m/>
    <m/>
    <n v="215"/>
    <n v="1764.1428571428571"/>
    <n v="1"/>
    <n v="0.215"/>
    <n v="1.764142857142857"/>
    <n v="3.9582857142857142"/>
    <n v="1"/>
    <n v="0.37929071428571426"/>
  </r>
  <r>
    <n v="1"/>
    <s v="level 1"/>
    <s v="EAST"/>
    <x v="128"/>
    <m/>
    <m/>
    <m/>
    <m/>
    <x v="1"/>
    <x v="4"/>
    <x v="0"/>
    <m/>
    <m/>
    <m/>
    <n v="215"/>
    <n v="1764.1428571428571"/>
    <n v="1"/>
    <n v="0.215"/>
    <n v="1.764142857142857"/>
    <n v="3.9582857142857142"/>
    <n v="1"/>
    <n v="0.37929071428571426"/>
  </r>
  <r>
    <n v="1"/>
    <s v="level 1"/>
    <s v="EAST"/>
    <x v="129"/>
    <m/>
    <m/>
    <m/>
    <m/>
    <x v="1"/>
    <x v="4"/>
    <x v="0"/>
    <m/>
    <m/>
    <m/>
    <n v="215"/>
    <n v="1764.1428571428571"/>
    <n v="1"/>
    <n v="0.215"/>
    <n v="1.764142857142857"/>
    <n v="3.9582857142857142"/>
    <n v="1"/>
    <n v="0.37929071428571426"/>
  </r>
  <r>
    <n v="1"/>
    <s v="level 1"/>
    <s v="EAST"/>
    <x v="130"/>
    <m/>
    <m/>
    <m/>
    <m/>
    <x v="1"/>
    <x v="4"/>
    <x v="0"/>
    <m/>
    <m/>
    <m/>
    <n v="215"/>
    <n v="1764.1428571428571"/>
    <n v="1"/>
    <n v="0.215"/>
    <n v="1.764142857142857"/>
    <n v="3.9582857142857142"/>
    <n v="1"/>
    <n v="0.37929071428571426"/>
  </r>
  <r>
    <n v="1"/>
    <s v="PARAPET"/>
    <s v="EAST"/>
    <x v="131"/>
    <m/>
    <m/>
    <m/>
    <m/>
    <x v="1"/>
    <x v="4"/>
    <x v="0"/>
    <m/>
    <m/>
    <m/>
    <n v="900"/>
    <n v="1768.2926829268292"/>
    <n v="1"/>
    <n v="0.9"/>
    <n v="1.7682926829268293"/>
    <n v="5.3365853658536579"/>
    <n v="1"/>
    <n v="1.5914634146341464"/>
  </r>
  <r>
    <n v="1"/>
    <s v="PARAPET"/>
    <s v="EAST"/>
    <x v="132"/>
    <m/>
    <m/>
    <m/>
    <m/>
    <x v="1"/>
    <x v="4"/>
    <x v="0"/>
    <m/>
    <m/>
    <m/>
    <n v="900"/>
    <n v="1768.2926829268292"/>
    <n v="1"/>
    <n v="0.9"/>
    <n v="1.7682926829268293"/>
    <n v="5.3365853658536579"/>
    <n v="1"/>
    <n v="1.5914634146341464"/>
  </r>
  <r>
    <n v="1"/>
    <s v="PARAPET"/>
    <s v="EAST"/>
    <x v="133"/>
    <m/>
    <m/>
    <m/>
    <m/>
    <x v="1"/>
    <x v="4"/>
    <x v="0"/>
    <m/>
    <m/>
    <m/>
    <n v="900"/>
    <n v="1768.2926829268292"/>
    <n v="1"/>
    <n v="0.9"/>
    <n v="1.7682926829268293"/>
    <n v="5.3365853658536579"/>
    <n v="1"/>
    <n v="1.5914634146341464"/>
  </r>
  <r>
    <n v="1"/>
    <s v="PARAPET"/>
    <s v="EAST"/>
    <x v="134"/>
    <m/>
    <m/>
    <m/>
    <m/>
    <x v="1"/>
    <x v="4"/>
    <x v="0"/>
    <m/>
    <m/>
    <m/>
    <n v="900"/>
    <n v="1768.2926829268292"/>
    <n v="1"/>
    <n v="0.9"/>
    <n v="1.7682926829268293"/>
    <n v="5.3365853658536579"/>
    <n v="1"/>
    <n v="1.5914634146341464"/>
  </r>
  <r>
    <n v="1"/>
    <s v="PARAPET"/>
    <s v="EAST"/>
    <x v="135"/>
    <m/>
    <m/>
    <m/>
    <m/>
    <x v="1"/>
    <x v="4"/>
    <x v="0"/>
    <m/>
    <m/>
    <m/>
    <n v="900"/>
    <n v="1768.2926829268292"/>
    <n v="1"/>
    <n v="0.9"/>
    <n v="1.7682926829268293"/>
    <n v="5.3365853658536579"/>
    <n v="1"/>
    <n v="1.5914634146341464"/>
  </r>
  <r>
    <n v="1"/>
    <s v="PARAPET"/>
    <s v="EAST"/>
    <x v="136"/>
    <m/>
    <m/>
    <m/>
    <m/>
    <x v="1"/>
    <x v="4"/>
    <x v="0"/>
    <m/>
    <m/>
    <m/>
    <n v="900"/>
    <n v="1768.2926829268292"/>
    <n v="1"/>
    <n v="0.9"/>
    <n v="1.7682926829268293"/>
    <n v="5.3365853658536579"/>
    <n v="1"/>
    <n v="1.5914634146341464"/>
  </r>
  <r>
    <n v="1"/>
    <s v="PARAPET"/>
    <s v="EAST"/>
    <x v="137"/>
    <m/>
    <m/>
    <m/>
    <m/>
    <x v="1"/>
    <x v="4"/>
    <x v="0"/>
    <m/>
    <m/>
    <m/>
    <n v="900"/>
    <n v="1768.2926829268292"/>
    <n v="1"/>
    <n v="0.9"/>
    <n v="1.7682926829268293"/>
    <n v="5.3365853658536579"/>
    <n v="1"/>
    <n v="1.5914634146341464"/>
  </r>
  <r>
    <n v="1"/>
    <s v="PARAPET"/>
    <s v="EAST"/>
    <x v="138"/>
    <m/>
    <m/>
    <m/>
    <m/>
    <x v="1"/>
    <x v="4"/>
    <x v="0"/>
    <m/>
    <m/>
    <m/>
    <n v="900"/>
    <n v="1768.2926829268292"/>
    <n v="1"/>
    <n v="0.9"/>
    <n v="1.7682926829268293"/>
    <n v="5.3365853658536579"/>
    <n v="1"/>
    <n v="1.5914634146341464"/>
  </r>
  <r>
    <n v="1"/>
    <s v="PARAPET"/>
    <s v="EAST"/>
    <x v="139"/>
    <m/>
    <m/>
    <m/>
    <m/>
    <x v="1"/>
    <x v="4"/>
    <x v="0"/>
    <m/>
    <m/>
    <m/>
    <n v="900"/>
    <n v="1768.2926829268292"/>
    <n v="1"/>
    <n v="0.9"/>
    <n v="1.7682926829268293"/>
    <n v="5.3365853658536579"/>
    <n v="1"/>
    <n v="1.5914634146341464"/>
  </r>
  <r>
    <n v="1"/>
    <s v="PARAPET"/>
    <s v="EAST"/>
    <x v="140"/>
    <m/>
    <m/>
    <m/>
    <m/>
    <x v="1"/>
    <x v="4"/>
    <x v="0"/>
    <m/>
    <m/>
    <m/>
    <n v="900"/>
    <n v="1768.2926829268292"/>
    <n v="1"/>
    <n v="0.9"/>
    <n v="1.7682926829268293"/>
    <n v="5.3365853658536579"/>
    <n v="1"/>
    <n v="1.5914634146341464"/>
  </r>
  <r>
    <n v="1"/>
    <s v="PARAPET"/>
    <s v="EAST"/>
    <x v="141"/>
    <m/>
    <m/>
    <m/>
    <m/>
    <x v="1"/>
    <x v="4"/>
    <x v="0"/>
    <m/>
    <m/>
    <m/>
    <n v="900"/>
    <n v="1768.2926829268292"/>
    <n v="1"/>
    <n v="0.9"/>
    <n v="1.7682926829268293"/>
    <n v="5.3365853658536579"/>
    <n v="1"/>
    <n v="1.5914634146341464"/>
  </r>
  <r>
    <n v="1"/>
    <s v="PARAPET"/>
    <s v="EAST"/>
    <x v="142"/>
    <m/>
    <m/>
    <m/>
    <m/>
    <x v="1"/>
    <x v="4"/>
    <x v="0"/>
    <m/>
    <m/>
    <m/>
    <n v="900"/>
    <n v="1768.2926829268292"/>
    <n v="1"/>
    <n v="0.9"/>
    <n v="1.7682926829268293"/>
    <n v="5.3365853658536579"/>
    <n v="1"/>
    <n v="1.5914634146341464"/>
  </r>
  <r>
    <n v="1"/>
    <s v="PARAPET"/>
    <s v="EAST"/>
    <x v="143"/>
    <m/>
    <m/>
    <m/>
    <m/>
    <x v="1"/>
    <x v="4"/>
    <x v="0"/>
    <m/>
    <m/>
    <m/>
    <n v="900"/>
    <n v="1768.2926829268292"/>
    <n v="1"/>
    <n v="0.9"/>
    <n v="1.7682926829268293"/>
    <n v="5.3365853658536579"/>
    <n v="1"/>
    <n v="1.5914634146341464"/>
  </r>
  <r>
    <n v="1"/>
    <s v="PARAPET"/>
    <s v="EAST"/>
    <x v="144"/>
    <m/>
    <m/>
    <m/>
    <m/>
    <x v="1"/>
    <x v="4"/>
    <x v="0"/>
    <m/>
    <m/>
    <m/>
    <n v="900"/>
    <n v="1768.2926829268292"/>
    <n v="1"/>
    <n v="0.9"/>
    <n v="1.7682926829268293"/>
    <n v="5.3365853658536579"/>
    <n v="1"/>
    <n v="1.5914634146341464"/>
  </r>
  <r>
    <n v="1"/>
    <s v="PARAPET"/>
    <s v="EAST"/>
    <x v="145"/>
    <m/>
    <m/>
    <m/>
    <m/>
    <x v="1"/>
    <x v="4"/>
    <x v="0"/>
    <m/>
    <m/>
    <m/>
    <n v="900"/>
    <n v="1768.2926829268292"/>
    <n v="1"/>
    <n v="0.9"/>
    <n v="1.7682926829268293"/>
    <n v="5.3365853658536579"/>
    <n v="1"/>
    <n v="1.5914634146341464"/>
  </r>
  <r>
    <n v="1"/>
    <s v="PARAPET"/>
    <s v="EAST"/>
    <x v="146"/>
    <m/>
    <m/>
    <m/>
    <m/>
    <x v="1"/>
    <x v="4"/>
    <x v="0"/>
    <m/>
    <m/>
    <m/>
    <n v="900"/>
    <n v="1768.2926829268292"/>
    <n v="1"/>
    <n v="0.9"/>
    <n v="1.7682926829268293"/>
    <n v="5.3365853658536579"/>
    <n v="1"/>
    <n v="1.5914634146341464"/>
  </r>
  <r>
    <n v="1"/>
    <s v="PARAPET"/>
    <s v="EAST"/>
    <x v="147"/>
    <m/>
    <m/>
    <m/>
    <m/>
    <x v="1"/>
    <x v="4"/>
    <x v="0"/>
    <m/>
    <m/>
    <m/>
    <n v="900"/>
    <n v="1768.2926829268292"/>
    <n v="1"/>
    <n v="0.9"/>
    <n v="1.7682926829268293"/>
    <n v="5.3365853658536579"/>
    <n v="1"/>
    <n v="1.5914634146341464"/>
  </r>
  <r>
    <n v="1"/>
    <s v="PARAPET"/>
    <s v="EAST"/>
    <x v="148"/>
    <m/>
    <m/>
    <m/>
    <m/>
    <x v="1"/>
    <x v="4"/>
    <x v="0"/>
    <m/>
    <m/>
    <m/>
    <n v="900"/>
    <n v="1768.2926829268292"/>
    <n v="1"/>
    <n v="0.9"/>
    <n v="1.7682926829268293"/>
    <n v="5.3365853658536579"/>
    <n v="1"/>
    <n v="1.5914634146341464"/>
  </r>
  <r>
    <n v="1"/>
    <s v="PARAPET"/>
    <s v="EAST"/>
    <x v="149"/>
    <m/>
    <m/>
    <m/>
    <m/>
    <x v="1"/>
    <x v="4"/>
    <x v="0"/>
    <m/>
    <m/>
    <m/>
    <n v="900"/>
    <n v="1768.2926829268292"/>
    <n v="1"/>
    <n v="0.9"/>
    <n v="1.7682926829268293"/>
    <n v="5.3365853658536579"/>
    <n v="1"/>
    <n v="1.5914634146341464"/>
  </r>
  <r>
    <n v="1"/>
    <s v="PARAPET"/>
    <s v="EAST"/>
    <x v="150"/>
    <m/>
    <m/>
    <m/>
    <m/>
    <x v="1"/>
    <x v="4"/>
    <x v="0"/>
    <m/>
    <m/>
    <m/>
    <n v="900"/>
    <n v="1768.2926829268292"/>
    <n v="1"/>
    <n v="0.9"/>
    <n v="1.7682926829268293"/>
    <n v="5.3365853658536579"/>
    <n v="1"/>
    <n v="1.5914634146341464"/>
  </r>
  <r>
    <n v="1"/>
    <s v="PARAPET"/>
    <s v="EAST"/>
    <x v="151"/>
    <m/>
    <m/>
    <m/>
    <m/>
    <x v="1"/>
    <x v="4"/>
    <x v="0"/>
    <m/>
    <m/>
    <m/>
    <n v="900"/>
    <n v="1768.2926829268292"/>
    <n v="1"/>
    <n v="0.9"/>
    <n v="1.7682926829268293"/>
    <n v="5.3365853658536579"/>
    <n v="1"/>
    <n v="1.5914634146341464"/>
  </r>
  <r>
    <n v="1"/>
    <s v="PARAPET"/>
    <s v="EAST"/>
    <x v="152"/>
    <m/>
    <m/>
    <m/>
    <m/>
    <x v="1"/>
    <x v="4"/>
    <x v="0"/>
    <m/>
    <m/>
    <m/>
    <n v="900"/>
    <n v="1768.2926829268292"/>
    <n v="1"/>
    <n v="0.9"/>
    <n v="1.7682926829268293"/>
    <n v="5.3365853658536579"/>
    <n v="1"/>
    <n v="1.5914634146341464"/>
  </r>
  <r>
    <n v="1"/>
    <s v="PARAPET"/>
    <s v="EAST"/>
    <x v="153"/>
    <m/>
    <m/>
    <m/>
    <m/>
    <x v="1"/>
    <x v="4"/>
    <x v="0"/>
    <m/>
    <m/>
    <m/>
    <n v="900"/>
    <n v="1768.2926829268292"/>
    <n v="1"/>
    <n v="0.9"/>
    <n v="1.7682926829268293"/>
    <n v="5.3365853658536579"/>
    <n v="1"/>
    <n v="1.5914634146341464"/>
  </r>
  <r>
    <n v="1"/>
    <s v="PARAPET"/>
    <s v="EAST"/>
    <x v="154"/>
    <m/>
    <m/>
    <m/>
    <m/>
    <x v="1"/>
    <x v="4"/>
    <x v="0"/>
    <m/>
    <m/>
    <m/>
    <n v="900"/>
    <n v="1768.2926829268292"/>
    <n v="1"/>
    <n v="0.9"/>
    <n v="1.7682926829268293"/>
    <n v="5.3365853658536579"/>
    <n v="1"/>
    <n v="1.5914634146341464"/>
  </r>
  <r>
    <n v="1"/>
    <s v="PARAPET"/>
    <s v="EAST"/>
    <x v="155"/>
    <m/>
    <m/>
    <m/>
    <m/>
    <x v="1"/>
    <x v="4"/>
    <x v="0"/>
    <m/>
    <m/>
    <m/>
    <n v="900"/>
    <n v="1768.2926829268292"/>
    <n v="1"/>
    <n v="0.9"/>
    <n v="1.7682926829268293"/>
    <n v="5.3365853658536579"/>
    <n v="1"/>
    <n v="1.5914634146341464"/>
  </r>
  <r>
    <n v="1"/>
    <s v="PARAPET"/>
    <s v="EAST"/>
    <x v="156"/>
    <m/>
    <m/>
    <m/>
    <m/>
    <x v="1"/>
    <x v="4"/>
    <x v="0"/>
    <m/>
    <m/>
    <m/>
    <n v="900"/>
    <n v="1768.2926829268292"/>
    <n v="1"/>
    <n v="0.9"/>
    <n v="1.7682926829268293"/>
    <n v="5.3365853658536579"/>
    <n v="1"/>
    <n v="1.5914634146341464"/>
  </r>
  <r>
    <n v="1"/>
    <s v="PARAPET"/>
    <s v="EAST"/>
    <x v="157"/>
    <m/>
    <m/>
    <m/>
    <m/>
    <x v="1"/>
    <x v="4"/>
    <x v="0"/>
    <m/>
    <m/>
    <m/>
    <n v="900"/>
    <n v="1768.2926829268292"/>
    <n v="1"/>
    <n v="0.9"/>
    <n v="1.7682926829268293"/>
    <n v="5.3365853658536579"/>
    <n v="1"/>
    <n v="1.5914634146341464"/>
  </r>
  <r>
    <n v="1"/>
    <s v="PARAPET"/>
    <s v="EAST"/>
    <x v="158"/>
    <m/>
    <m/>
    <m/>
    <m/>
    <x v="1"/>
    <x v="4"/>
    <x v="0"/>
    <m/>
    <m/>
    <m/>
    <n v="900"/>
    <n v="1768.2926829268292"/>
    <n v="1"/>
    <n v="0.9"/>
    <n v="1.7682926829268293"/>
    <n v="5.3365853658536579"/>
    <n v="1"/>
    <n v="1.5914634146341464"/>
  </r>
  <r>
    <n v="1"/>
    <s v="PARAPET"/>
    <s v="EAST"/>
    <x v="159"/>
    <m/>
    <m/>
    <m/>
    <m/>
    <x v="1"/>
    <x v="4"/>
    <x v="0"/>
    <m/>
    <m/>
    <m/>
    <n v="900"/>
    <n v="1768.2926829268292"/>
    <n v="1"/>
    <n v="0.9"/>
    <n v="1.7682926829268293"/>
    <n v="5.3365853658536579"/>
    <n v="1"/>
    <n v="1.5914634146341464"/>
  </r>
  <r>
    <n v="1"/>
    <s v="PARAPET"/>
    <s v="EAST"/>
    <x v="160"/>
    <m/>
    <m/>
    <m/>
    <m/>
    <x v="1"/>
    <x v="4"/>
    <x v="0"/>
    <m/>
    <m/>
    <m/>
    <n v="900"/>
    <n v="1768.2926829268292"/>
    <n v="1"/>
    <n v="0.9"/>
    <n v="1.7682926829268293"/>
    <n v="5.3365853658536579"/>
    <n v="1"/>
    <n v="1.5914634146341464"/>
  </r>
  <r>
    <n v="1"/>
    <s v="PARAPET"/>
    <s v="EAST"/>
    <x v="161"/>
    <m/>
    <m/>
    <m/>
    <m/>
    <x v="1"/>
    <x v="4"/>
    <x v="0"/>
    <m/>
    <m/>
    <m/>
    <n v="900"/>
    <n v="1768.2926829268292"/>
    <n v="1"/>
    <n v="0.9"/>
    <n v="1.7682926829268293"/>
    <n v="5.3365853658536579"/>
    <n v="1"/>
    <n v="1.5914634146341464"/>
  </r>
  <r>
    <n v="1"/>
    <s v="PARAPET"/>
    <s v="EAST"/>
    <x v="162"/>
    <m/>
    <m/>
    <m/>
    <m/>
    <x v="1"/>
    <x v="4"/>
    <x v="0"/>
    <m/>
    <m/>
    <m/>
    <n v="900"/>
    <n v="1768.2926829268292"/>
    <n v="1"/>
    <n v="0.9"/>
    <n v="1.7682926829268293"/>
    <n v="5.3365853658536579"/>
    <n v="1"/>
    <n v="1.5914634146341464"/>
  </r>
  <r>
    <n v="1"/>
    <s v="PARAPET"/>
    <s v="EAST"/>
    <x v="163"/>
    <m/>
    <m/>
    <m/>
    <m/>
    <x v="1"/>
    <x v="4"/>
    <x v="0"/>
    <m/>
    <m/>
    <m/>
    <n v="900"/>
    <n v="1768.2926829268292"/>
    <n v="1"/>
    <n v="0.9"/>
    <n v="1.7682926829268293"/>
    <n v="5.3365853658536579"/>
    <n v="1"/>
    <n v="1.5914634146341464"/>
  </r>
  <r>
    <n v="1"/>
    <s v="PARAPET"/>
    <s v="EAST"/>
    <x v="164"/>
    <m/>
    <m/>
    <m/>
    <m/>
    <x v="1"/>
    <x v="4"/>
    <x v="0"/>
    <m/>
    <m/>
    <m/>
    <n v="900"/>
    <n v="1768.2926829268292"/>
    <n v="1"/>
    <n v="0.9"/>
    <n v="1.7682926829268293"/>
    <n v="5.3365853658536579"/>
    <n v="1"/>
    <n v="1.5914634146341464"/>
  </r>
  <r>
    <n v="1"/>
    <s v="PARAPET"/>
    <s v="EAST"/>
    <x v="165"/>
    <m/>
    <m/>
    <m/>
    <m/>
    <x v="1"/>
    <x v="4"/>
    <x v="0"/>
    <m/>
    <m/>
    <m/>
    <n v="900"/>
    <n v="1768.2926829268292"/>
    <n v="1"/>
    <n v="0.9"/>
    <n v="1.7682926829268293"/>
    <n v="5.3365853658536579"/>
    <n v="1"/>
    <n v="1.5914634146341464"/>
  </r>
  <r>
    <n v="1"/>
    <s v="PARAPET"/>
    <s v="EAST"/>
    <x v="166"/>
    <m/>
    <m/>
    <m/>
    <m/>
    <x v="1"/>
    <x v="4"/>
    <x v="0"/>
    <m/>
    <m/>
    <m/>
    <n v="900"/>
    <n v="1768.2926829268292"/>
    <n v="1"/>
    <n v="0.9"/>
    <n v="1.7682926829268293"/>
    <n v="5.3365853658536579"/>
    <n v="1"/>
    <n v="1.5914634146341464"/>
  </r>
  <r>
    <n v="1"/>
    <s v="PARAPET"/>
    <s v="EAST"/>
    <x v="167"/>
    <m/>
    <m/>
    <m/>
    <m/>
    <x v="1"/>
    <x v="4"/>
    <x v="0"/>
    <m/>
    <m/>
    <m/>
    <n v="900"/>
    <n v="1768.2926829268292"/>
    <n v="1"/>
    <n v="0.9"/>
    <n v="1.7682926829268293"/>
    <n v="5.3365853658536579"/>
    <n v="1"/>
    <n v="1.5914634146341464"/>
  </r>
  <r>
    <n v="1"/>
    <s v="PARAPET"/>
    <s v="EAST"/>
    <x v="168"/>
    <m/>
    <m/>
    <m/>
    <m/>
    <x v="1"/>
    <x v="4"/>
    <x v="0"/>
    <m/>
    <m/>
    <m/>
    <n v="900"/>
    <n v="1768.2926829268292"/>
    <n v="1"/>
    <n v="0.9"/>
    <n v="1.7682926829268293"/>
    <n v="5.3365853658536579"/>
    <n v="1"/>
    <n v="1.5914634146341464"/>
  </r>
  <r>
    <n v="1"/>
    <s v="PARAPET"/>
    <s v="EAST"/>
    <x v="169"/>
    <m/>
    <m/>
    <m/>
    <m/>
    <x v="1"/>
    <x v="4"/>
    <x v="0"/>
    <m/>
    <m/>
    <m/>
    <n v="900"/>
    <n v="1768.2926829268292"/>
    <n v="1"/>
    <n v="0.9"/>
    <n v="1.7682926829268293"/>
    <n v="5.3365853658536579"/>
    <n v="1"/>
    <n v="1.5914634146341464"/>
  </r>
  <r>
    <n v="1"/>
    <s v="PARAPET"/>
    <s v="EAST"/>
    <x v="170"/>
    <m/>
    <m/>
    <m/>
    <m/>
    <x v="1"/>
    <x v="4"/>
    <x v="0"/>
    <m/>
    <m/>
    <m/>
    <n v="900"/>
    <n v="1768.2926829268292"/>
    <n v="1"/>
    <n v="0.9"/>
    <n v="1.7682926829268293"/>
    <n v="5.3365853658536579"/>
    <n v="1"/>
    <n v="1.5914634146341464"/>
  </r>
  <r>
    <n v="1"/>
    <s v="PARAPET"/>
    <s v="EAST"/>
    <x v="171"/>
    <m/>
    <m/>
    <m/>
    <m/>
    <x v="1"/>
    <x v="4"/>
    <x v="0"/>
    <m/>
    <m/>
    <m/>
    <n v="900"/>
    <n v="1768.2926829268292"/>
    <n v="1"/>
    <n v="0.9"/>
    <n v="1.7682926829268293"/>
    <n v="5.3365853658536579"/>
    <n v="1"/>
    <n v="1.5914634146341464"/>
  </r>
  <r>
    <n v="1"/>
    <s v="Central Galary"/>
    <s v="EAST"/>
    <x v="172"/>
    <m/>
    <m/>
    <m/>
    <m/>
    <x v="1"/>
    <x v="4"/>
    <x v="0"/>
    <m/>
    <m/>
    <m/>
    <n v="695"/>
    <n v="605"/>
    <n v="1"/>
    <n v="0.69499999999999995"/>
    <n v="0.60499999999999998"/>
    <n v="2.6"/>
    <n v="1"/>
    <n v="0.42047499999999999"/>
  </r>
  <r>
    <n v="1"/>
    <s v="Central Galary"/>
    <s v="EAST"/>
    <x v="173"/>
    <m/>
    <m/>
    <m/>
    <m/>
    <x v="1"/>
    <x v="4"/>
    <x v="0"/>
    <m/>
    <m/>
    <m/>
    <n v="695"/>
    <n v="605"/>
    <n v="1"/>
    <n v="0.69499999999999995"/>
    <n v="0.60499999999999998"/>
    <n v="2.6"/>
    <n v="1"/>
    <n v="0.42047499999999999"/>
  </r>
  <r>
    <n v="1"/>
    <s v="Central Galary"/>
    <s v="EAST"/>
    <x v="174"/>
    <m/>
    <m/>
    <m/>
    <m/>
    <x v="1"/>
    <x v="4"/>
    <x v="0"/>
    <m/>
    <m/>
    <m/>
    <n v="695"/>
    <n v="605"/>
    <n v="1"/>
    <n v="0.69499999999999995"/>
    <n v="0.60499999999999998"/>
    <n v="2.6"/>
    <n v="1"/>
    <n v="0.42047499999999999"/>
  </r>
  <r>
    <n v="1"/>
    <s v="Central Galary"/>
    <s v="EAST"/>
    <x v="175"/>
    <m/>
    <m/>
    <m/>
    <m/>
    <x v="1"/>
    <x v="4"/>
    <x v="0"/>
    <m/>
    <m/>
    <m/>
    <n v="695"/>
    <n v="605"/>
    <n v="1"/>
    <n v="0.69499999999999995"/>
    <n v="0.60499999999999998"/>
    <n v="2.6"/>
    <n v="1"/>
    <n v="0.42047499999999999"/>
  </r>
  <r>
    <n v="1"/>
    <s v="Central Galary"/>
    <s v="EAST"/>
    <x v="176"/>
    <m/>
    <m/>
    <m/>
    <m/>
    <x v="1"/>
    <x v="4"/>
    <x v="0"/>
    <m/>
    <m/>
    <m/>
    <n v="695"/>
    <n v="605"/>
    <n v="1"/>
    <n v="0.69499999999999995"/>
    <n v="0.60499999999999998"/>
    <n v="2.6"/>
    <n v="1"/>
    <n v="0.42047499999999999"/>
  </r>
  <r>
    <n v="1"/>
    <s v="Central Galary"/>
    <s v="EAST"/>
    <x v="177"/>
    <m/>
    <m/>
    <m/>
    <m/>
    <x v="1"/>
    <x v="4"/>
    <x v="0"/>
    <m/>
    <m/>
    <m/>
    <n v="695"/>
    <n v="605"/>
    <n v="1"/>
    <n v="0.69499999999999995"/>
    <n v="0.60499999999999998"/>
    <n v="2.6"/>
    <n v="1"/>
    <n v="0.42047499999999999"/>
  </r>
  <r>
    <n v="1"/>
    <s v="Central Galary"/>
    <s v="EAST"/>
    <x v="178"/>
    <m/>
    <m/>
    <m/>
    <m/>
    <x v="1"/>
    <x v="4"/>
    <x v="0"/>
    <m/>
    <m/>
    <m/>
    <n v="695"/>
    <n v="605"/>
    <n v="1"/>
    <n v="0.69499999999999995"/>
    <n v="0.60499999999999998"/>
    <n v="2.6"/>
    <n v="1"/>
    <n v="0.42047499999999999"/>
  </r>
  <r>
    <n v="1"/>
    <s v="Central Galary"/>
    <s v="EAST"/>
    <x v="179"/>
    <m/>
    <m/>
    <m/>
    <m/>
    <x v="1"/>
    <x v="4"/>
    <x v="0"/>
    <m/>
    <m/>
    <m/>
    <n v="695"/>
    <n v="605"/>
    <n v="1"/>
    <n v="0.69499999999999995"/>
    <n v="0.60499999999999998"/>
    <n v="2.6"/>
    <n v="1"/>
    <n v="0.42047499999999999"/>
  </r>
  <r>
    <n v="1"/>
    <s v="Central Galary"/>
    <s v="EAST"/>
    <x v="180"/>
    <m/>
    <m/>
    <m/>
    <m/>
    <x v="1"/>
    <x v="4"/>
    <x v="0"/>
    <m/>
    <m/>
    <m/>
    <n v="695"/>
    <n v="605"/>
    <n v="1"/>
    <n v="0.69499999999999995"/>
    <n v="0.60499999999999998"/>
    <n v="2.6"/>
    <n v="1"/>
    <n v="0.42047499999999999"/>
  </r>
  <r>
    <n v="1"/>
    <s v="Central Galary"/>
    <s v="EAST"/>
    <x v="181"/>
    <m/>
    <m/>
    <m/>
    <m/>
    <x v="1"/>
    <x v="4"/>
    <x v="0"/>
    <m/>
    <m/>
    <m/>
    <n v="695"/>
    <n v="605"/>
    <n v="1"/>
    <n v="0.69499999999999995"/>
    <n v="0.60499999999999998"/>
    <n v="2.6"/>
    <n v="1"/>
    <n v="0.42047499999999999"/>
  </r>
  <r>
    <n v="1"/>
    <s v="Central Galary"/>
    <s v="EAST"/>
    <x v="182"/>
    <m/>
    <m/>
    <m/>
    <m/>
    <x v="1"/>
    <x v="4"/>
    <x v="0"/>
    <m/>
    <m/>
    <m/>
    <n v="695"/>
    <n v="605"/>
    <n v="1"/>
    <n v="0.69499999999999995"/>
    <n v="0.60499999999999998"/>
    <n v="2.6"/>
    <n v="1"/>
    <n v="0.42047499999999999"/>
  </r>
  <r>
    <n v="1"/>
    <s v="Central Galary"/>
    <s v="EAST"/>
    <x v="183"/>
    <m/>
    <m/>
    <m/>
    <m/>
    <x v="1"/>
    <x v="4"/>
    <x v="0"/>
    <m/>
    <m/>
    <m/>
    <n v="695"/>
    <n v="605"/>
    <n v="1"/>
    <n v="0.69499999999999995"/>
    <n v="0.60499999999999998"/>
    <n v="2.6"/>
    <n v="1"/>
    <n v="0.42047499999999999"/>
  </r>
  <r>
    <n v="1"/>
    <s v="Central Galary"/>
    <s v="EAST"/>
    <x v="184"/>
    <m/>
    <m/>
    <m/>
    <m/>
    <x v="1"/>
    <x v="4"/>
    <x v="0"/>
    <m/>
    <m/>
    <m/>
    <n v="695"/>
    <n v="605"/>
    <n v="1"/>
    <n v="0.69499999999999995"/>
    <n v="0.60499999999999998"/>
    <n v="2.6"/>
    <n v="1"/>
    <n v="0.42047499999999999"/>
  </r>
  <r>
    <n v="1"/>
    <s v="Central Galary"/>
    <s v="EAST"/>
    <x v="185"/>
    <m/>
    <m/>
    <m/>
    <m/>
    <x v="1"/>
    <x v="4"/>
    <x v="0"/>
    <m/>
    <m/>
    <m/>
    <n v="695"/>
    <n v="605"/>
    <n v="1"/>
    <n v="0.69499999999999995"/>
    <n v="0.60499999999999998"/>
    <n v="2.6"/>
    <n v="1"/>
    <n v="0.42047499999999999"/>
  </r>
  <r>
    <n v="1"/>
    <s v="Central Galary"/>
    <s v="EAST"/>
    <x v="186"/>
    <m/>
    <m/>
    <m/>
    <m/>
    <x v="1"/>
    <x v="4"/>
    <x v="0"/>
    <m/>
    <m/>
    <m/>
    <n v="695"/>
    <n v="605"/>
    <n v="1"/>
    <n v="0.69499999999999995"/>
    <n v="0.60499999999999998"/>
    <n v="2.6"/>
    <n v="1"/>
    <n v="0.42047499999999999"/>
  </r>
  <r>
    <n v="1"/>
    <s v="Central Galary"/>
    <s v="EAST"/>
    <x v="187"/>
    <m/>
    <m/>
    <m/>
    <m/>
    <x v="1"/>
    <x v="4"/>
    <x v="0"/>
    <m/>
    <m/>
    <m/>
    <n v="695"/>
    <n v="605"/>
    <n v="1"/>
    <n v="0.69499999999999995"/>
    <n v="0.60499999999999998"/>
    <n v="2.6"/>
    <n v="1"/>
    <n v="0.42047499999999999"/>
  </r>
  <r>
    <n v="1"/>
    <s v="Central Galary"/>
    <s v="EAST"/>
    <x v="188"/>
    <m/>
    <m/>
    <m/>
    <m/>
    <x v="1"/>
    <x v="4"/>
    <x v="0"/>
    <m/>
    <m/>
    <m/>
    <n v="695"/>
    <n v="605"/>
    <n v="1"/>
    <n v="0.69499999999999995"/>
    <n v="0.60499999999999998"/>
    <n v="2.6"/>
    <n v="1"/>
    <n v="0.42047499999999999"/>
  </r>
  <r>
    <n v="1"/>
    <s v="Central Galary"/>
    <s v="EAST"/>
    <x v="189"/>
    <m/>
    <m/>
    <m/>
    <m/>
    <x v="1"/>
    <x v="4"/>
    <x v="0"/>
    <m/>
    <m/>
    <m/>
    <n v="695"/>
    <n v="605"/>
    <n v="1"/>
    <n v="0.69499999999999995"/>
    <n v="0.60499999999999998"/>
    <n v="2.6"/>
    <n v="1"/>
    <n v="0.42047499999999999"/>
  </r>
  <r>
    <n v="1"/>
    <s v="Central Galary"/>
    <s v="EAST"/>
    <x v="190"/>
    <m/>
    <m/>
    <m/>
    <m/>
    <x v="1"/>
    <x v="4"/>
    <x v="0"/>
    <m/>
    <m/>
    <m/>
    <n v="695"/>
    <n v="605"/>
    <n v="1"/>
    <n v="0.69499999999999995"/>
    <n v="0.60499999999999998"/>
    <n v="2.6"/>
    <n v="1"/>
    <n v="0.42047499999999999"/>
  </r>
  <r>
    <n v="1"/>
    <s v="Central Galary"/>
    <s v="EAST"/>
    <x v="191"/>
    <m/>
    <m/>
    <m/>
    <m/>
    <x v="1"/>
    <x v="4"/>
    <x v="0"/>
    <m/>
    <m/>
    <m/>
    <n v="695"/>
    <n v="605"/>
    <n v="1"/>
    <n v="0.69499999999999995"/>
    <n v="0.60499999999999998"/>
    <n v="2.6"/>
    <n v="1"/>
    <n v="0.42047499999999999"/>
  </r>
  <r>
    <n v="1"/>
    <s v="Central Galary"/>
    <s v="EAST"/>
    <x v="192"/>
    <m/>
    <m/>
    <m/>
    <m/>
    <x v="1"/>
    <x v="4"/>
    <x v="0"/>
    <m/>
    <m/>
    <m/>
    <n v="695"/>
    <n v="605"/>
    <n v="1"/>
    <n v="0.69499999999999995"/>
    <n v="0.60499999999999998"/>
    <n v="2.6"/>
    <n v="1"/>
    <n v="0.42047499999999999"/>
  </r>
  <r>
    <n v="1"/>
    <s v="Central Galary"/>
    <s v="EAST"/>
    <x v="193"/>
    <m/>
    <m/>
    <m/>
    <m/>
    <x v="1"/>
    <x v="4"/>
    <x v="0"/>
    <m/>
    <m/>
    <m/>
    <n v="695"/>
    <n v="605"/>
    <n v="1"/>
    <n v="0.69499999999999995"/>
    <n v="0.60499999999999998"/>
    <n v="2.6"/>
    <n v="1"/>
    <n v="0.42047499999999999"/>
  </r>
  <r>
    <n v="1"/>
    <s v="Central Galary"/>
    <s v="EAST"/>
    <x v="194"/>
    <m/>
    <m/>
    <m/>
    <m/>
    <x v="1"/>
    <x v="4"/>
    <x v="0"/>
    <m/>
    <m/>
    <m/>
    <n v="695"/>
    <n v="605"/>
    <n v="1"/>
    <n v="0.69499999999999995"/>
    <n v="0.60499999999999998"/>
    <n v="2.6"/>
    <n v="1"/>
    <n v="0.42047499999999999"/>
  </r>
  <r>
    <n v="1"/>
    <s v="Central Galary"/>
    <s v="EAST"/>
    <x v="195"/>
    <m/>
    <m/>
    <m/>
    <m/>
    <x v="1"/>
    <x v="4"/>
    <x v="0"/>
    <m/>
    <m/>
    <m/>
    <n v="695"/>
    <n v="605"/>
    <n v="1"/>
    <n v="0.69499999999999995"/>
    <n v="0.60499999999999998"/>
    <n v="2.6"/>
    <n v="1"/>
    <n v="0.42047499999999999"/>
  </r>
  <r>
    <n v="1"/>
    <s v="Central Galary"/>
    <s v="EAST"/>
    <x v="196"/>
    <m/>
    <m/>
    <m/>
    <m/>
    <x v="1"/>
    <x v="4"/>
    <x v="0"/>
    <m/>
    <m/>
    <m/>
    <n v="695"/>
    <n v="605"/>
    <n v="1"/>
    <n v="0.69499999999999995"/>
    <n v="0.60499999999999998"/>
    <n v="2.6"/>
    <n v="1"/>
    <n v="0.42047499999999999"/>
  </r>
  <r>
    <n v="1"/>
    <s v="Central Galary"/>
    <s v="EAST"/>
    <x v="197"/>
    <m/>
    <m/>
    <m/>
    <m/>
    <x v="1"/>
    <x v="4"/>
    <x v="0"/>
    <m/>
    <m/>
    <m/>
    <n v="695"/>
    <n v="605"/>
    <n v="1"/>
    <n v="0.69499999999999995"/>
    <n v="0.60499999999999998"/>
    <n v="2.6"/>
    <n v="1"/>
    <n v="0.42047499999999999"/>
  </r>
  <r>
    <n v="1"/>
    <s v="Central Galary"/>
    <s v="EAST"/>
    <x v="198"/>
    <m/>
    <m/>
    <m/>
    <m/>
    <x v="1"/>
    <x v="4"/>
    <x v="0"/>
    <m/>
    <m/>
    <m/>
    <n v="695"/>
    <n v="605"/>
    <n v="1"/>
    <n v="0.69499999999999995"/>
    <n v="0.60499999999999998"/>
    <n v="2.6"/>
    <n v="1"/>
    <n v="0.42047499999999999"/>
  </r>
  <r>
    <n v="1"/>
    <s v="Central Galary"/>
    <s v="EAST"/>
    <x v="199"/>
    <m/>
    <m/>
    <m/>
    <m/>
    <x v="1"/>
    <x v="4"/>
    <x v="0"/>
    <m/>
    <m/>
    <m/>
    <n v="695"/>
    <n v="605"/>
    <n v="1"/>
    <n v="0.69499999999999995"/>
    <n v="0.60499999999999998"/>
    <n v="2.6"/>
    <n v="1"/>
    <n v="0.42047499999999999"/>
  </r>
  <r>
    <n v="1"/>
    <s v="Central Galary"/>
    <s v="EAST"/>
    <x v="200"/>
    <m/>
    <m/>
    <m/>
    <m/>
    <x v="1"/>
    <x v="4"/>
    <x v="0"/>
    <m/>
    <m/>
    <m/>
    <n v="695"/>
    <n v="605"/>
    <n v="1"/>
    <n v="0.69499999999999995"/>
    <n v="0.60499999999999998"/>
    <n v="2.6"/>
    <n v="1"/>
    <n v="0.42047499999999999"/>
  </r>
  <r>
    <n v="1"/>
    <s v="Central Galary"/>
    <s v="EAST"/>
    <x v="201"/>
    <m/>
    <m/>
    <m/>
    <m/>
    <x v="1"/>
    <x v="4"/>
    <x v="0"/>
    <m/>
    <m/>
    <m/>
    <n v="695"/>
    <n v="605"/>
    <n v="1"/>
    <n v="0.69499999999999995"/>
    <n v="0.60499999999999998"/>
    <n v="2.6"/>
    <n v="1"/>
    <n v="0.42047499999999999"/>
  </r>
  <r>
    <n v="1"/>
    <s v="Central Galary"/>
    <s v="EAST"/>
    <x v="202"/>
    <m/>
    <m/>
    <m/>
    <m/>
    <x v="1"/>
    <x v="4"/>
    <x v="0"/>
    <m/>
    <m/>
    <m/>
    <n v="695"/>
    <n v="605"/>
    <n v="1"/>
    <n v="0.69499999999999995"/>
    <n v="0.60499999999999998"/>
    <n v="2.6"/>
    <n v="1"/>
    <n v="0.42047499999999999"/>
  </r>
  <r>
    <n v="1"/>
    <s v="Central Galary"/>
    <s v="EAST"/>
    <x v="203"/>
    <m/>
    <m/>
    <m/>
    <m/>
    <x v="1"/>
    <x v="4"/>
    <x v="0"/>
    <m/>
    <m/>
    <m/>
    <n v="695"/>
    <n v="605"/>
    <n v="1"/>
    <n v="0.69499999999999995"/>
    <n v="0.60499999999999998"/>
    <n v="2.6"/>
    <n v="1"/>
    <n v="0.42047499999999999"/>
  </r>
  <r>
    <n v="1"/>
    <s v="Central Galary"/>
    <s v="EAST"/>
    <x v="204"/>
    <m/>
    <m/>
    <m/>
    <m/>
    <x v="1"/>
    <x v="4"/>
    <x v="0"/>
    <m/>
    <m/>
    <m/>
    <n v="695"/>
    <n v="605"/>
    <n v="1"/>
    <n v="0.69499999999999995"/>
    <n v="0.60499999999999998"/>
    <n v="2.6"/>
    <n v="1"/>
    <n v="0.42047499999999999"/>
  </r>
  <r>
    <n v="1"/>
    <s v="Central Galary"/>
    <s v="EAST"/>
    <x v="205"/>
    <m/>
    <m/>
    <m/>
    <m/>
    <x v="1"/>
    <x v="4"/>
    <x v="0"/>
    <m/>
    <m/>
    <m/>
    <n v="695"/>
    <n v="605"/>
    <n v="1"/>
    <n v="0.69499999999999995"/>
    <n v="0.60499999999999998"/>
    <n v="2.6"/>
    <n v="1"/>
    <n v="0.42047499999999999"/>
  </r>
  <r>
    <n v="1"/>
    <s v="Central Galary"/>
    <s v="EAST"/>
    <x v="206"/>
    <m/>
    <m/>
    <m/>
    <m/>
    <x v="1"/>
    <x v="4"/>
    <x v="0"/>
    <m/>
    <m/>
    <m/>
    <n v="695"/>
    <n v="605"/>
    <n v="1"/>
    <n v="0.69499999999999995"/>
    <n v="0.60499999999999998"/>
    <n v="2.6"/>
    <n v="1"/>
    <n v="0.42047499999999999"/>
  </r>
  <r>
    <n v="1"/>
    <s v="Central Galary"/>
    <s v="EAST"/>
    <x v="207"/>
    <m/>
    <m/>
    <m/>
    <m/>
    <x v="1"/>
    <x v="4"/>
    <x v="0"/>
    <m/>
    <m/>
    <m/>
    <n v="695"/>
    <n v="605"/>
    <n v="1"/>
    <n v="0.69499999999999995"/>
    <n v="0.60499999999999998"/>
    <n v="2.6"/>
    <n v="1"/>
    <n v="0.42047499999999999"/>
  </r>
  <r>
    <n v="1"/>
    <s v="Central Galary"/>
    <s v="EAST"/>
    <x v="208"/>
    <m/>
    <m/>
    <m/>
    <m/>
    <x v="1"/>
    <x v="4"/>
    <x v="0"/>
    <m/>
    <m/>
    <m/>
    <n v="725"/>
    <n v="300"/>
    <n v="1"/>
    <n v="0.72499999999999998"/>
    <n v="0.3"/>
    <n v="2.0499999999999998"/>
    <n v="1"/>
    <n v="0.2175"/>
  </r>
  <r>
    <n v="1"/>
    <s v="level 1"/>
    <s v="North"/>
    <x v="209"/>
    <m/>
    <m/>
    <m/>
    <m/>
    <x v="1"/>
    <x v="3"/>
    <x v="0"/>
    <m/>
    <m/>
    <m/>
    <n v="1300"/>
    <n v="2700"/>
    <n v="1"/>
    <n v="1.3"/>
    <n v="2.7"/>
    <n v="8"/>
    <n v="1"/>
    <n v="3.51"/>
  </r>
  <r>
    <n v="1"/>
    <s v="level 1"/>
    <s v="North"/>
    <x v="210"/>
    <m/>
    <m/>
    <m/>
    <m/>
    <x v="1"/>
    <x v="3"/>
    <x v="0"/>
    <m/>
    <m/>
    <m/>
    <n v="1300"/>
    <n v="2700"/>
    <n v="1"/>
    <n v="1.3"/>
    <n v="2.7"/>
    <n v="8"/>
    <n v="1"/>
    <n v="3.51"/>
  </r>
  <r>
    <n v="1"/>
    <s v="level 1"/>
    <s v="North"/>
    <x v="211"/>
    <m/>
    <m/>
    <m/>
    <m/>
    <x v="1"/>
    <x v="3"/>
    <x v="0"/>
    <m/>
    <m/>
    <m/>
    <n v="1300"/>
    <n v="2700"/>
    <n v="1"/>
    <n v="1.3"/>
    <n v="2.7"/>
    <n v="8"/>
    <n v="1"/>
    <n v="3.51"/>
  </r>
  <r>
    <n v="1"/>
    <s v="level 1"/>
    <s v="North"/>
    <x v="212"/>
    <m/>
    <m/>
    <m/>
    <m/>
    <x v="1"/>
    <x v="3"/>
    <x v="0"/>
    <m/>
    <m/>
    <m/>
    <n v="1300"/>
    <n v="2700"/>
    <n v="1"/>
    <n v="1.3"/>
    <n v="2.7"/>
    <n v="8"/>
    <n v="1"/>
    <n v="3.51"/>
  </r>
  <r>
    <n v="1"/>
    <s v="level 1"/>
    <s v="North"/>
    <x v="213"/>
    <m/>
    <m/>
    <m/>
    <m/>
    <x v="1"/>
    <x v="3"/>
    <x v="0"/>
    <m/>
    <m/>
    <m/>
    <n v="1300"/>
    <n v="2700"/>
    <n v="1"/>
    <n v="1.3"/>
    <n v="2.7"/>
    <n v="8"/>
    <n v="1"/>
    <n v="3.51"/>
  </r>
  <r>
    <n v="1"/>
    <s v="level 1"/>
    <s v="North"/>
    <x v="214"/>
    <m/>
    <m/>
    <m/>
    <m/>
    <x v="1"/>
    <x v="3"/>
    <x v="0"/>
    <m/>
    <m/>
    <m/>
    <n v="1300"/>
    <n v="2700"/>
    <n v="1"/>
    <n v="1.3"/>
    <n v="2.7"/>
    <n v="8"/>
    <n v="1"/>
    <n v="3.51"/>
  </r>
  <r>
    <n v="1"/>
    <s v="level 1"/>
    <s v="North"/>
    <x v="215"/>
    <m/>
    <m/>
    <m/>
    <m/>
    <x v="1"/>
    <x v="3"/>
    <x v="0"/>
    <m/>
    <m/>
    <m/>
    <n v="1300"/>
    <n v="2700"/>
    <n v="1"/>
    <n v="1.3"/>
    <n v="2.7"/>
    <n v="8"/>
    <n v="1"/>
    <n v="3.51"/>
  </r>
  <r>
    <n v="1"/>
    <s v="level 1"/>
    <s v="North"/>
    <x v="216"/>
    <m/>
    <m/>
    <m/>
    <m/>
    <x v="1"/>
    <x v="3"/>
    <x v="0"/>
    <m/>
    <m/>
    <m/>
    <n v="1300"/>
    <n v="2700"/>
    <n v="1"/>
    <n v="1.3"/>
    <n v="2.7"/>
    <n v="8"/>
    <n v="1"/>
    <n v="3.51"/>
  </r>
  <r>
    <n v="1"/>
    <s v="level 1"/>
    <s v="North"/>
    <x v="217"/>
    <m/>
    <m/>
    <m/>
    <m/>
    <x v="1"/>
    <x v="3"/>
    <x v="0"/>
    <m/>
    <m/>
    <m/>
    <n v="2690"/>
    <n v="2700"/>
    <n v="1"/>
    <n v="2.69"/>
    <n v="2.7"/>
    <n v="10.78"/>
    <n v="1"/>
    <n v="7.2629999999999999"/>
  </r>
  <r>
    <n v="1"/>
    <s v="level 1"/>
    <s v="North"/>
    <x v="218"/>
    <m/>
    <m/>
    <m/>
    <m/>
    <x v="1"/>
    <x v="3"/>
    <x v="0"/>
    <m/>
    <m/>
    <m/>
    <n v="2690"/>
    <n v="2700"/>
    <n v="1"/>
    <n v="2.69"/>
    <n v="2.7"/>
    <n v="10.78"/>
    <n v="1"/>
    <n v="7.2629999999999999"/>
  </r>
  <r>
    <n v="1"/>
    <s v="level 1"/>
    <s v="North"/>
    <x v="219"/>
    <m/>
    <m/>
    <m/>
    <m/>
    <x v="1"/>
    <x v="3"/>
    <x v="0"/>
    <m/>
    <m/>
    <m/>
    <n v="2690"/>
    <n v="2700"/>
    <n v="1"/>
    <n v="2.69"/>
    <n v="2.7"/>
    <n v="10.78"/>
    <n v="1"/>
    <n v="7.2629999999999999"/>
  </r>
  <r>
    <n v="1"/>
    <s v="level 1"/>
    <s v="North"/>
    <x v="220"/>
    <m/>
    <m/>
    <m/>
    <m/>
    <x v="1"/>
    <x v="3"/>
    <x v="0"/>
    <m/>
    <m/>
    <m/>
    <n v="2690"/>
    <n v="2700"/>
    <n v="1"/>
    <n v="2.69"/>
    <n v="2.7"/>
    <n v="10.78"/>
    <n v="1"/>
    <n v="7.2629999999999999"/>
  </r>
  <r>
    <n v="1"/>
    <s v="level 1"/>
    <s v="North"/>
    <x v="221"/>
    <m/>
    <m/>
    <m/>
    <m/>
    <x v="1"/>
    <x v="3"/>
    <x v="0"/>
    <m/>
    <m/>
    <m/>
    <n v="2690"/>
    <n v="2700"/>
    <n v="1"/>
    <n v="2.69"/>
    <n v="2.7"/>
    <n v="10.78"/>
    <n v="1"/>
    <n v="7.2629999999999999"/>
  </r>
  <r>
    <n v="1"/>
    <s v="level 1"/>
    <s v="North"/>
    <x v="222"/>
    <m/>
    <m/>
    <m/>
    <m/>
    <x v="1"/>
    <x v="3"/>
    <x v="0"/>
    <m/>
    <m/>
    <m/>
    <n v="2690"/>
    <n v="2700"/>
    <n v="1"/>
    <n v="2.69"/>
    <n v="2.7"/>
    <n v="10.78"/>
    <n v="1"/>
    <n v="7.2629999999999999"/>
  </r>
  <r>
    <n v="1"/>
    <s v="level 1"/>
    <s v="North"/>
    <x v="223"/>
    <m/>
    <m/>
    <m/>
    <m/>
    <x v="1"/>
    <x v="3"/>
    <x v="0"/>
    <m/>
    <m/>
    <m/>
    <n v="2690"/>
    <n v="2700"/>
    <n v="1"/>
    <n v="2.69"/>
    <n v="2.7"/>
    <n v="10.78"/>
    <n v="1"/>
    <n v="7.2629999999999999"/>
  </r>
  <r>
    <n v="1"/>
    <s v="level 1"/>
    <s v="North"/>
    <x v="224"/>
    <m/>
    <m/>
    <m/>
    <m/>
    <x v="1"/>
    <x v="3"/>
    <x v="0"/>
    <m/>
    <m/>
    <m/>
    <n v="2690"/>
    <n v="2700"/>
    <n v="1"/>
    <n v="2.69"/>
    <n v="2.7"/>
    <n v="10.78"/>
    <n v="1"/>
    <n v="7.2629999999999999"/>
  </r>
  <r>
    <n v="1"/>
    <s v="level 1"/>
    <s v="North"/>
    <x v="225"/>
    <m/>
    <m/>
    <m/>
    <m/>
    <x v="1"/>
    <x v="4"/>
    <x v="0"/>
    <m/>
    <m/>
    <m/>
    <n v="350"/>
    <n v="1376.6666666666667"/>
    <n v="1"/>
    <n v="0.35"/>
    <n v="1.3766666666666667"/>
    <n v="3.4533333333333336"/>
    <n v="1"/>
    <n v="0.48183333333333334"/>
  </r>
  <r>
    <n v="1"/>
    <s v="level 1"/>
    <s v="North"/>
    <x v="226"/>
    <m/>
    <m/>
    <m/>
    <m/>
    <x v="1"/>
    <x v="4"/>
    <x v="0"/>
    <m/>
    <m/>
    <m/>
    <n v="350"/>
    <n v="1376.6666666666667"/>
    <n v="1"/>
    <n v="0.35"/>
    <n v="1.3766666666666667"/>
    <n v="3.4533333333333336"/>
    <n v="1"/>
    <n v="0.48183333333333334"/>
  </r>
  <r>
    <n v="1"/>
    <s v="level 1"/>
    <s v="North"/>
    <x v="227"/>
    <m/>
    <m/>
    <m/>
    <m/>
    <x v="1"/>
    <x v="4"/>
    <x v="0"/>
    <m/>
    <m/>
    <m/>
    <n v="350"/>
    <n v="1376.6666666666667"/>
    <n v="1"/>
    <n v="0.35"/>
    <n v="1.3766666666666667"/>
    <n v="3.4533333333333336"/>
    <n v="1"/>
    <n v="0.48183333333333334"/>
  </r>
  <r>
    <n v="1"/>
    <s v="level 1"/>
    <s v="North"/>
    <x v="228"/>
    <m/>
    <m/>
    <m/>
    <m/>
    <x v="1"/>
    <x v="4"/>
    <x v="10"/>
    <m/>
    <m/>
    <s v="L0-01"/>
    <n v="350"/>
    <n v="11200"/>
    <n v="1"/>
    <n v="0.35"/>
    <n v="11.2"/>
    <n v="23.1"/>
    <n v="1"/>
    <n v="3.9199999999999995"/>
  </r>
  <r>
    <n v="1"/>
    <s v="level 1"/>
    <s v="North"/>
    <x v="229"/>
    <m/>
    <m/>
    <m/>
    <m/>
    <x v="1"/>
    <x v="4"/>
    <x v="0"/>
    <m/>
    <m/>
    <m/>
    <n v="350"/>
    <n v="1632.5"/>
    <n v="1"/>
    <n v="0.35"/>
    <n v="1.6325000000000001"/>
    <n v="3.9649999999999999"/>
    <n v="1"/>
    <n v="0.57137499999999997"/>
  </r>
  <r>
    <n v="1"/>
    <s v="level 1"/>
    <s v="North"/>
    <x v="230"/>
    <m/>
    <m/>
    <m/>
    <m/>
    <x v="1"/>
    <x v="4"/>
    <x v="0"/>
    <m/>
    <m/>
    <m/>
    <n v="350"/>
    <n v="1632.5"/>
    <n v="1"/>
    <n v="0.35"/>
    <n v="1.6325000000000001"/>
    <n v="3.9649999999999999"/>
    <n v="1"/>
    <n v="0.57137499999999997"/>
  </r>
  <r>
    <n v="1"/>
    <s v="level 1"/>
    <s v="North"/>
    <x v="231"/>
    <m/>
    <m/>
    <m/>
    <m/>
    <x v="1"/>
    <x v="4"/>
    <x v="0"/>
    <m/>
    <m/>
    <m/>
    <n v="350"/>
    <n v="2700"/>
    <n v="1"/>
    <n v="0.35"/>
    <n v="2.7"/>
    <n v="6.1"/>
    <n v="1"/>
    <n v="0.94499999999999984"/>
  </r>
  <r>
    <n v="1"/>
    <s v="PARAPET"/>
    <s v="North"/>
    <x v="232"/>
    <m/>
    <m/>
    <m/>
    <m/>
    <x v="1"/>
    <x v="4"/>
    <x v="0"/>
    <m/>
    <m/>
    <m/>
    <n v="1855"/>
    <n v="1701.6666666666667"/>
    <n v="1"/>
    <n v="1.855"/>
    <n v="1.7016666666666667"/>
    <n v="7.1133333333333342"/>
    <n v="1"/>
    <n v="3.1565916666666669"/>
  </r>
  <r>
    <n v="1"/>
    <s v="PARAPET"/>
    <s v="North"/>
    <x v="233"/>
    <m/>
    <m/>
    <m/>
    <m/>
    <x v="1"/>
    <x v="4"/>
    <x v="0"/>
    <m/>
    <m/>
    <m/>
    <n v="1855"/>
    <n v="1701.6666666666667"/>
    <n v="1"/>
    <n v="1.855"/>
    <n v="1.7016666666666667"/>
    <n v="7.1133333333333342"/>
    <n v="1"/>
    <n v="3.1565916666666669"/>
  </r>
  <r>
    <n v="1"/>
    <s v="PARAPET"/>
    <s v="North"/>
    <x v="234"/>
    <m/>
    <m/>
    <m/>
    <m/>
    <x v="1"/>
    <x v="4"/>
    <x v="0"/>
    <m/>
    <m/>
    <m/>
    <n v="1855"/>
    <n v="1701.6666666666667"/>
    <n v="1"/>
    <n v="1.855"/>
    <n v="1.7016666666666667"/>
    <n v="7.1133333333333342"/>
    <n v="1"/>
    <n v="3.1565916666666669"/>
  </r>
  <r>
    <n v="1"/>
    <s v="PARAPET"/>
    <s v="North"/>
    <x v="235"/>
    <m/>
    <m/>
    <m/>
    <m/>
    <x v="1"/>
    <x v="4"/>
    <x v="0"/>
    <m/>
    <m/>
    <m/>
    <n v="1880"/>
    <n v="520"/>
    <n v="1"/>
    <n v="1.88"/>
    <n v="0.52"/>
    <n v="4.8"/>
    <n v="1"/>
    <n v="0.97759999999999991"/>
  </r>
  <r>
    <n v="1"/>
    <s v="PARAPET"/>
    <s v="North"/>
    <x v="236"/>
    <m/>
    <m/>
    <m/>
    <m/>
    <x v="1"/>
    <x v="4"/>
    <x v="0"/>
    <m/>
    <m/>
    <m/>
    <n v="1880"/>
    <n v="1000"/>
    <n v="1"/>
    <n v="1.88"/>
    <n v="1"/>
    <n v="5.76"/>
    <n v="1"/>
    <n v="1.88"/>
  </r>
  <r>
    <n v="1"/>
    <s v="PARAPET"/>
    <s v="North"/>
    <x v="237"/>
    <m/>
    <m/>
    <m/>
    <m/>
    <x v="1"/>
    <x v="4"/>
    <x v="0"/>
    <m/>
    <m/>
    <m/>
    <n v="2165"/>
    <n v="1701.6666666666667"/>
    <n v="1"/>
    <n v="2.165"/>
    <n v="1.7016666666666667"/>
    <n v="7.7333333333333343"/>
    <n v="1"/>
    <n v="3.6841083333333335"/>
  </r>
  <r>
    <n v="1"/>
    <s v="PARAPET"/>
    <s v="North"/>
    <x v="238"/>
    <m/>
    <m/>
    <m/>
    <m/>
    <x v="1"/>
    <x v="4"/>
    <x v="0"/>
    <m/>
    <m/>
    <m/>
    <n v="2165"/>
    <n v="1701.6666666666667"/>
    <n v="1"/>
    <n v="2.165"/>
    <n v="1.7016666666666667"/>
    <n v="7.7333333333333343"/>
    <n v="1"/>
    <n v="3.6841083333333335"/>
  </r>
  <r>
    <n v="1"/>
    <s v="PARAPET"/>
    <s v="North"/>
    <x v="239"/>
    <m/>
    <m/>
    <m/>
    <m/>
    <x v="1"/>
    <x v="4"/>
    <x v="0"/>
    <m/>
    <m/>
    <m/>
    <n v="2165"/>
    <n v="1701.6666666666667"/>
    <n v="1"/>
    <n v="2.165"/>
    <n v="1.7016666666666667"/>
    <n v="7.7333333333333343"/>
    <n v="1"/>
    <n v="3.6841083333333335"/>
  </r>
  <r>
    <n v="1"/>
    <s v="PARAPET"/>
    <s v="North"/>
    <x v="240"/>
    <m/>
    <m/>
    <m/>
    <m/>
    <x v="1"/>
    <x v="4"/>
    <x v="0"/>
    <m/>
    <m/>
    <m/>
    <n v="900"/>
    <n v="1736.6666666666667"/>
    <n v="1"/>
    <n v="0.9"/>
    <n v="1.7366666666666668"/>
    <n v="5.2733333333333343"/>
    <n v="1"/>
    <n v="1.5629999999999999"/>
  </r>
  <r>
    <n v="1"/>
    <s v="PARAPET"/>
    <s v="North"/>
    <x v="241"/>
    <m/>
    <m/>
    <m/>
    <m/>
    <x v="1"/>
    <x v="4"/>
    <x v="0"/>
    <m/>
    <m/>
    <m/>
    <n v="900"/>
    <n v="1736.6666666666667"/>
    <n v="1"/>
    <n v="0.9"/>
    <n v="1.7366666666666668"/>
    <n v="5.2733333333333343"/>
    <n v="1"/>
    <n v="1.5629999999999999"/>
  </r>
  <r>
    <n v="1"/>
    <s v="PARAPET"/>
    <s v="North"/>
    <x v="242"/>
    <m/>
    <m/>
    <m/>
    <m/>
    <x v="1"/>
    <x v="4"/>
    <x v="0"/>
    <m/>
    <m/>
    <m/>
    <n v="900"/>
    <n v="1736.6666666666667"/>
    <n v="1"/>
    <n v="0.9"/>
    <n v="1.7366666666666668"/>
    <n v="5.2733333333333343"/>
    <n v="1"/>
    <n v="1.5629999999999999"/>
  </r>
  <r>
    <n v="1"/>
    <s v="PARAPET"/>
    <s v="North"/>
    <x v="243"/>
    <m/>
    <m/>
    <m/>
    <m/>
    <x v="1"/>
    <x v="4"/>
    <x v="0"/>
    <m/>
    <m/>
    <m/>
    <n v="900"/>
    <n v="1736.6666666666667"/>
    <n v="1"/>
    <n v="0.9"/>
    <n v="1.7366666666666668"/>
    <n v="5.2733333333333343"/>
    <n v="1"/>
    <n v="1.5629999999999999"/>
  </r>
  <r>
    <n v="1"/>
    <s v="PARAPET"/>
    <s v="North"/>
    <x v="244"/>
    <m/>
    <m/>
    <m/>
    <m/>
    <x v="1"/>
    <x v="4"/>
    <x v="0"/>
    <m/>
    <m/>
    <m/>
    <n v="900"/>
    <n v="1736.6666666666667"/>
    <n v="1"/>
    <n v="0.9"/>
    <n v="1.7366666666666668"/>
    <n v="5.2733333333333343"/>
    <n v="1"/>
    <n v="1.5629999999999999"/>
  </r>
  <r>
    <n v="1"/>
    <s v="PARAPET"/>
    <s v="North"/>
    <x v="245"/>
    <m/>
    <m/>
    <m/>
    <m/>
    <x v="1"/>
    <x v="4"/>
    <x v="0"/>
    <m/>
    <m/>
    <m/>
    <n v="900"/>
    <n v="1736.6666666666667"/>
    <n v="1"/>
    <n v="0.9"/>
    <n v="1.7366666666666668"/>
    <n v="5.2733333333333343"/>
    <n v="1"/>
    <n v="1.5629999999999999"/>
  </r>
  <r>
    <n v="1"/>
    <s v="PARAPET"/>
    <s v="North"/>
    <x v="246"/>
    <m/>
    <m/>
    <m/>
    <m/>
    <x v="1"/>
    <x v="4"/>
    <x v="0"/>
    <m/>
    <m/>
    <m/>
    <n v="900"/>
    <n v="1736.6666666666667"/>
    <n v="1"/>
    <n v="0.9"/>
    <n v="1.7366666666666668"/>
    <n v="5.2733333333333343"/>
    <n v="1"/>
    <n v="1.5629999999999999"/>
  </r>
  <r>
    <n v="1"/>
    <s v="PARAPET"/>
    <s v="North"/>
    <x v="247"/>
    <m/>
    <m/>
    <m/>
    <m/>
    <x v="1"/>
    <x v="4"/>
    <x v="0"/>
    <m/>
    <m/>
    <m/>
    <n v="900"/>
    <n v="1736.6666666666667"/>
    <n v="1"/>
    <n v="0.9"/>
    <n v="1.7366666666666668"/>
    <n v="5.2733333333333343"/>
    <n v="1"/>
    <n v="1.5629999999999999"/>
  </r>
  <r>
    <n v="1"/>
    <s v="PARAPET"/>
    <s v="North"/>
    <x v="248"/>
    <m/>
    <m/>
    <m/>
    <m/>
    <x v="1"/>
    <x v="4"/>
    <x v="0"/>
    <m/>
    <m/>
    <m/>
    <n v="900"/>
    <n v="1736.6666666666667"/>
    <n v="1"/>
    <n v="0.9"/>
    <n v="1.7366666666666668"/>
    <n v="5.2733333333333343"/>
    <n v="1"/>
    <n v="1.5629999999999999"/>
  </r>
  <r>
    <n v="1"/>
    <s v="PARAPET"/>
    <s v="North"/>
    <x v="249"/>
    <m/>
    <m/>
    <m/>
    <m/>
    <x v="1"/>
    <x v="4"/>
    <x v="0"/>
    <m/>
    <m/>
    <m/>
    <n v="900"/>
    <n v="1736.6666666666667"/>
    <n v="1"/>
    <n v="0.9"/>
    <n v="1.7366666666666668"/>
    <n v="5.2733333333333343"/>
    <n v="1"/>
    <n v="1.5629999999999999"/>
  </r>
  <r>
    <n v="1"/>
    <s v="PARAPET"/>
    <s v="North"/>
    <x v="250"/>
    <m/>
    <m/>
    <m/>
    <m/>
    <x v="1"/>
    <x v="4"/>
    <x v="0"/>
    <m/>
    <m/>
    <m/>
    <n v="900"/>
    <n v="1736.6666666666667"/>
    <n v="1"/>
    <n v="0.9"/>
    <n v="1.7366666666666668"/>
    <n v="5.2733333333333343"/>
    <n v="1"/>
    <n v="1.5629999999999999"/>
  </r>
  <r>
    <n v="1"/>
    <s v="PARAPET"/>
    <s v="North"/>
    <x v="251"/>
    <m/>
    <m/>
    <m/>
    <m/>
    <x v="1"/>
    <x v="4"/>
    <x v="0"/>
    <m/>
    <m/>
    <m/>
    <n v="900"/>
    <n v="1736.6666666666667"/>
    <n v="1"/>
    <n v="0.9"/>
    <n v="1.7366666666666668"/>
    <n v="5.2733333333333343"/>
    <n v="1"/>
    <n v="1.5629999999999999"/>
  </r>
  <r>
    <n v="1"/>
    <s v="PARAPET"/>
    <s v="North"/>
    <x v="252"/>
    <m/>
    <m/>
    <m/>
    <m/>
    <x v="1"/>
    <x v="4"/>
    <x v="0"/>
    <m/>
    <m/>
    <m/>
    <n v="900"/>
    <n v="1701.6666666666667"/>
    <n v="1"/>
    <n v="0.9"/>
    <n v="1.7016666666666667"/>
    <n v="5.203333333333334"/>
    <n v="1"/>
    <n v="1.5315000000000001"/>
  </r>
  <r>
    <n v="1"/>
    <s v="PARAPET"/>
    <s v="North"/>
    <x v="253"/>
    <m/>
    <m/>
    <m/>
    <m/>
    <x v="1"/>
    <x v="4"/>
    <x v="0"/>
    <m/>
    <m/>
    <m/>
    <n v="900"/>
    <n v="1701.6666666666667"/>
    <n v="1"/>
    <n v="0.9"/>
    <n v="1.7016666666666667"/>
    <n v="5.203333333333334"/>
    <n v="1"/>
    <n v="1.5315000000000001"/>
  </r>
  <r>
    <n v="1"/>
    <s v="PARAPET"/>
    <s v="North"/>
    <x v="254"/>
    <m/>
    <m/>
    <m/>
    <m/>
    <x v="1"/>
    <x v="4"/>
    <x v="0"/>
    <m/>
    <m/>
    <m/>
    <n v="900"/>
    <n v="1701.6666666666667"/>
    <n v="1"/>
    <n v="0.9"/>
    <n v="1.7016666666666667"/>
    <n v="5.203333333333334"/>
    <n v="1"/>
    <n v="1.5315000000000001"/>
  </r>
  <r>
    <n v="1"/>
    <s v="PARAPET"/>
    <s v="North"/>
    <x v="255"/>
    <m/>
    <m/>
    <m/>
    <m/>
    <x v="1"/>
    <x v="4"/>
    <x v="0"/>
    <m/>
    <m/>
    <m/>
    <n v="900"/>
    <n v="1792.037037037037"/>
    <n v="1"/>
    <n v="0.9"/>
    <n v="1.7920370370370369"/>
    <n v="5.384074074074074"/>
    <n v="1"/>
    <n v="1.6128333333333333"/>
  </r>
  <r>
    <n v="1"/>
    <s v="PARAPET"/>
    <s v="North"/>
    <x v="256"/>
    <m/>
    <m/>
    <m/>
    <m/>
    <x v="1"/>
    <x v="4"/>
    <x v="0"/>
    <m/>
    <m/>
    <m/>
    <n v="900"/>
    <n v="1792.037037037037"/>
    <n v="1"/>
    <n v="0.9"/>
    <n v="1.7920370370370369"/>
    <n v="5.384074074074074"/>
    <n v="1"/>
    <n v="1.6128333333333333"/>
  </r>
  <r>
    <n v="1"/>
    <s v="PARAPET"/>
    <s v="North"/>
    <x v="257"/>
    <m/>
    <m/>
    <m/>
    <m/>
    <x v="1"/>
    <x v="4"/>
    <x v="0"/>
    <m/>
    <m/>
    <m/>
    <n v="900"/>
    <n v="1792.037037037037"/>
    <n v="1"/>
    <n v="0.9"/>
    <n v="1.7920370370370369"/>
    <n v="5.384074074074074"/>
    <n v="1"/>
    <n v="1.6128333333333333"/>
  </r>
  <r>
    <n v="1"/>
    <s v="PARAPET"/>
    <s v="North"/>
    <x v="258"/>
    <m/>
    <m/>
    <m/>
    <m/>
    <x v="1"/>
    <x v="4"/>
    <x v="0"/>
    <m/>
    <m/>
    <m/>
    <n v="900"/>
    <n v="1792.037037037037"/>
    <n v="1"/>
    <n v="0.9"/>
    <n v="1.7920370370370369"/>
    <n v="5.384074074074074"/>
    <n v="1"/>
    <n v="1.6128333333333333"/>
  </r>
  <r>
    <n v="1"/>
    <s v="PARAPET"/>
    <s v="North"/>
    <x v="259"/>
    <m/>
    <m/>
    <m/>
    <m/>
    <x v="1"/>
    <x v="4"/>
    <x v="0"/>
    <m/>
    <m/>
    <m/>
    <n v="900"/>
    <n v="1792.037037037037"/>
    <n v="1"/>
    <n v="0.9"/>
    <n v="1.7920370370370369"/>
    <n v="5.384074074074074"/>
    <n v="1"/>
    <n v="1.6128333333333333"/>
  </r>
  <r>
    <n v="1"/>
    <s v="PARAPET"/>
    <s v="North"/>
    <x v="260"/>
    <m/>
    <m/>
    <m/>
    <m/>
    <x v="1"/>
    <x v="4"/>
    <x v="0"/>
    <m/>
    <m/>
    <m/>
    <n v="900"/>
    <n v="1792.037037037037"/>
    <n v="1"/>
    <n v="0.9"/>
    <n v="1.7920370370370369"/>
    <n v="5.384074074074074"/>
    <n v="1"/>
    <n v="1.6128333333333333"/>
  </r>
  <r>
    <n v="1"/>
    <s v="PARAPET"/>
    <s v="North"/>
    <x v="261"/>
    <m/>
    <m/>
    <m/>
    <m/>
    <x v="1"/>
    <x v="4"/>
    <x v="0"/>
    <m/>
    <m/>
    <m/>
    <n v="900"/>
    <n v="1792.037037037037"/>
    <n v="1"/>
    <n v="0.9"/>
    <n v="1.7920370370370369"/>
    <n v="5.384074074074074"/>
    <n v="1"/>
    <n v="1.6128333333333333"/>
  </r>
  <r>
    <n v="1"/>
    <s v="PARAPET"/>
    <s v="North"/>
    <x v="262"/>
    <m/>
    <m/>
    <m/>
    <m/>
    <x v="1"/>
    <x v="4"/>
    <x v="0"/>
    <m/>
    <m/>
    <m/>
    <n v="900"/>
    <n v="1792.037037037037"/>
    <n v="1"/>
    <n v="0.9"/>
    <n v="1.7920370370370369"/>
    <n v="5.384074074074074"/>
    <n v="1"/>
    <n v="1.6128333333333333"/>
  </r>
  <r>
    <n v="1"/>
    <s v="PARAPET"/>
    <s v="North"/>
    <x v="263"/>
    <m/>
    <m/>
    <m/>
    <m/>
    <x v="1"/>
    <x v="4"/>
    <x v="0"/>
    <m/>
    <m/>
    <m/>
    <n v="900"/>
    <n v="1792.037037037037"/>
    <n v="1"/>
    <n v="0.9"/>
    <n v="1.7920370370370369"/>
    <n v="5.384074074074074"/>
    <n v="1"/>
    <n v="1.6128333333333333"/>
  </r>
  <r>
    <n v="1"/>
    <s v="PARAPET"/>
    <s v="North"/>
    <x v="264"/>
    <m/>
    <m/>
    <m/>
    <m/>
    <x v="1"/>
    <x v="4"/>
    <x v="0"/>
    <m/>
    <m/>
    <m/>
    <n v="900"/>
    <n v="1792.037037037037"/>
    <n v="1"/>
    <n v="0.9"/>
    <n v="1.7920370370370369"/>
    <n v="5.384074074074074"/>
    <n v="1"/>
    <n v="1.6128333333333333"/>
  </r>
  <r>
    <n v="1"/>
    <s v="PARAPET"/>
    <s v="North"/>
    <x v="265"/>
    <m/>
    <m/>
    <m/>
    <m/>
    <x v="1"/>
    <x v="4"/>
    <x v="0"/>
    <m/>
    <m/>
    <m/>
    <n v="900"/>
    <n v="1792.037037037037"/>
    <n v="1"/>
    <n v="0.9"/>
    <n v="1.7920370370370369"/>
    <n v="5.384074074074074"/>
    <n v="1"/>
    <n v="1.6128333333333333"/>
  </r>
  <r>
    <n v="1"/>
    <s v="PARAPET"/>
    <s v="North"/>
    <x v="266"/>
    <m/>
    <m/>
    <m/>
    <m/>
    <x v="1"/>
    <x v="4"/>
    <x v="0"/>
    <m/>
    <m/>
    <m/>
    <n v="900"/>
    <n v="1792.037037037037"/>
    <n v="1"/>
    <n v="0.9"/>
    <n v="1.7920370370370369"/>
    <n v="5.384074074074074"/>
    <n v="1"/>
    <n v="1.6128333333333333"/>
  </r>
  <r>
    <n v="1"/>
    <s v="PARAPET"/>
    <s v="North"/>
    <x v="267"/>
    <m/>
    <m/>
    <m/>
    <m/>
    <x v="1"/>
    <x v="4"/>
    <x v="0"/>
    <m/>
    <m/>
    <m/>
    <n v="900"/>
    <n v="1792.037037037037"/>
    <n v="1"/>
    <n v="0.9"/>
    <n v="1.7920370370370369"/>
    <n v="5.384074074074074"/>
    <n v="1"/>
    <n v="1.6128333333333333"/>
  </r>
  <r>
    <n v="1"/>
    <s v="PARAPET"/>
    <s v="North"/>
    <x v="268"/>
    <m/>
    <m/>
    <m/>
    <m/>
    <x v="1"/>
    <x v="4"/>
    <x v="0"/>
    <m/>
    <m/>
    <m/>
    <n v="900"/>
    <n v="1792.037037037037"/>
    <n v="1"/>
    <n v="0.9"/>
    <n v="1.7920370370370369"/>
    <n v="5.384074074074074"/>
    <n v="1"/>
    <n v="1.6128333333333333"/>
  </r>
  <r>
    <n v="1"/>
    <s v="PARAPET"/>
    <s v="North"/>
    <x v="269"/>
    <m/>
    <m/>
    <m/>
    <m/>
    <x v="1"/>
    <x v="4"/>
    <x v="0"/>
    <m/>
    <m/>
    <m/>
    <n v="900"/>
    <n v="1792.037037037037"/>
    <n v="1"/>
    <n v="0.9"/>
    <n v="1.7920370370370369"/>
    <n v="5.384074074074074"/>
    <n v="1"/>
    <n v="1.6128333333333333"/>
  </r>
  <r>
    <n v="1"/>
    <s v="PARAPET"/>
    <s v="North"/>
    <x v="270"/>
    <m/>
    <m/>
    <m/>
    <m/>
    <x v="1"/>
    <x v="4"/>
    <x v="0"/>
    <m/>
    <m/>
    <m/>
    <n v="900"/>
    <n v="1792.037037037037"/>
    <n v="1"/>
    <n v="0.9"/>
    <n v="1.7920370370370369"/>
    <n v="5.384074074074074"/>
    <n v="1"/>
    <n v="1.6128333333333333"/>
  </r>
  <r>
    <n v="1"/>
    <s v="PARAPET"/>
    <s v="North"/>
    <x v="271"/>
    <m/>
    <m/>
    <m/>
    <m/>
    <x v="1"/>
    <x v="4"/>
    <x v="0"/>
    <m/>
    <m/>
    <m/>
    <n v="900"/>
    <n v="1792.037037037037"/>
    <n v="1"/>
    <n v="0.9"/>
    <n v="1.7920370370370369"/>
    <n v="5.384074074074074"/>
    <n v="1"/>
    <n v="1.6128333333333333"/>
  </r>
  <r>
    <n v="1"/>
    <s v="PARAPET"/>
    <s v="North"/>
    <x v="272"/>
    <m/>
    <m/>
    <m/>
    <m/>
    <x v="1"/>
    <x v="4"/>
    <x v="0"/>
    <m/>
    <m/>
    <m/>
    <n v="900"/>
    <n v="1792.037037037037"/>
    <n v="1"/>
    <n v="0.9"/>
    <n v="1.7920370370370369"/>
    <n v="5.384074074074074"/>
    <n v="1"/>
    <n v="1.6128333333333333"/>
  </r>
  <r>
    <n v="1"/>
    <s v="PARAPET"/>
    <s v="North"/>
    <x v="273"/>
    <m/>
    <m/>
    <m/>
    <m/>
    <x v="1"/>
    <x v="4"/>
    <x v="0"/>
    <m/>
    <m/>
    <m/>
    <n v="900"/>
    <n v="1792.037037037037"/>
    <n v="1"/>
    <n v="0.9"/>
    <n v="1.7920370370370369"/>
    <n v="5.384074074074074"/>
    <n v="1"/>
    <n v="1.6128333333333333"/>
  </r>
  <r>
    <n v="1"/>
    <s v="PARAPET"/>
    <s v="North"/>
    <x v="274"/>
    <m/>
    <m/>
    <m/>
    <m/>
    <x v="1"/>
    <x v="4"/>
    <x v="0"/>
    <m/>
    <m/>
    <m/>
    <n v="900"/>
    <n v="1792.037037037037"/>
    <n v="1"/>
    <n v="0.9"/>
    <n v="1.7920370370370369"/>
    <n v="5.384074074074074"/>
    <n v="1"/>
    <n v="1.6128333333333333"/>
  </r>
  <r>
    <n v="1"/>
    <s v="PARAPET"/>
    <s v="North"/>
    <x v="275"/>
    <m/>
    <m/>
    <m/>
    <m/>
    <x v="1"/>
    <x v="4"/>
    <x v="0"/>
    <m/>
    <m/>
    <m/>
    <n v="900"/>
    <n v="1792.037037037037"/>
    <n v="1"/>
    <n v="0.9"/>
    <n v="1.7920370370370369"/>
    <n v="5.384074074074074"/>
    <n v="1"/>
    <n v="1.6128333333333333"/>
  </r>
  <r>
    <n v="1"/>
    <s v="PARAPET"/>
    <s v="North"/>
    <x v="276"/>
    <m/>
    <m/>
    <m/>
    <m/>
    <x v="1"/>
    <x v="4"/>
    <x v="0"/>
    <m/>
    <m/>
    <m/>
    <n v="900"/>
    <n v="1792.037037037037"/>
    <n v="1"/>
    <n v="0.9"/>
    <n v="1.7920370370370369"/>
    <n v="5.384074074074074"/>
    <n v="1"/>
    <n v="1.6128333333333333"/>
  </r>
  <r>
    <n v="1"/>
    <s v="PARAPET"/>
    <s v="North"/>
    <x v="277"/>
    <m/>
    <m/>
    <m/>
    <m/>
    <x v="1"/>
    <x v="4"/>
    <x v="0"/>
    <m/>
    <m/>
    <m/>
    <n v="900"/>
    <n v="1792.037037037037"/>
    <n v="1"/>
    <n v="0.9"/>
    <n v="1.7920370370370369"/>
    <n v="5.384074074074074"/>
    <n v="1"/>
    <n v="1.6128333333333333"/>
  </r>
  <r>
    <n v="1"/>
    <s v="PARAPET"/>
    <s v="North"/>
    <x v="278"/>
    <m/>
    <m/>
    <m/>
    <m/>
    <x v="1"/>
    <x v="4"/>
    <x v="0"/>
    <m/>
    <m/>
    <m/>
    <n v="900"/>
    <n v="1792.037037037037"/>
    <n v="1"/>
    <n v="0.9"/>
    <n v="1.7920370370370369"/>
    <n v="5.384074074074074"/>
    <n v="1"/>
    <n v="1.6128333333333333"/>
  </r>
  <r>
    <n v="1"/>
    <s v="PARAPET"/>
    <s v="North"/>
    <x v="279"/>
    <m/>
    <m/>
    <m/>
    <m/>
    <x v="1"/>
    <x v="4"/>
    <x v="0"/>
    <m/>
    <m/>
    <m/>
    <n v="900"/>
    <n v="1792.037037037037"/>
    <n v="1"/>
    <n v="0.9"/>
    <n v="1.7920370370370369"/>
    <n v="5.384074074074074"/>
    <n v="1"/>
    <n v="1.6128333333333333"/>
  </r>
  <r>
    <n v="1"/>
    <s v="PARAPET"/>
    <s v="North"/>
    <x v="280"/>
    <m/>
    <m/>
    <m/>
    <m/>
    <x v="1"/>
    <x v="4"/>
    <x v="0"/>
    <m/>
    <m/>
    <m/>
    <n v="900"/>
    <n v="1792.037037037037"/>
    <n v="1"/>
    <n v="0.9"/>
    <n v="1.7920370370370369"/>
    <n v="5.384074074074074"/>
    <n v="1"/>
    <n v="1.6128333333333333"/>
  </r>
  <r>
    <n v="1"/>
    <s v="PARAPET"/>
    <s v="North"/>
    <x v="281"/>
    <m/>
    <m/>
    <m/>
    <m/>
    <x v="1"/>
    <x v="4"/>
    <x v="0"/>
    <m/>
    <m/>
    <m/>
    <n v="900"/>
    <n v="1792.037037037037"/>
    <n v="1"/>
    <n v="0.9"/>
    <n v="1.7920370370370369"/>
    <n v="5.384074074074074"/>
    <n v="1"/>
    <n v="1.6128333333333333"/>
  </r>
  <r>
    <n v="1"/>
    <s v="PARAPET"/>
    <s v="North"/>
    <x v="282"/>
    <m/>
    <m/>
    <m/>
    <m/>
    <x v="1"/>
    <x v="4"/>
    <x v="0"/>
    <m/>
    <m/>
    <m/>
    <n v="695"/>
    <n v="1200.2777777777778"/>
    <n v="1"/>
    <n v="0.69499999999999995"/>
    <n v="1.2002777777777778"/>
    <n v="3.7905555555555557"/>
    <n v="1"/>
    <n v="0.83419305555555556"/>
  </r>
  <r>
    <n v="1"/>
    <s v="PARAPET"/>
    <s v="North"/>
    <x v="283"/>
    <m/>
    <m/>
    <m/>
    <m/>
    <x v="1"/>
    <x v="4"/>
    <x v="0"/>
    <m/>
    <m/>
    <m/>
    <n v="695"/>
    <n v="1200.2777777777778"/>
    <n v="1"/>
    <n v="0.69499999999999995"/>
    <n v="1.2002777777777778"/>
    <n v="3.7905555555555557"/>
    <n v="1"/>
    <n v="0.83419305555555556"/>
  </r>
  <r>
    <n v="1"/>
    <s v="PARAPET"/>
    <s v="North"/>
    <x v="284"/>
    <m/>
    <m/>
    <m/>
    <m/>
    <x v="1"/>
    <x v="4"/>
    <x v="0"/>
    <m/>
    <m/>
    <m/>
    <n v="695"/>
    <n v="1200.2777777777778"/>
    <n v="1"/>
    <n v="0.69499999999999995"/>
    <n v="1.2002777777777778"/>
    <n v="3.7905555555555557"/>
    <n v="1"/>
    <n v="0.83419305555555556"/>
  </r>
  <r>
    <n v="1"/>
    <s v="PARAPET"/>
    <s v="North"/>
    <x v="285"/>
    <m/>
    <m/>
    <m/>
    <m/>
    <x v="1"/>
    <x v="4"/>
    <x v="0"/>
    <m/>
    <m/>
    <m/>
    <n v="695"/>
    <n v="1200.2777777777778"/>
    <n v="1"/>
    <n v="0.69499999999999995"/>
    <n v="1.2002777777777778"/>
    <n v="3.7905555555555557"/>
    <n v="1"/>
    <n v="0.83419305555555556"/>
  </r>
  <r>
    <n v="1"/>
    <s v="PARAPET"/>
    <s v="North"/>
    <x v="286"/>
    <m/>
    <m/>
    <m/>
    <m/>
    <x v="1"/>
    <x v="4"/>
    <x v="0"/>
    <m/>
    <m/>
    <m/>
    <n v="695"/>
    <n v="1200.2777777777778"/>
    <n v="1"/>
    <n v="0.69499999999999995"/>
    <n v="1.2002777777777778"/>
    <n v="3.7905555555555557"/>
    <n v="1"/>
    <n v="0.83419305555555556"/>
  </r>
  <r>
    <n v="1"/>
    <s v="PARAPET"/>
    <s v="North"/>
    <x v="287"/>
    <m/>
    <m/>
    <m/>
    <m/>
    <x v="1"/>
    <x v="4"/>
    <x v="0"/>
    <m/>
    <m/>
    <m/>
    <n v="695"/>
    <n v="1200.2777777777778"/>
    <n v="1"/>
    <n v="0.69499999999999995"/>
    <n v="1.2002777777777778"/>
    <n v="3.7905555555555557"/>
    <n v="1"/>
    <n v="0.83419305555555556"/>
  </r>
  <r>
    <n v="1"/>
    <s v="PARAPET"/>
    <s v="North"/>
    <x v="288"/>
    <m/>
    <m/>
    <m/>
    <m/>
    <x v="1"/>
    <x v="4"/>
    <x v="0"/>
    <m/>
    <m/>
    <m/>
    <n v="695"/>
    <n v="1200.2777777777778"/>
    <n v="1"/>
    <n v="0.69499999999999995"/>
    <n v="1.2002777777777778"/>
    <n v="3.7905555555555557"/>
    <n v="1"/>
    <n v="0.83419305555555556"/>
  </r>
  <r>
    <n v="1"/>
    <s v="PARAPET"/>
    <s v="North"/>
    <x v="289"/>
    <m/>
    <m/>
    <m/>
    <m/>
    <x v="1"/>
    <x v="4"/>
    <x v="0"/>
    <m/>
    <m/>
    <m/>
    <n v="695"/>
    <n v="1200.2777777777778"/>
    <n v="1"/>
    <n v="0.69499999999999995"/>
    <n v="1.2002777777777778"/>
    <n v="3.7905555555555557"/>
    <n v="1"/>
    <n v="0.83419305555555556"/>
  </r>
  <r>
    <n v="1"/>
    <s v="PARAPET"/>
    <s v="North"/>
    <x v="290"/>
    <m/>
    <m/>
    <m/>
    <m/>
    <x v="1"/>
    <x v="4"/>
    <x v="0"/>
    <m/>
    <m/>
    <m/>
    <n v="695"/>
    <n v="1200.2777777777778"/>
    <n v="1"/>
    <n v="0.69499999999999995"/>
    <n v="1.2002777777777778"/>
    <n v="3.7905555555555557"/>
    <n v="1"/>
    <n v="0.83419305555555556"/>
  </r>
  <r>
    <n v="1"/>
    <s v="PARAPET"/>
    <s v="North"/>
    <x v="291"/>
    <m/>
    <m/>
    <m/>
    <m/>
    <x v="1"/>
    <x v="4"/>
    <x v="0"/>
    <m/>
    <m/>
    <m/>
    <n v="695"/>
    <n v="1200.2777777777778"/>
    <n v="1"/>
    <n v="0.69499999999999995"/>
    <n v="1.2002777777777778"/>
    <n v="3.7905555555555557"/>
    <n v="1"/>
    <n v="0.83419305555555556"/>
  </r>
  <r>
    <n v="1"/>
    <s v="PARAPET"/>
    <s v="North"/>
    <x v="292"/>
    <m/>
    <m/>
    <m/>
    <m/>
    <x v="1"/>
    <x v="4"/>
    <x v="0"/>
    <m/>
    <m/>
    <m/>
    <n v="695"/>
    <n v="1200.2777777777778"/>
    <n v="1"/>
    <n v="0.69499999999999995"/>
    <n v="1.2002777777777778"/>
    <n v="3.7905555555555557"/>
    <n v="1"/>
    <n v="0.83419305555555556"/>
  </r>
  <r>
    <n v="1"/>
    <s v="PARAPET"/>
    <s v="North"/>
    <x v="293"/>
    <m/>
    <m/>
    <m/>
    <m/>
    <x v="1"/>
    <x v="4"/>
    <x v="0"/>
    <m/>
    <m/>
    <m/>
    <n v="695"/>
    <n v="1200.2777777777778"/>
    <n v="1"/>
    <n v="0.69499999999999995"/>
    <n v="1.2002777777777778"/>
    <n v="3.7905555555555557"/>
    <n v="1"/>
    <n v="0.83419305555555556"/>
  </r>
  <r>
    <n v="1"/>
    <s v="PARAPET"/>
    <s v="North"/>
    <x v="294"/>
    <m/>
    <m/>
    <m/>
    <m/>
    <x v="1"/>
    <x v="4"/>
    <x v="0"/>
    <m/>
    <m/>
    <m/>
    <n v="695"/>
    <n v="1200.2777777777778"/>
    <n v="1"/>
    <n v="0.69499999999999995"/>
    <n v="1.2002777777777778"/>
    <n v="3.7905555555555557"/>
    <n v="1"/>
    <n v="0.83419305555555556"/>
  </r>
  <r>
    <n v="1"/>
    <s v="PARAPET"/>
    <s v="North"/>
    <x v="295"/>
    <m/>
    <m/>
    <m/>
    <m/>
    <x v="1"/>
    <x v="4"/>
    <x v="0"/>
    <m/>
    <m/>
    <m/>
    <n v="695"/>
    <n v="1200.2777777777778"/>
    <n v="1"/>
    <n v="0.69499999999999995"/>
    <n v="1.2002777777777778"/>
    <n v="3.7905555555555557"/>
    <n v="1"/>
    <n v="0.83419305555555556"/>
  </r>
  <r>
    <n v="1"/>
    <s v="PARAPET"/>
    <s v="North"/>
    <x v="296"/>
    <m/>
    <m/>
    <m/>
    <m/>
    <x v="1"/>
    <x v="4"/>
    <x v="0"/>
    <m/>
    <m/>
    <m/>
    <n v="695"/>
    <n v="1200.2777777777778"/>
    <n v="1"/>
    <n v="0.69499999999999995"/>
    <n v="1.2002777777777778"/>
    <n v="3.7905555555555557"/>
    <n v="1"/>
    <n v="0.83419305555555556"/>
  </r>
  <r>
    <n v="1"/>
    <s v="PARAPET"/>
    <s v="North"/>
    <x v="297"/>
    <m/>
    <m/>
    <m/>
    <m/>
    <x v="1"/>
    <x v="4"/>
    <x v="0"/>
    <m/>
    <m/>
    <m/>
    <n v="695"/>
    <n v="1200.2777777777778"/>
    <n v="1"/>
    <n v="0.69499999999999995"/>
    <n v="1.2002777777777778"/>
    <n v="3.7905555555555557"/>
    <n v="1"/>
    <n v="0.83419305555555556"/>
  </r>
  <r>
    <n v="1"/>
    <s v="PARAPET"/>
    <s v="North"/>
    <x v="298"/>
    <m/>
    <m/>
    <m/>
    <m/>
    <x v="1"/>
    <x v="4"/>
    <x v="0"/>
    <m/>
    <m/>
    <m/>
    <n v="695"/>
    <n v="1200.2777777777778"/>
    <n v="1"/>
    <n v="0.69499999999999995"/>
    <n v="1.2002777777777778"/>
    <n v="3.7905555555555557"/>
    <n v="1"/>
    <n v="0.83419305555555556"/>
  </r>
  <r>
    <n v="1"/>
    <s v="PARAPET"/>
    <s v="North"/>
    <x v="299"/>
    <m/>
    <m/>
    <m/>
    <m/>
    <x v="1"/>
    <x v="4"/>
    <x v="0"/>
    <m/>
    <m/>
    <m/>
    <n v="695"/>
    <n v="1200.2777777777778"/>
    <n v="1"/>
    <n v="0.69499999999999995"/>
    <n v="1.2002777777777778"/>
    <n v="3.7905555555555557"/>
    <n v="1"/>
    <n v="0.83419305555555556"/>
  </r>
  <r>
    <n v="1"/>
    <s v="PARAPET"/>
    <s v="North"/>
    <x v="300"/>
    <m/>
    <m/>
    <m/>
    <m/>
    <x v="1"/>
    <x v="4"/>
    <x v="0"/>
    <m/>
    <m/>
    <m/>
    <n v="695"/>
    <n v="1200.2777777777778"/>
    <n v="1"/>
    <n v="0.69499999999999995"/>
    <n v="1.2002777777777778"/>
    <n v="3.7905555555555557"/>
    <n v="1"/>
    <n v="0.83419305555555556"/>
  </r>
  <r>
    <n v="1"/>
    <s v="PARAPET"/>
    <s v="North"/>
    <x v="301"/>
    <m/>
    <m/>
    <m/>
    <m/>
    <x v="1"/>
    <x v="4"/>
    <x v="0"/>
    <m/>
    <m/>
    <m/>
    <n v="695"/>
    <n v="1200.2777777777778"/>
    <n v="1"/>
    <n v="0.69499999999999995"/>
    <n v="1.2002777777777778"/>
    <n v="3.7905555555555557"/>
    <n v="1"/>
    <n v="0.83419305555555556"/>
  </r>
  <r>
    <n v="1"/>
    <s v="PARAPET"/>
    <s v="North"/>
    <x v="302"/>
    <m/>
    <m/>
    <m/>
    <m/>
    <x v="1"/>
    <x v="4"/>
    <x v="0"/>
    <m/>
    <m/>
    <m/>
    <n v="695"/>
    <n v="1200.2777777777778"/>
    <n v="1"/>
    <n v="0.69499999999999995"/>
    <n v="1.2002777777777778"/>
    <n v="3.7905555555555557"/>
    <n v="1"/>
    <n v="0.83419305555555556"/>
  </r>
  <r>
    <n v="1"/>
    <s v="PARAPET"/>
    <s v="North"/>
    <x v="303"/>
    <m/>
    <m/>
    <m/>
    <m/>
    <x v="1"/>
    <x v="4"/>
    <x v="0"/>
    <m/>
    <m/>
    <m/>
    <n v="695"/>
    <n v="1200.2777777777778"/>
    <n v="1"/>
    <n v="0.69499999999999995"/>
    <n v="1.2002777777777778"/>
    <n v="3.7905555555555557"/>
    <n v="1"/>
    <n v="0.83419305555555556"/>
  </r>
  <r>
    <n v="1"/>
    <s v="PARAPET"/>
    <s v="North"/>
    <x v="304"/>
    <m/>
    <m/>
    <m/>
    <m/>
    <x v="1"/>
    <x v="4"/>
    <x v="0"/>
    <m/>
    <m/>
    <m/>
    <n v="695"/>
    <n v="1200.2777777777778"/>
    <n v="1"/>
    <n v="0.69499999999999995"/>
    <n v="1.2002777777777778"/>
    <n v="3.7905555555555557"/>
    <n v="1"/>
    <n v="0.83419305555555556"/>
  </r>
  <r>
    <n v="1"/>
    <s v="PARAPET"/>
    <s v="North"/>
    <x v="305"/>
    <m/>
    <m/>
    <m/>
    <m/>
    <x v="1"/>
    <x v="4"/>
    <x v="0"/>
    <m/>
    <m/>
    <m/>
    <n v="695"/>
    <n v="1200.2777777777778"/>
    <n v="1"/>
    <n v="0.69499999999999995"/>
    <n v="1.2002777777777778"/>
    <n v="3.7905555555555557"/>
    <n v="1"/>
    <n v="0.83419305555555556"/>
  </r>
  <r>
    <n v="1"/>
    <s v="PARAPET"/>
    <s v="North"/>
    <x v="306"/>
    <m/>
    <m/>
    <m/>
    <m/>
    <x v="1"/>
    <x v="4"/>
    <x v="0"/>
    <m/>
    <m/>
    <m/>
    <n v="695"/>
    <n v="1200.2777777777778"/>
    <n v="1"/>
    <n v="0.69499999999999995"/>
    <n v="1.2002777777777778"/>
    <n v="3.7905555555555557"/>
    <n v="1"/>
    <n v="0.83419305555555556"/>
  </r>
  <r>
    <n v="1"/>
    <s v="PARAPET"/>
    <s v="North"/>
    <x v="307"/>
    <m/>
    <m/>
    <m/>
    <m/>
    <x v="1"/>
    <x v="4"/>
    <x v="0"/>
    <m/>
    <m/>
    <m/>
    <n v="695"/>
    <n v="1200.2777777777778"/>
    <n v="1"/>
    <n v="0.69499999999999995"/>
    <n v="1.2002777777777778"/>
    <n v="3.7905555555555557"/>
    <n v="1"/>
    <n v="0.83419305555555556"/>
  </r>
  <r>
    <n v="1"/>
    <s v="PARAPET"/>
    <s v="North"/>
    <x v="308"/>
    <m/>
    <m/>
    <m/>
    <m/>
    <x v="1"/>
    <x v="4"/>
    <x v="0"/>
    <m/>
    <m/>
    <m/>
    <n v="695"/>
    <n v="1200.2777777777778"/>
    <n v="1"/>
    <n v="0.69499999999999995"/>
    <n v="1.2002777777777778"/>
    <n v="3.7905555555555557"/>
    <n v="1"/>
    <n v="0.83419305555555556"/>
  </r>
  <r>
    <n v="1"/>
    <s v="PARAPET"/>
    <s v="North"/>
    <x v="309"/>
    <m/>
    <m/>
    <m/>
    <m/>
    <x v="1"/>
    <x v="4"/>
    <x v="0"/>
    <m/>
    <m/>
    <m/>
    <n v="695"/>
    <n v="1200.2777777777778"/>
    <n v="1"/>
    <n v="0.69499999999999995"/>
    <n v="1.2002777777777778"/>
    <n v="3.7905555555555557"/>
    <n v="1"/>
    <n v="0.83419305555555556"/>
  </r>
  <r>
    <n v="1"/>
    <s v="PARAPET"/>
    <s v="North"/>
    <x v="310"/>
    <m/>
    <m/>
    <m/>
    <m/>
    <x v="1"/>
    <x v="4"/>
    <x v="0"/>
    <m/>
    <m/>
    <m/>
    <n v="695"/>
    <n v="1200.2777777777778"/>
    <n v="1"/>
    <n v="0.69499999999999995"/>
    <n v="1.2002777777777778"/>
    <n v="3.7905555555555557"/>
    <n v="1"/>
    <n v="0.83419305555555556"/>
  </r>
  <r>
    <n v="1"/>
    <s v="PARAPET"/>
    <s v="North"/>
    <x v="311"/>
    <m/>
    <m/>
    <m/>
    <m/>
    <x v="1"/>
    <x v="4"/>
    <x v="0"/>
    <m/>
    <m/>
    <m/>
    <n v="695"/>
    <n v="1200.2777777777778"/>
    <n v="1"/>
    <n v="0.69499999999999995"/>
    <n v="1.2002777777777778"/>
    <n v="3.7905555555555557"/>
    <n v="1"/>
    <n v="0.83419305555555556"/>
  </r>
  <r>
    <n v="1"/>
    <s v="PARAPET"/>
    <s v="North"/>
    <x v="312"/>
    <m/>
    <m/>
    <m/>
    <m/>
    <x v="1"/>
    <x v="4"/>
    <x v="0"/>
    <m/>
    <m/>
    <m/>
    <n v="695"/>
    <n v="1200.2777777777778"/>
    <n v="1"/>
    <n v="0.69499999999999995"/>
    <n v="1.2002777777777778"/>
    <n v="3.7905555555555557"/>
    <n v="1"/>
    <n v="0.83419305555555556"/>
  </r>
  <r>
    <n v="1"/>
    <s v="PARAPET"/>
    <s v="North"/>
    <x v="313"/>
    <m/>
    <m/>
    <m/>
    <m/>
    <x v="1"/>
    <x v="4"/>
    <x v="0"/>
    <m/>
    <m/>
    <m/>
    <n v="695"/>
    <n v="1200.2777777777778"/>
    <n v="1"/>
    <n v="0.69499999999999995"/>
    <n v="1.2002777777777778"/>
    <n v="3.7905555555555557"/>
    <n v="1"/>
    <n v="0.83419305555555556"/>
  </r>
  <r>
    <n v="1"/>
    <s v="PARAPET"/>
    <s v="North"/>
    <x v="314"/>
    <m/>
    <m/>
    <m/>
    <m/>
    <x v="1"/>
    <x v="4"/>
    <x v="0"/>
    <m/>
    <m/>
    <m/>
    <n v="695"/>
    <n v="1200.2777777777778"/>
    <n v="1"/>
    <n v="0.69499999999999995"/>
    <n v="1.2002777777777778"/>
    <n v="3.7905555555555557"/>
    <n v="1"/>
    <n v="0.83419305555555556"/>
  </r>
  <r>
    <n v="1"/>
    <s v="PARAPET"/>
    <s v="North"/>
    <x v="315"/>
    <m/>
    <m/>
    <m/>
    <m/>
    <x v="1"/>
    <x v="4"/>
    <x v="0"/>
    <m/>
    <m/>
    <m/>
    <n v="695"/>
    <n v="1200.2777777777778"/>
    <n v="1"/>
    <n v="0.69499999999999995"/>
    <n v="1.2002777777777778"/>
    <n v="3.7905555555555557"/>
    <n v="1"/>
    <n v="0.83419305555555556"/>
  </r>
  <r>
    <n v="1"/>
    <s v="PARAPET"/>
    <s v="North"/>
    <x v="316"/>
    <m/>
    <m/>
    <m/>
    <m/>
    <x v="1"/>
    <x v="4"/>
    <x v="0"/>
    <m/>
    <m/>
    <m/>
    <n v="695"/>
    <n v="1200.2777777777778"/>
    <n v="1"/>
    <n v="0.69499999999999995"/>
    <n v="1.2002777777777778"/>
    <n v="3.7905555555555557"/>
    <n v="1"/>
    <n v="0.83419305555555556"/>
  </r>
  <r>
    <n v="1"/>
    <s v="PARAPET"/>
    <s v="North"/>
    <x v="317"/>
    <m/>
    <m/>
    <m/>
    <m/>
    <x v="1"/>
    <x v="4"/>
    <x v="0"/>
    <m/>
    <m/>
    <m/>
    <n v="695"/>
    <n v="1200.2777777777778"/>
    <n v="1"/>
    <n v="0.69499999999999995"/>
    <n v="1.2002777777777778"/>
    <n v="3.7905555555555557"/>
    <n v="1"/>
    <n v="0.83419305555555556"/>
  </r>
  <r>
    <n v="1"/>
    <s v="LEVEL 0"/>
    <s v="south"/>
    <x v="318"/>
    <m/>
    <m/>
    <m/>
    <m/>
    <x v="1"/>
    <x v="3"/>
    <x v="0"/>
    <m/>
    <m/>
    <m/>
    <n v="2010"/>
    <n v="1145"/>
    <n v="1"/>
    <n v="2.0099999999999998"/>
    <n v="1.145"/>
    <n v="6.31"/>
    <n v="1"/>
    <n v="2.30145"/>
  </r>
  <r>
    <n v="1"/>
    <s v="PARAPET"/>
    <s v="south"/>
    <x v="319"/>
    <m/>
    <m/>
    <m/>
    <m/>
    <x v="1"/>
    <x v="4"/>
    <x v="0"/>
    <m/>
    <m/>
    <m/>
    <n v="900"/>
    <n v="1742.7777777777778"/>
    <n v="1"/>
    <n v="0.9"/>
    <n v="1.7427777777777778"/>
    <n v="5.2855555555555558"/>
    <n v="1"/>
    <n v="1.5685"/>
  </r>
  <r>
    <n v="1"/>
    <s v="PARAPET"/>
    <s v="south"/>
    <x v="320"/>
    <m/>
    <m/>
    <m/>
    <m/>
    <x v="1"/>
    <x v="4"/>
    <x v="0"/>
    <m/>
    <m/>
    <m/>
    <n v="900"/>
    <n v="1742.7777777777778"/>
    <n v="1"/>
    <n v="0.9"/>
    <n v="1.7427777777777778"/>
    <n v="5.2855555555555558"/>
    <n v="1"/>
    <n v="1.5685"/>
  </r>
  <r>
    <n v="1"/>
    <s v="PARAPET"/>
    <s v="south"/>
    <x v="321"/>
    <m/>
    <m/>
    <m/>
    <m/>
    <x v="1"/>
    <x v="4"/>
    <x v="0"/>
    <m/>
    <m/>
    <m/>
    <n v="900"/>
    <n v="1742.7777777777778"/>
    <n v="1"/>
    <n v="0.9"/>
    <n v="1.7427777777777778"/>
    <n v="5.2855555555555558"/>
    <n v="1"/>
    <n v="1.5685"/>
  </r>
  <r>
    <n v="1"/>
    <s v="PARAPET"/>
    <s v="south"/>
    <x v="322"/>
    <m/>
    <m/>
    <m/>
    <m/>
    <x v="1"/>
    <x v="4"/>
    <x v="0"/>
    <m/>
    <m/>
    <m/>
    <n v="900"/>
    <n v="1742.7777777777778"/>
    <n v="1"/>
    <n v="0.9"/>
    <n v="1.7427777777777778"/>
    <n v="5.2855555555555558"/>
    <n v="1"/>
    <n v="1.5685"/>
  </r>
  <r>
    <n v="1"/>
    <s v="PARAPET"/>
    <s v="south"/>
    <x v="323"/>
    <m/>
    <m/>
    <m/>
    <m/>
    <x v="1"/>
    <x v="4"/>
    <x v="0"/>
    <m/>
    <m/>
    <m/>
    <n v="900"/>
    <n v="1742.7777777777778"/>
    <n v="1"/>
    <n v="0.9"/>
    <n v="1.7427777777777778"/>
    <n v="5.2855555555555558"/>
    <n v="1"/>
    <n v="1.5685"/>
  </r>
  <r>
    <n v="1"/>
    <s v="PARAPET"/>
    <s v="south"/>
    <x v="324"/>
    <m/>
    <m/>
    <m/>
    <m/>
    <x v="1"/>
    <x v="4"/>
    <x v="0"/>
    <m/>
    <m/>
    <m/>
    <n v="900"/>
    <n v="1742.7777777777778"/>
    <n v="1"/>
    <n v="0.9"/>
    <n v="1.7427777777777778"/>
    <n v="5.2855555555555558"/>
    <n v="1"/>
    <n v="1.5685"/>
  </r>
  <r>
    <n v="1"/>
    <s v="PARAPET"/>
    <s v="south"/>
    <x v="325"/>
    <m/>
    <m/>
    <m/>
    <m/>
    <x v="1"/>
    <x v="4"/>
    <x v="0"/>
    <m/>
    <m/>
    <m/>
    <n v="900"/>
    <n v="1742.7777777777778"/>
    <n v="1"/>
    <n v="0.9"/>
    <n v="1.7427777777777778"/>
    <n v="5.2855555555555558"/>
    <n v="1"/>
    <n v="1.5685"/>
  </r>
  <r>
    <n v="1"/>
    <s v="PARAPET"/>
    <s v="south"/>
    <x v="326"/>
    <m/>
    <m/>
    <m/>
    <m/>
    <x v="1"/>
    <x v="4"/>
    <x v="0"/>
    <m/>
    <m/>
    <m/>
    <n v="900"/>
    <n v="1742.7777777777778"/>
    <n v="1"/>
    <n v="0.9"/>
    <n v="1.7427777777777778"/>
    <n v="5.2855555555555558"/>
    <n v="1"/>
    <n v="1.5685"/>
  </r>
  <r>
    <n v="1"/>
    <s v="PARAPET"/>
    <s v="south"/>
    <x v="327"/>
    <m/>
    <m/>
    <m/>
    <m/>
    <x v="1"/>
    <x v="4"/>
    <x v="0"/>
    <m/>
    <m/>
    <m/>
    <n v="900"/>
    <n v="1742.7777777777778"/>
    <n v="1"/>
    <n v="0.9"/>
    <n v="1.7427777777777778"/>
    <n v="5.2855555555555558"/>
    <n v="1"/>
    <n v="1.5685"/>
  </r>
  <r>
    <n v="1"/>
    <s v="PARAPET"/>
    <s v="south"/>
    <x v="328"/>
    <m/>
    <m/>
    <m/>
    <m/>
    <x v="1"/>
    <x v="4"/>
    <x v="0"/>
    <m/>
    <m/>
    <m/>
    <n v="900"/>
    <n v="1742.7777777777778"/>
    <n v="1"/>
    <n v="0.9"/>
    <n v="1.7427777777777778"/>
    <n v="5.2855555555555558"/>
    <n v="1"/>
    <n v="1.5685"/>
  </r>
  <r>
    <n v="1"/>
    <s v="PARAPET"/>
    <s v="south"/>
    <x v="329"/>
    <m/>
    <m/>
    <m/>
    <m/>
    <x v="1"/>
    <x v="4"/>
    <x v="0"/>
    <m/>
    <m/>
    <m/>
    <n v="900"/>
    <n v="1742.7777777777778"/>
    <n v="1"/>
    <n v="0.9"/>
    <n v="1.7427777777777778"/>
    <n v="5.2855555555555558"/>
    <n v="1"/>
    <n v="1.5685"/>
  </r>
  <r>
    <n v="1"/>
    <s v="PARAPET"/>
    <s v="south"/>
    <x v="330"/>
    <m/>
    <m/>
    <m/>
    <m/>
    <x v="1"/>
    <x v="4"/>
    <x v="0"/>
    <m/>
    <m/>
    <m/>
    <n v="900"/>
    <n v="1742.7777777777778"/>
    <n v="1"/>
    <n v="0.9"/>
    <n v="1.7427777777777778"/>
    <n v="5.2855555555555558"/>
    <n v="1"/>
    <n v="1.5685"/>
  </r>
  <r>
    <n v="1"/>
    <s v="PARAPET"/>
    <s v="south"/>
    <x v="331"/>
    <m/>
    <m/>
    <m/>
    <m/>
    <x v="1"/>
    <x v="4"/>
    <x v="0"/>
    <m/>
    <m/>
    <m/>
    <n v="900"/>
    <n v="1742.7777777777778"/>
    <n v="1"/>
    <n v="0.9"/>
    <n v="1.7427777777777778"/>
    <n v="5.2855555555555558"/>
    <n v="1"/>
    <n v="1.5685"/>
  </r>
  <r>
    <n v="1"/>
    <s v="PARAPET"/>
    <s v="south"/>
    <x v="332"/>
    <m/>
    <m/>
    <m/>
    <m/>
    <x v="1"/>
    <x v="4"/>
    <x v="0"/>
    <m/>
    <m/>
    <m/>
    <n v="900"/>
    <n v="1742.7777777777778"/>
    <n v="1"/>
    <n v="0.9"/>
    <n v="1.7427777777777778"/>
    <n v="5.2855555555555558"/>
    <n v="1"/>
    <n v="1.5685"/>
  </r>
  <r>
    <n v="1"/>
    <s v="PARAPET"/>
    <s v="south"/>
    <x v="333"/>
    <m/>
    <m/>
    <m/>
    <m/>
    <x v="1"/>
    <x v="4"/>
    <x v="0"/>
    <m/>
    <m/>
    <m/>
    <n v="900"/>
    <n v="1742.7777777777778"/>
    <n v="1"/>
    <n v="0.9"/>
    <n v="1.7427777777777778"/>
    <n v="5.2855555555555558"/>
    <n v="1"/>
    <n v="1.5685"/>
  </r>
  <r>
    <n v="1"/>
    <s v="PARAPET"/>
    <s v="south"/>
    <x v="334"/>
    <m/>
    <m/>
    <m/>
    <m/>
    <x v="1"/>
    <x v="4"/>
    <x v="0"/>
    <m/>
    <m/>
    <m/>
    <n v="900"/>
    <n v="1742.7777777777778"/>
    <n v="1"/>
    <n v="0.9"/>
    <n v="1.7427777777777778"/>
    <n v="5.2855555555555558"/>
    <n v="1"/>
    <n v="1.5685"/>
  </r>
  <r>
    <n v="1"/>
    <s v="PARAPET"/>
    <s v="south"/>
    <x v="335"/>
    <m/>
    <m/>
    <m/>
    <m/>
    <x v="1"/>
    <x v="4"/>
    <x v="0"/>
    <m/>
    <m/>
    <m/>
    <n v="900"/>
    <n v="1742.7777777777778"/>
    <n v="1"/>
    <n v="0.9"/>
    <n v="1.7427777777777778"/>
    <n v="5.2855555555555558"/>
    <n v="1"/>
    <n v="1.5685"/>
  </r>
  <r>
    <n v="1"/>
    <s v="PARAPET"/>
    <s v="south"/>
    <x v="336"/>
    <m/>
    <m/>
    <m/>
    <m/>
    <x v="1"/>
    <x v="4"/>
    <x v="0"/>
    <m/>
    <m/>
    <m/>
    <n v="900"/>
    <n v="1742.7777777777778"/>
    <n v="1"/>
    <n v="0.9"/>
    <n v="1.7427777777777778"/>
    <n v="5.2855555555555558"/>
    <n v="1"/>
    <n v="1.5685"/>
  </r>
  <r>
    <n v="1"/>
    <s v="LEVEL 0"/>
    <s v="south"/>
    <x v="337"/>
    <m/>
    <m/>
    <m/>
    <m/>
    <x v="1"/>
    <x v="4"/>
    <x v="0"/>
    <m/>
    <m/>
    <m/>
    <n v="3595"/>
    <n v="700"/>
    <n v="1"/>
    <n v="3.5950000000000002"/>
    <n v="0.7"/>
    <n v="8.59"/>
    <n v="1"/>
    <n v="2.5165000000000002"/>
  </r>
  <r>
    <n v="1"/>
    <s v="LEVEL 0"/>
    <s v="south"/>
    <x v="338"/>
    <m/>
    <m/>
    <m/>
    <m/>
    <x v="1"/>
    <x v="4"/>
    <x v="0"/>
    <m/>
    <m/>
    <m/>
    <n v="3595"/>
    <n v="330"/>
    <n v="1"/>
    <n v="3.5950000000000002"/>
    <n v="0.33"/>
    <n v="7.85"/>
    <n v="1"/>
    <n v="1.1863500000000002"/>
  </r>
  <r>
    <n v="1"/>
    <s v="LEVEL 0"/>
    <s v="south"/>
    <x v="339"/>
    <m/>
    <m/>
    <m/>
    <m/>
    <x v="1"/>
    <x v="4"/>
    <x v="0"/>
    <m/>
    <m/>
    <m/>
    <n v="750"/>
    <n v="1758.5714285714287"/>
    <n v="1"/>
    <n v="0.75"/>
    <n v="1.7585714285714287"/>
    <n v="5.0171428571428569"/>
    <n v="1"/>
    <n v="1.3189285714285715"/>
  </r>
  <r>
    <n v="1"/>
    <s v="LEVEL 0"/>
    <s v="south"/>
    <x v="340"/>
    <m/>
    <m/>
    <m/>
    <m/>
    <x v="1"/>
    <x v="4"/>
    <x v="0"/>
    <m/>
    <m/>
    <m/>
    <n v="750"/>
    <n v="1758.5714285714287"/>
    <n v="1"/>
    <n v="0.75"/>
    <n v="1.7585714285714287"/>
    <n v="5.0171428571428569"/>
    <n v="1"/>
    <n v="1.3189285714285715"/>
  </r>
  <r>
    <n v="1"/>
    <s v="LEVEL 0"/>
    <s v="south"/>
    <x v="341"/>
    <m/>
    <m/>
    <m/>
    <m/>
    <x v="1"/>
    <x v="4"/>
    <x v="0"/>
    <m/>
    <m/>
    <m/>
    <n v="750"/>
    <n v="1758.5714285714287"/>
    <n v="1"/>
    <n v="0.75"/>
    <n v="1.7585714285714287"/>
    <n v="5.0171428571428569"/>
    <n v="1"/>
    <n v="1.3189285714285715"/>
  </r>
  <r>
    <n v="1"/>
    <s v="LEVEL 0"/>
    <s v="south"/>
    <x v="342"/>
    <m/>
    <m/>
    <m/>
    <m/>
    <x v="1"/>
    <x v="4"/>
    <x v="0"/>
    <m/>
    <m/>
    <m/>
    <n v="750"/>
    <n v="1758.5714285714287"/>
    <n v="1"/>
    <n v="0.75"/>
    <n v="1.7585714285714287"/>
    <n v="5.0171428571428569"/>
    <n v="1"/>
    <n v="1.3189285714285715"/>
  </r>
  <r>
    <n v="1"/>
    <s v="LEVEL 0"/>
    <s v="south"/>
    <x v="343"/>
    <m/>
    <m/>
    <m/>
    <m/>
    <x v="1"/>
    <x v="4"/>
    <x v="0"/>
    <m/>
    <m/>
    <m/>
    <n v="750"/>
    <n v="1758.5714285714287"/>
    <n v="1"/>
    <n v="0.75"/>
    <n v="1.7585714285714287"/>
    <n v="5.0171428571428569"/>
    <n v="1"/>
    <n v="1.3189285714285715"/>
  </r>
  <r>
    <n v="1"/>
    <s v="LEVEL 0"/>
    <s v="south"/>
    <x v="344"/>
    <m/>
    <m/>
    <m/>
    <m/>
    <x v="1"/>
    <x v="4"/>
    <x v="0"/>
    <m/>
    <m/>
    <m/>
    <n v="750"/>
    <n v="1758.5714285714287"/>
    <n v="1"/>
    <n v="0.75"/>
    <n v="1.7585714285714287"/>
    <n v="5.0171428571428569"/>
    <n v="1"/>
    <n v="1.3189285714285715"/>
  </r>
  <r>
    <n v="1"/>
    <s v="LEVEL 0"/>
    <s v="south"/>
    <x v="345"/>
    <m/>
    <m/>
    <m/>
    <m/>
    <x v="1"/>
    <x v="4"/>
    <x v="0"/>
    <m/>
    <m/>
    <m/>
    <n v="750"/>
    <n v="1758.5714285714287"/>
    <n v="1"/>
    <n v="0.75"/>
    <n v="1.7585714285714287"/>
    <n v="5.0171428571428569"/>
    <n v="1"/>
    <n v="1.3189285714285715"/>
  </r>
  <r>
    <n v="1"/>
    <s v="LVEL 0"/>
    <s v="south"/>
    <x v="346"/>
    <m/>
    <m/>
    <m/>
    <m/>
    <x v="1"/>
    <x v="4"/>
    <x v="10"/>
    <m/>
    <m/>
    <s v="L0-07"/>
    <n v="750"/>
    <n v="450"/>
    <n v="1"/>
    <n v="0.75"/>
    <n v="0.45"/>
    <n v="2.4"/>
    <n v="1"/>
    <n v="0.33750000000000002"/>
  </r>
  <r>
    <n v="1"/>
    <s v="LVEL 0"/>
    <s v="south"/>
    <x v="347"/>
    <m/>
    <m/>
    <m/>
    <m/>
    <x v="1"/>
    <x v="4"/>
    <x v="0"/>
    <m/>
    <m/>
    <m/>
    <n v="750"/>
    <n v="1535"/>
    <n v="1"/>
    <n v="0.75"/>
    <n v="1.5349999999999999"/>
    <n v="4.57"/>
    <n v="1"/>
    <n v="1.1512500000000001"/>
  </r>
  <r>
    <n v="1"/>
    <s v="LVEL 0"/>
    <s v="south"/>
    <x v="348"/>
    <m/>
    <m/>
    <m/>
    <m/>
    <x v="1"/>
    <x v="4"/>
    <x v="0"/>
    <m/>
    <m/>
    <m/>
    <n v="750"/>
    <n v="1535"/>
    <n v="1"/>
    <n v="0.75"/>
    <n v="1.5349999999999999"/>
    <n v="4.57"/>
    <n v="1"/>
    <n v="1.1512500000000001"/>
  </r>
  <r>
    <n v="1"/>
    <s v="LVEL 0"/>
    <s v="south"/>
    <x v="349"/>
    <m/>
    <m/>
    <m/>
    <m/>
    <x v="1"/>
    <x v="4"/>
    <x v="0"/>
    <m/>
    <m/>
    <m/>
    <n v="750"/>
    <n v="1535"/>
    <n v="1"/>
    <n v="0.75"/>
    <n v="1.5349999999999999"/>
    <n v="4.57"/>
    <n v="1"/>
    <n v="1.1512500000000001"/>
  </r>
  <r>
    <n v="1"/>
    <s v="LVEL 0"/>
    <s v="south"/>
    <x v="350"/>
    <m/>
    <m/>
    <m/>
    <m/>
    <x v="1"/>
    <x v="4"/>
    <x v="0"/>
    <m/>
    <m/>
    <m/>
    <n v="750"/>
    <n v="1535"/>
    <n v="1"/>
    <n v="0.75"/>
    <n v="1.5349999999999999"/>
    <n v="4.57"/>
    <n v="1"/>
    <n v="1.1512500000000001"/>
  </r>
  <r>
    <n v="1"/>
    <s v="LVEL 0"/>
    <s v="south"/>
    <x v="351"/>
    <m/>
    <m/>
    <m/>
    <m/>
    <x v="1"/>
    <x v="4"/>
    <x v="0"/>
    <m/>
    <m/>
    <m/>
    <n v="750"/>
    <n v="1535"/>
    <n v="1"/>
    <n v="0.75"/>
    <n v="1.5349999999999999"/>
    <n v="4.57"/>
    <n v="1"/>
    <n v="1.1512500000000001"/>
  </r>
  <r>
    <n v="1"/>
    <s v="LVEL 0"/>
    <s v="south"/>
    <x v="352"/>
    <m/>
    <m/>
    <m/>
    <m/>
    <x v="1"/>
    <x v="4"/>
    <x v="0"/>
    <m/>
    <m/>
    <m/>
    <n v="750"/>
    <n v="1535"/>
    <n v="1"/>
    <n v="0.75"/>
    <n v="1.5349999999999999"/>
    <n v="4.57"/>
    <n v="1"/>
    <n v="1.1512500000000001"/>
  </r>
  <r>
    <n v="1"/>
    <s v="LVEL 0"/>
    <s v="south"/>
    <x v="353"/>
    <m/>
    <m/>
    <m/>
    <m/>
    <x v="1"/>
    <x v="4"/>
    <x v="10"/>
    <m/>
    <m/>
    <s v="L0-06"/>
    <n v="750"/>
    <n v="450"/>
    <n v="1"/>
    <n v="0.75"/>
    <n v="0.45"/>
    <n v="2.4"/>
    <n v="1"/>
    <n v="0.33750000000000002"/>
  </r>
  <r>
    <n v="1"/>
    <s v="LVEL 0"/>
    <s v="south"/>
    <x v="354"/>
    <m/>
    <m/>
    <m/>
    <m/>
    <x v="1"/>
    <x v="4"/>
    <x v="0"/>
    <m/>
    <m/>
    <m/>
    <n v="750"/>
    <n v="1702"/>
    <n v="1"/>
    <n v="0.75"/>
    <n v="1.702"/>
    <n v="4.9039999999999999"/>
    <n v="1"/>
    <n v="1.2765"/>
  </r>
  <r>
    <n v="1"/>
    <s v="LVEL 0"/>
    <s v="south"/>
    <x v="355"/>
    <m/>
    <m/>
    <m/>
    <m/>
    <x v="1"/>
    <x v="4"/>
    <x v="0"/>
    <m/>
    <m/>
    <m/>
    <n v="750"/>
    <n v="1702"/>
    <n v="1"/>
    <n v="0.75"/>
    <n v="1.702"/>
    <n v="4.9039999999999999"/>
    <n v="1"/>
    <n v="1.2765"/>
  </r>
  <r>
    <n v="1"/>
    <s v="LVEL 0"/>
    <s v="south"/>
    <x v="356"/>
    <m/>
    <m/>
    <m/>
    <m/>
    <x v="1"/>
    <x v="4"/>
    <x v="0"/>
    <m/>
    <m/>
    <m/>
    <n v="750"/>
    <n v="1702"/>
    <n v="1"/>
    <n v="0.75"/>
    <n v="1.702"/>
    <n v="4.9039999999999999"/>
    <n v="1"/>
    <n v="1.2765"/>
  </r>
  <r>
    <n v="1"/>
    <s v="LVEL 0"/>
    <s v="south"/>
    <x v="357"/>
    <m/>
    <m/>
    <m/>
    <m/>
    <x v="1"/>
    <x v="4"/>
    <x v="0"/>
    <m/>
    <m/>
    <m/>
    <n v="750"/>
    <n v="1702"/>
    <n v="1"/>
    <n v="0.75"/>
    <n v="1.702"/>
    <n v="4.9039999999999999"/>
    <n v="1"/>
    <n v="1.2765"/>
  </r>
  <r>
    <n v="1"/>
    <s v="LVEL 0"/>
    <s v="south"/>
    <x v="358"/>
    <m/>
    <m/>
    <m/>
    <m/>
    <x v="1"/>
    <x v="4"/>
    <x v="0"/>
    <m/>
    <m/>
    <m/>
    <n v="750"/>
    <n v="1702"/>
    <n v="1"/>
    <n v="0.75"/>
    <n v="1.702"/>
    <n v="4.9039999999999999"/>
    <n v="1"/>
    <n v="1.2765"/>
  </r>
  <r>
    <n v="1"/>
    <s v="LVEL 0"/>
    <s v="south"/>
    <x v="359"/>
    <m/>
    <m/>
    <m/>
    <m/>
    <x v="1"/>
    <x v="4"/>
    <x v="0"/>
    <m/>
    <m/>
    <m/>
    <n v="3105"/>
    <n v="325"/>
    <n v="1"/>
    <n v="3.105"/>
    <n v="0.32500000000000001"/>
    <n v="6.86"/>
    <n v="1"/>
    <n v="1.009125"/>
  </r>
  <r>
    <n v="1"/>
    <s v="LVEL 0"/>
    <s v="south"/>
    <x v="360"/>
    <m/>
    <m/>
    <m/>
    <m/>
    <x v="1"/>
    <x v="4"/>
    <x v="0"/>
    <m/>
    <m/>
    <m/>
    <n v="3105"/>
    <n v="135"/>
    <n v="1"/>
    <n v="3.105"/>
    <n v="0.13500000000000001"/>
    <n v="6.48"/>
    <n v="1"/>
    <n v="0.41917500000000002"/>
  </r>
  <r>
    <n v="1"/>
    <s v="LVEL 0"/>
    <s v="south"/>
    <x v="361"/>
    <m/>
    <m/>
    <m/>
    <m/>
    <x v="1"/>
    <x v="4"/>
    <x v="0"/>
    <m/>
    <m/>
    <m/>
    <n v="2200"/>
    <n v="305"/>
    <n v="1"/>
    <n v="2.2000000000000002"/>
    <n v="0.30499999999999999"/>
    <n v="5.01"/>
    <n v="1"/>
    <n v="0.67100000000000004"/>
  </r>
  <r>
    <n v="1"/>
    <s v="LVEL 0"/>
    <s v="south"/>
    <x v="362"/>
    <m/>
    <m/>
    <m/>
    <m/>
    <x v="1"/>
    <x v="4"/>
    <x v="0"/>
    <m/>
    <m/>
    <m/>
    <n v="2200"/>
    <n v="135"/>
    <n v="1"/>
    <n v="2.2000000000000002"/>
    <n v="0.13500000000000001"/>
    <n v="4.67"/>
    <n v="1"/>
    <n v="0.29699999999999999"/>
  </r>
  <r>
    <n v="1"/>
    <s v="LVEL 0"/>
    <s v="south"/>
    <x v="363"/>
    <m/>
    <m/>
    <m/>
    <m/>
    <x v="1"/>
    <x v="4"/>
    <x v="0"/>
    <m/>
    <m/>
    <m/>
    <n v="2200"/>
    <n v="135"/>
    <n v="1"/>
    <n v="2.2000000000000002"/>
    <n v="0.13500000000000001"/>
    <n v="4.67"/>
    <n v="1"/>
    <n v="0.29699999999999999"/>
  </r>
  <r>
    <n v="1"/>
    <s v="LVEL 0"/>
    <s v="south"/>
    <x v="364"/>
    <m/>
    <m/>
    <m/>
    <m/>
    <x v="1"/>
    <x v="4"/>
    <x v="0"/>
    <m/>
    <m/>
    <m/>
    <n v="565"/>
    <n v="1645"/>
    <n v="1"/>
    <n v="0.56499999999999995"/>
    <n v="1.645"/>
    <n v="4.42"/>
    <n v="1"/>
    <n v="0.92942499999999995"/>
  </r>
  <r>
    <n v="1"/>
    <s v="LVEL 0"/>
    <s v="south"/>
    <x v="365"/>
    <m/>
    <m/>
    <m/>
    <m/>
    <x v="1"/>
    <x v="4"/>
    <x v="0"/>
    <m/>
    <m/>
    <m/>
    <n v="565"/>
    <n v="135"/>
    <n v="1"/>
    <n v="0.56499999999999995"/>
    <n v="0.13500000000000001"/>
    <n v="1.4"/>
    <n v="1"/>
    <n v="7.6274999999999996E-2"/>
  </r>
  <r>
    <n v="1"/>
    <s v="LVEL 0"/>
    <s v="south"/>
    <x v="366"/>
    <m/>
    <m/>
    <m/>
    <m/>
    <x v="1"/>
    <x v="4"/>
    <x v="0"/>
    <m/>
    <m/>
    <m/>
    <n v="565"/>
    <n v="135"/>
    <n v="1"/>
    <n v="0.56499999999999995"/>
    <n v="0.13500000000000001"/>
    <n v="1.4"/>
    <n v="1"/>
    <n v="7.6274999999999996E-2"/>
  </r>
  <r>
    <n v="1"/>
    <s v="LVEL 0"/>
    <s v="south"/>
    <x v="367"/>
    <m/>
    <m/>
    <m/>
    <m/>
    <x v="1"/>
    <x v="4"/>
    <x v="10"/>
    <m/>
    <m/>
    <s v="L0-09"/>
    <n v="1575"/>
    <n v="1300"/>
    <n v="1"/>
    <n v="1.575"/>
    <n v="1.3"/>
    <n v="5.75"/>
    <n v="1"/>
    <n v="2.0474999999999999"/>
  </r>
  <r>
    <n v="1"/>
    <s v="LVEL 0"/>
    <s v="south"/>
    <x v="368"/>
    <m/>
    <m/>
    <m/>
    <m/>
    <x v="1"/>
    <x v="4"/>
    <x v="0"/>
    <m/>
    <m/>
    <m/>
    <n v="1575"/>
    <n v="345"/>
    <n v="1"/>
    <n v="1.575"/>
    <n v="0.34499999999999997"/>
    <n v="3.84"/>
    <n v="1"/>
    <n v="0.54337500000000005"/>
  </r>
  <r>
    <n v="1"/>
    <s v="LVEL 0"/>
    <s v="south"/>
    <x v="369"/>
    <m/>
    <m/>
    <m/>
    <m/>
    <x v="1"/>
    <x v="4"/>
    <x v="0"/>
    <m/>
    <m/>
    <m/>
    <n v="1575"/>
    <n v="135"/>
    <n v="1"/>
    <n v="1.575"/>
    <n v="0.13500000000000001"/>
    <n v="3.42"/>
    <n v="1"/>
    <n v="0.21262500000000001"/>
  </r>
  <r>
    <n v="1"/>
    <s v="LVEL 0"/>
    <s v="south"/>
    <x v="370"/>
    <m/>
    <m/>
    <m/>
    <m/>
    <x v="1"/>
    <x v="4"/>
    <x v="0"/>
    <m/>
    <m/>
    <m/>
    <n v="1575"/>
    <n v="135"/>
    <n v="1"/>
    <n v="1.575"/>
    <n v="0.13500000000000001"/>
    <n v="3.42"/>
    <n v="1"/>
    <n v="0.21262500000000001"/>
  </r>
  <r>
    <n v="1"/>
    <s v="LVEL 0"/>
    <s v="south"/>
    <x v="371"/>
    <m/>
    <m/>
    <m/>
    <m/>
    <x v="1"/>
    <x v="4"/>
    <x v="0"/>
    <m/>
    <m/>
    <m/>
    <n v="2100"/>
    <n v="245"/>
    <n v="1"/>
    <n v="2.1"/>
    <n v="0.245"/>
    <n v="4.6900000000000004"/>
    <n v="1"/>
    <n v="0.51449999999999996"/>
  </r>
  <r>
    <n v="1"/>
    <s v="LVEL 0"/>
    <s v="south"/>
    <x v="372"/>
    <m/>
    <m/>
    <m/>
    <m/>
    <x v="1"/>
    <x v="4"/>
    <x v="10"/>
    <m/>
    <m/>
    <s v="L0-08"/>
    <n v="2100"/>
    <n v="1150"/>
    <n v="1"/>
    <n v="2.1"/>
    <n v="1.1499999999999999"/>
    <n v="6.5"/>
    <n v="1"/>
    <n v="2.415"/>
  </r>
  <r>
    <n v="1"/>
    <s v="LVEL 0"/>
    <s v="south"/>
    <x v="373"/>
    <m/>
    <m/>
    <m/>
    <m/>
    <x v="1"/>
    <x v="4"/>
    <x v="0"/>
    <m/>
    <m/>
    <m/>
    <n v="2100"/>
    <n v="230"/>
    <n v="1"/>
    <n v="2.1"/>
    <n v="0.23"/>
    <n v="4.66"/>
    <n v="1"/>
    <n v="0.48299999999999998"/>
  </r>
  <r>
    <n v="1"/>
    <s v="LVEL 0"/>
    <s v="south"/>
    <x v="374"/>
    <m/>
    <m/>
    <m/>
    <m/>
    <x v="1"/>
    <x v="4"/>
    <x v="0"/>
    <m/>
    <m/>
    <m/>
    <n v="160"/>
    <n v="1625"/>
    <n v="1"/>
    <n v="0.16"/>
    <n v="1.625"/>
    <n v="3.57"/>
    <n v="1"/>
    <n v="0.26"/>
  </r>
  <r>
    <n v="1"/>
    <s v="LVEL 0"/>
    <s v="south"/>
    <x v="375"/>
    <m/>
    <m/>
    <m/>
    <m/>
    <x v="1"/>
    <x v="4"/>
    <x v="10"/>
    <m/>
    <m/>
    <s v="L0-08"/>
    <n v="2100"/>
    <n v="150"/>
    <n v="1"/>
    <n v="2.1"/>
    <n v="0.15"/>
    <n v="4.5"/>
    <n v="1"/>
    <n v="0.315"/>
  </r>
  <r>
    <n v="1"/>
    <s v="LVEL 0"/>
    <s v="south"/>
    <x v="376"/>
    <m/>
    <m/>
    <m/>
    <m/>
    <x v="1"/>
    <x v="4"/>
    <x v="0"/>
    <m/>
    <m/>
    <m/>
    <n v="2100"/>
    <n v="195"/>
    <n v="1"/>
    <n v="2.1"/>
    <n v="0.19500000000000001"/>
    <n v="4.59"/>
    <n v="1"/>
    <n v="0.40949999999999998"/>
  </r>
  <r>
    <n v="1"/>
    <s v="LVEL 0"/>
    <s v="south"/>
    <x v="377"/>
    <m/>
    <m/>
    <m/>
    <m/>
    <x v="1"/>
    <x v="4"/>
    <x v="0"/>
    <m/>
    <m/>
    <m/>
    <n v="100"/>
    <n v="1625"/>
    <n v="1"/>
    <n v="0.1"/>
    <n v="1.625"/>
    <n v="3.45"/>
    <n v="1"/>
    <n v="0.16250000000000001"/>
  </r>
  <r>
    <n v="1"/>
    <s v="LVEL 0"/>
    <s v="south"/>
    <x v="378"/>
    <m/>
    <m/>
    <m/>
    <m/>
    <x v="1"/>
    <x v="4"/>
    <x v="0"/>
    <m/>
    <m/>
    <m/>
    <n v="2200"/>
    <n v="500"/>
    <n v="1"/>
    <n v="2.2000000000000002"/>
    <n v="0.5"/>
    <n v="5.4"/>
    <n v="1"/>
    <n v="1.1000000000000001"/>
  </r>
  <r>
    <n v="1"/>
    <s v="LVEL 0"/>
    <s v="south"/>
    <x v="379"/>
    <m/>
    <m/>
    <m/>
    <m/>
    <x v="1"/>
    <x v="4"/>
    <x v="0"/>
    <m/>
    <m/>
    <m/>
    <n v="1575"/>
    <n v="530"/>
    <n v="1"/>
    <n v="1.575"/>
    <n v="0.53"/>
    <n v="4.21"/>
    <n v="1"/>
    <n v="0.83474999999999999"/>
  </r>
  <r>
    <n v="1"/>
    <s v="LVEL 0"/>
    <s v="south"/>
    <x v="380"/>
    <m/>
    <m/>
    <m/>
    <m/>
    <x v="1"/>
    <x v="4"/>
    <x v="0"/>
    <m/>
    <m/>
    <m/>
    <n v="920"/>
    <n v="1395.6666666666667"/>
    <n v="1"/>
    <n v="0.92"/>
    <n v="1.3956666666666668"/>
    <n v="4.631333333333334"/>
    <n v="1"/>
    <n v="1.2840133333333335"/>
  </r>
  <r>
    <n v="1"/>
    <s v="LVEL 0"/>
    <s v="south"/>
    <x v="381"/>
    <m/>
    <m/>
    <m/>
    <m/>
    <x v="1"/>
    <x v="4"/>
    <x v="0"/>
    <m/>
    <m/>
    <m/>
    <n v="920"/>
    <n v="1395.6666666666667"/>
    <n v="1"/>
    <n v="0.92"/>
    <n v="1.3956666666666668"/>
    <n v="4.631333333333334"/>
    <n v="1"/>
    <n v="1.2840133333333335"/>
  </r>
  <r>
    <n v="1"/>
    <s v="LVEL 0"/>
    <s v="south"/>
    <x v="382"/>
    <m/>
    <m/>
    <m/>
    <m/>
    <x v="1"/>
    <x v="4"/>
    <x v="0"/>
    <m/>
    <m/>
    <m/>
    <n v="920"/>
    <n v="1395.6666666666667"/>
    <n v="1"/>
    <n v="0.92"/>
    <n v="1.3956666666666668"/>
    <n v="4.631333333333334"/>
    <n v="1"/>
    <n v="1.2840133333333335"/>
  </r>
  <r>
    <n v="1"/>
    <s v="LVEL 0"/>
    <s v="south"/>
    <x v="383"/>
    <m/>
    <m/>
    <m/>
    <m/>
    <x v="1"/>
    <x v="4"/>
    <x v="0"/>
    <m/>
    <m/>
    <m/>
    <n v="2740"/>
    <n v="1025"/>
    <n v="1"/>
    <n v="2.74"/>
    <n v="1.0249999999999999"/>
    <n v="7.53"/>
    <n v="1"/>
    <n v="2.8085"/>
  </r>
  <r>
    <n v="1"/>
    <s v="LVEL 0"/>
    <s v="south"/>
    <x v="384"/>
    <m/>
    <m/>
    <m/>
    <m/>
    <x v="1"/>
    <x v="4"/>
    <x v="0"/>
    <m/>
    <m/>
    <m/>
    <n v="1265"/>
    <n v="1769"/>
    <n v="1"/>
    <n v="1.2649999999999999"/>
    <n v="1.7689999999999999"/>
    <n v="6.0679999999999996"/>
    <n v="1"/>
    <n v="2.2377849999999997"/>
  </r>
  <r>
    <n v="1"/>
    <s v="LVEL 0"/>
    <s v="south"/>
    <x v="385"/>
    <m/>
    <m/>
    <m/>
    <m/>
    <x v="1"/>
    <x v="4"/>
    <x v="0"/>
    <m/>
    <m/>
    <m/>
    <n v="1265"/>
    <n v="1769"/>
    <n v="1"/>
    <n v="1.2649999999999999"/>
    <n v="1.7689999999999999"/>
    <n v="6.0679999999999996"/>
    <n v="1"/>
    <n v="2.2377849999999997"/>
  </r>
  <r>
    <n v="1"/>
    <s v="LVEL 0"/>
    <s v="south"/>
    <x v="386"/>
    <m/>
    <m/>
    <m/>
    <m/>
    <x v="1"/>
    <x v="4"/>
    <x v="0"/>
    <m/>
    <m/>
    <m/>
    <n v="1265"/>
    <n v="1769"/>
    <n v="1"/>
    <n v="1.2649999999999999"/>
    <n v="1.7689999999999999"/>
    <n v="6.0679999999999996"/>
    <n v="1"/>
    <n v="2.2377849999999997"/>
  </r>
  <r>
    <n v="1"/>
    <s v="LVEL 0"/>
    <s v="south"/>
    <x v="387"/>
    <m/>
    <m/>
    <m/>
    <m/>
    <x v="1"/>
    <x v="4"/>
    <x v="0"/>
    <m/>
    <m/>
    <m/>
    <n v="1265"/>
    <n v="1769"/>
    <n v="1"/>
    <n v="1.2649999999999999"/>
    <n v="1.7689999999999999"/>
    <n v="6.0679999999999996"/>
    <n v="1"/>
    <n v="2.2377849999999997"/>
  </r>
  <r>
    <n v="1"/>
    <s v="LVEL 0"/>
    <s v="south"/>
    <x v="388"/>
    <m/>
    <m/>
    <m/>
    <m/>
    <x v="1"/>
    <x v="4"/>
    <x v="0"/>
    <m/>
    <m/>
    <m/>
    <n v="1265"/>
    <n v="1769"/>
    <n v="1"/>
    <n v="1.2649999999999999"/>
    <n v="1.7689999999999999"/>
    <n v="6.0679999999999996"/>
    <n v="1"/>
    <n v="2.2377849999999997"/>
  </r>
  <r>
    <n v="1"/>
    <s v="LVEL 0"/>
    <s v="south"/>
    <x v="389"/>
    <m/>
    <m/>
    <m/>
    <m/>
    <x v="1"/>
    <x v="4"/>
    <x v="0"/>
    <m/>
    <m/>
    <m/>
    <n v="860"/>
    <n v="1769"/>
    <n v="1"/>
    <n v="0.86"/>
    <n v="1.7689999999999999"/>
    <n v="5.258"/>
    <n v="1"/>
    <n v="1.5213399999999999"/>
  </r>
  <r>
    <n v="1"/>
    <s v="LVEL 0"/>
    <s v="south"/>
    <x v="390"/>
    <m/>
    <m/>
    <m/>
    <m/>
    <x v="1"/>
    <x v="4"/>
    <x v="0"/>
    <m/>
    <m/>
    <m/>
    <n v="860"/>
    <n v="1769"/>
    <n v="1"/>
    <n v="0.86"/>
    <n v="1.7689999999999999"/>
    <n v="5.258"/>
    <n v="1"/>
    <n v="1.5213399999999999"/>
  </r>
  <r>
    <n v="1"/>
    <s v="LVEL 0"/>
    <s v="south"/>
    <x v="391"/>
    <m/>
    <m/>
    <m/>
    <m/>
    <x v="1"/>
    <x v="4"/>
    <x v="0"/>
    <m/>
    <m/>
    <m/>
    <n v="860"/>
    <n v="1769"/>
    <n v="1"/>
    <n v="0.86"/>
    <n v="1.7689999999999999"/>
    <n v="5.258"/>
    <n v="1"/>
    <n v="1.5213399999999999"/>
  </r>
  <r>
    <n v="1"/>
    <s v="LVEL 0"/>
    <s v="south"/>
    <x v="392"/>
    <m/>
    <m/>
    <m/>
    <m/>
    <x v="1"/>
    <x v="4"/>
    <x v="0"/>
    <m/>
    <m/>
    <m/>
    <n v="860"/>
    <n v="1769"/>
    <n v="1"/>
    <n v="0.86"/>
    <n v="1.7689999999999999"/>
    <n v="5.258"/>
    <n v="1"/>
    <n v="1.5213399999999999"/>
  </r>
  <r>
    <n v="1"/>
    <s v="LVEL 0"/>
    <s v="south"/>
    <x v="393"/>
    <m/>
    <m/>
    <m/>
    <m/>
    <x v="1"/>
    <x v="4"/>
    <x v="0"/>
    <m/>
    <m/>
    <m/>
    <n v="860"/>
    <n v="1769"/>
    <n v="1"/>
    <n v="0.86"/>
    <n v="1.7689999999999999"/>
    <n v="5.258"/>
    <n v="1"/>
    <n v="1.5213399999999999"/>
  </r>
  <r>
    <n v="1"/>
    <s v="LVEL 0"/>
    <s v="south"/>
    <x v="394"/>
    <m/>
    <m/>
    <m/>
    <m/>
    <x v="1"/>
    <x v="4"/>
    <x v="0"/>
    <m/>
    <m/>
    <m/>
    <n v="500"/>
    <n v="400"/>
    <n v="1"/>
    <n v="0.5"/>
    <n v="0.4"/>
    <n v="1.8"/>
    <n v="1"/>
    <n v="0.2"/>
  </r>
  <r>
    <n v="1"/>
    <s v="LVEL 0"/>
    <s v="south"/>
    <x v="395"/>
    <m/>
    <m/>
    <m/>
    <m/>
    <x v="1"/>
    <x v="4"/>
    <x v="0"/>
    <m/>
    <m/>
    <m/>
    <n v="500"/>
    <n v="315"/>
    <n v="1"/>
    <n v="0.5"/>
    <n v="0.315"/>
    <n v="1.63"/>
    <n v="1"/>
    <n v="0.1575"/>
  </r>
  <r>
    <n v="1"/>
    <s v="LVEL 0"/>
    <s v="south"/>
    <x v="396"/>
    <m/>
    <m/>
    <m/>
    <m/>
    <x v="1"/>
    <x v="4"/>
    <x v="10"/>
    <m/>
    <s v="LB-01"/>
    <m/>
    <n v="500"/>
    <n v="8000"/>
    <n v="1"/>
    <n v="0.5"/>
    <n v="8"/>
    <n v="17"/>
    <n v="1"/>
    <n v="4"/>
  </r>
  <r>
    <n v="1"/>
    <s v="Central Galary"/>
    <s v="south"/>
    <x v="397"/>
    <m/>
    <m/>
    <m/>
    <m/>
    <x v="1"/>
    <x v="4"/>
    <x v="0"/>
    <m/>
    <m/>
    <m/>
    <n v="695"/>
    <n v="1661.9230769230769"/>
    <n v="1"/>
    <n v="0.69499999999999995"/>
    <n v="1.6619230769230768"/>
    <n v="4.7138461538461547"/>
    <n v="1"/>
    <n v="1.1550365384615384"/>
  </r>
  <r>
    <n v="1"/>
    <s v="Central Galary"/>
    <s v="south"/>
    <x v="398"/>
    <m/>
    <m/>
    <m/>
    <m/>
    <x v="1"/>
    <x v="4"/>
    <x v="0"/>
    <m/>
    <m/>
    <m/>
    <n v="695"/>
    <n v="1661.9230769230769"/>
    <n v="1"/>
    <n v="0.69499999999999995"/>
    <n v="1.6619230769230768"/>
    <n v="4.7138461538461547"/>
    <n v="1"/>
    <n v="1.1550365384615384"/>
  </r>
  <r>
    <n v="1"/>
    <s v="Central Galary"/>
    <s v="south"/>
    <x v="399"/>
    <m/>
    <m/>
    <m/>
    <m/>
    <x v="1"/>
    <x v="4"/>
    <x v="0"/>
    <m/>
    <m/>
    <m/>
    <n v="695"/>
    <n v="1661.9230769230769"/>
    <n v="1"/>
    <n v="0.69499999999999995"/>
    <n v="1.6619230769230768"/>
    <n v="4.7138461538461547"/>
    <n v="1"/>
    <n v="1.1550365384615384"/>
  </r>
  <r>
    <n v="1"/>
    <s v="Central Galary"/>
    <s v="south"/>
    <x v="400"/>
    <m/>
    <m/>
    <m/>
    <m/>
    <x v="1"/>
    <x v="4"/>
    <x v="0"/>
    <m/>
    <m/>
    <m/>
    <n v="695"/>
    <n v="1661.9230769230769"/>
    <n v="1"/>
    <n v="0.69499999999999995"/>
    <n v="1.6619230769230768"/>
    <n v="4.7138461538461547"/>
    <n v="1"/>
    <n v="1.1550365384615384"/>
  </r>
  <r>
    <n v="1"/>
    <s v="Central Galary"/>
    <s v="south"/>
    <x v="401"/>
    <m/>
    <m/>
    <m/>
    <m/>
    <x v="1"/>
    <x v="4"/>
    <x v="0"/>
    <m/>
    <m/>
    <m/>
    <n v="695"/>
    <n v="1661.9230769230769"/>
    <n v="1"/>
    <n v="0.69499999999999995"/>
    <n v="1.6619230769230768"/>
    <n v="4.7138461538461547"/>
    <n v="1"/>
    <n v="1.1550365384615384"/>
  </r>
  <r>
    <n v="1"/>
    <s v="Central Galary"/>
    <s v="south"/>
    <x v="402"/>
    <m/>
    <m/>
    <m/>
    <m/>
    <x v="1"/>
    <x v="4"/>
    <x v="0"/>
    <m/>
    <m/>
    <m/>
    <n v="695"/>
    <n v="1661.9230769230769"/>
    <n v="1"/>
    <n v="0.69499999999999995"/>
    <n v="1.6619230769230768"/>
    <n v="4.7138461538461547"/>
    <n v="1"/>
    <n v="1.1550365384615384"/>
  </r>
  <r>
    <n v="1"/>
    <s v="Central Galary"/>
    <s v="south"/>
    <x v="403"/>
    <m/>
    <m/>
    <m/>
    <m/>
    <x v="1"/>
    <x v="4"/>
    <x v="0"/>
    <m/>
    <m/>
    <m/>
    <n v="695"/>
    <n v="1661.9230769230769"/>
    <n v="1"/>
    <n v="0.69499999999999995"/>
    <n v="1.6619230769230768"/>
    <n v="4.7138461538461547"/>
    <n v="1"/>
    <n v="1.1550365384615384"/>
  </r>
  <r>
    <n v="1"/>
    <s v="Central Galary"/>
    <s v="south"/>
    <x v="404"/>
    <m/>
    <m/>
    <m/>
    <m/>
    <x v="1"/>
    <x v="4"/>
    <x v="0"/>
    <m/>
    <m/>
    <m/>
    <n v="695"/>
    <n v="1661.9230769230769"/>
    <n v="1"/>
    <n v="0.69499999999999995"/>
    <n v="1.6619230769230768"/>
    <n v="4.7138461538461547"/>
    <n v="1"/>
    <n v="1.1550365384615384"/>
  </r>
  <r>
    <n v="1"/>
    <s v="Central Galary"/>
    <s v="south"/>
    <x v="405"/>
    <m/>
    <m/>
    <m/>
    <m/>
    <x v="1"/>
    <x v="4"/>
    <x v="0"/>
    <m/>
    <m/>
    <m/>
    <n v="695"/>
    <n v="1661.9230769230769"/>
    <n v="1"/>
    <n v="0.69499999999999995"/>
    <n v="1.6619230769230768"/>
    <n v="4.7138461538461547"/>
    <n v="1"/>
    <n v="1.1550365384615384"/>
  </r>
  <r>
    <n v="1"/>
    <s v="Central Galary"/>
    <s v="south"/>
    <x v="406"/>
    <m/>
    <m/>
    <m/>
    <m/>
    <x v="1"/>
    <x v="4"/>
    <x v="0"/>
    <m/>
    <m/>
    <m/>
    <n v="695"/>
    <n v="1661.9230769230769"/>
    <n v="1"/>
    <n v="0.69499999999999995"/>
    <n v="1.6619230769230768"/>
    <n v="4.7138461538461547"/>
    <n v="1"/>
    <n v="1.1550365384615384"/>
  </r>
  <r>
    <n v="1"/>
    <s v="Central Galary"/>
    <s v="south"/>
    <x v="407"/>
    <m/>
    <m/>
    <m/>
    <m/>
    <x v="1"/>
    <x v="4"/>
    <x v="0"/>
    <m/>
    <m/>
    <m/>
    <n v="695"/>
    <n v="1661.9230769230769"/>
    <n v="1"/>
    <n v="0.69499999999999995"/>
    <n v="1.6619230769230768"/>
    <n v="4.7138461538461547"/>
    <n v="1"/>
    <n v="1.1550365384615384"/>
  </r>
  <r>
    <n v="1"/>
    <s v="Central Galary"/>
    <s v="south"/>
    <x v="408"/>
    <m/>
    <m/>
    <m/>
    <m/>
    <x v="1"/>
    <x v="4"/>
    <x v="0"/>
    <m/>
    <m/>
    <m/>
    <n v="695"/>
    <n v="1661.9230769230769"/>
    <n v="1"/>
    <n v="0.69499999999999995"/>
    <n v="1.6619230769230768"/>
    <n v="4.7138461538461547"/>
    <n v="1"/>
    <n v="1.1550365384615384"/>
  </r>
  <r>
    <n v="1"/>
    <s v="Central Galary"/>
    <s v="south"/>
    <x v="409"/>
    <m/>
    <m/>
    <m/>
    <m/>
    <x v="1"/>
    <x v="4"/>
    <x v="0"/>
    <m/>
    <m/>
    <m/>
    <n v="695"/>
    <n v="1661.9230769230769"/>
    <n v="1"/>
    <n v="0.69499999999999995"/>
    <n v="1.6619230769230768"/>
    <n v="4.7138461538461547"/>
    <n v="1"/>
    <n v="1.1550365384615384"/>
  </r>
  <r>
    <n v="1"/>
    <s v="Central Galary"/>
    <s v="south"/>
    <x v="410"/>
    <m/>
    <m/>
    <m/>
    <m/>
    <x v="1"/>
    <x v="4"/>
    <x v="0"/>
    <m/>
    <m/>
    <m/>
    <n v="695"/>
    <n v="1661.9230769230769"/>
    <n v="1"/>
    <n v="0.69499999999999995"/>
    <n v="1.6619230769230768"/>
    <n v="4.7138461538461547"/>
    <n v="1"/>
    <n v="1.1550365384615384"/>
  </r>
  <r>
    <n v="1"/>
    <s v="Central Galary"/>
    <s v="south"/>
    <x v="411"/>
    <m/>
    <m/>
    <m/>
    <m/>
    <x v="1"/>
    <x v="4"/>
    <x v="0"/>
    <m/>
    <m/>
    <m/>
    <n v="695"/>
    <n v="1661.9230769230769"/>
    <n v="1"/>
    <n v="0.69499999999999995"/>
    <n v="1.6619230769230768"/>
    <n v="4.7138461538461547"/>
    <n v="1"/>
    <n v="1.1550365384615384"/>
  </r>
  <r>
    <n v="1"/>
    <s v="Central Galary"/>
    <s v="south"/>
    <x v="412"/>
    <m/>
    <m/>
    <m/>
    <m/>
    <x v="1"/>
    <x v="4"/>
    <x v="0"/>
    <m/>
    <m/>
    <m/>
    <n v="695"/>
    <n v="1661.9230769230769"/>
    <n v="1"/>
    <n v="0.69499999999999995"/>
    <n v="1.6619230769230768"/>
    <n v="4.7138461538461547"/>
    <n v="1"/>
    <n v="1.1550365384615384"/>
  </r>
  <r>
    <n v="1"/>
    <s v="Central Galary"/>
    <s v="south"/>
    <x v="413"/>
    <m/>
    <m/>
    <m/>
    <m/>
    <x v="1"/>
    <x v="4"/>
    <x v="0"/>
    <m/>
    <m/>
    <m/>
    <n v="695"/>
    <n v="1661.9230769230769"/>
    <n v="1"/>
    <n v="0.69499999999999995"/>
    <n v="1.6619230769230768"/>
    <n v="4.7138461538461547"/>
    <n v="1"/>
    <n v="1.1550365384615384"/>
  </r>
  <r>
    <n v="1"/>
    <s v="Central Galary"/>
    <s v="south"/>
    <x v="414"/>
    <m/>
    <m/>
    <m/>
    <m/>
    <x v="1"/>
    <x v="4"/>
    <x v="0"/>
    <m/>
    <m/>
    <m/>
    <n v="695"/>
    <n v="1661.9230769230769"/>
    <n v="1"/>
    <n v="0.69499999999999995"/>
    <n v="1.6619230769230768"/>
    <n v="4.7138461538461547"/>
    <n v="1"/>
    <n v="1.1550365384615384"/>
  </r>
  <r>
    <n v="1"/>
    <s v="Central Galary"/>
    <s v="south"/>
    <x v="415"/>
    <m/>
    <m/>
    <m/>
    <m/>
    <x v="1"/>
    <x v="4"/>
    <x v="0"/>
    <m/>
    <m/>
    <m/>
    <n v="695"/>
    <n v="1661.9230769230769"/>
    <n v="1"/>
    <n v="0.69499999999999995"/>
    <n v="1.6619230769230768"/>
    <n v="4.7138461538461547"/>
    <n v="1"/>
    <n v="1.1550365384615384"/>
  </r>
  <r>
    <n v="1"/>
    <s v="Central Galary"/>
    <s v="south"/>
    <x v="416"/>
    <m/>
    <m/>
    <m/>
    <m/>
    <x v="1"/>
    <x v="4"/>
    <x v="0"/>
    <m/>
    <m/>
    <m/>
    <n v="695"/>
    <n v="1661.9230769230769"/>
    <n v="1"/>
    <n v="0.69499999999999995"/>
    <n v="1.6619230769230768"/>
    <n v="4.7138461538461547"/>
    <n v="1"/>
    <n v="1.1550365384615384"/>
  </r>
  <r>
    <n v="1"/>
    <s v="Central Galary"/>
    <s v="south"/>
    <x v="417"/>
    <m/>
    <m/>
    <m/>
    <m/>
    <x v="1"/>
    <x v="4"/>
    <x v="0"/>
    <m/>
    <m/>
    <m/>
    <n v="695"/>
    <n v="1661.9230769230769"/>
    <n v="1"/>
    <n v="0.69499999999999995"/>
    <n v="1.6619230769230768"/>
    <n v="4.7138461538461547"/>
    <n v="1"/>
    <n v="1.1550365384615384"/>
  </r>
  <r>
    <n v="1"/>
    <s v="Central Galary"/>
    <s v="south"/>
    <x v="418"/>
    <m/>
    <m/>
    <m/>
    <m/>
    <x v="1"/>
    <x v="4"/>
    <x v="0"/>
    <m/>
    <m/>
    <m/>
    <n v="695"/>
    <n v="1661.9230769230769"/>
    <n v="1"/>
    <n v="0.69499999999999995"/>
    <n v="1.6619230769230768"/>
    <n v="4.7138461538461547"/>
    <n v="1"/>
    <n v="1.1550365384615384"/>
  </r>
  <r>
    <n v="1"/>
    <s v="Central Galary"/>
    <s v="south"/>
    <x v="419"/>
    <m/>
    <m/>
    <m/>
    <m/>
    <x v="1"/>
    <x v="4"/>
    <x v="0"/>
    <m/>
    <m/>
    <m/>
    <n v="695"/>
    <n v="1661.9230769230769"/>
    <n v="1"/>
    <n v="0.69499999999999995"/>
    <n v="1.6619230769230768"/>
    <n v="4.7138461538461547"/>
    <n v="1"/>
    <n v="1.1550365384615384"/>
  </r>
  <r>
    <n v="1"/>
    <s v="Central Galary"/>
    <s v="south"/>
    <x v="420"/>
    <m/>
    <m/>
    <m/>
    <m/>
    <x v="1"/>
    <x v="4"/>
    <x v="0"/>
    <m/>
    <m/>
    <m/>
    <n v="695"/>
    <n v="1661.9230769230769"/>
    <n v="1"/>
    <n v="0.69499999999999995"/>
    <n v="1.6619230769230768"/>
    <n v="4.7138461538461547"/>
    <n v="1"/>
    <n v="1.1550365384615384"/>
  </r>
  <r>
    <n v="1"/>
    <s v="Central Galary"/>
    <s v="south"/>
    <x v="421"/>
    <m/>
    <m/>
    <m/>
    <m/>
    <x v="1"/>
    <x v="4"/>
    <x v="0"/>
    <m/>
    <m/>
    <m/>
    <n v="695"/>
    <n v="1661.9230769230769"/>
    <n v="1"/>
    <n v="0.69499999999999995"/>
    <n v="1.6619230769230768"/>
    <n v="4.7138461538461547"/>
    <n v="1"/>
    <n v="1.1550365384615384"/>
  </r>
  <r>
    <n v="1"/>
    <s v="Central Galary"/>
    <s v="south"/>
    <x v="422"/>
    <m/>
    <m/>
    <m/>
    <m/>
    <x v="1"/>
    <x v="4"/>
    <x v="0"/>
    <m/>
    <m/>
    <m/>
    <n v="695"/>
    <n v="1661.9230769230769"/>
    <n v="1"/>
    <n v="0.69499999999999995"/>
    <n v="1.6619230769230768"/>
    <n v="4.7138461538461547"/>
    <n v="1"/>
    <n v="1.1550365384615384"/>
  </r>
  <r>
    <n v="1"/>
    <s v="level 1"/>
    <s v="WEST"/>
    <x v="423"/>
    <m/>
    <m/>
    <m/>
    <m/>
    <x v="1"/>
    <x v="3"/>
    <x v="0"/>
    <m/>
    <m/>
    <m/>
    <n v="835"/>
    <n v="2700"/>
    <n v="1"/>
    <n v="0.83499999999999996"/>
    <n v="2.7"/>
    <n v="7.07"/>
    <n v="1"/>
    <n v="2.2545000000000002"/>
  </r>
  <r>
    <n v="1"/>
    <s v="level 1"/>
    <s v="WEST"/>
    <x v="424"/>
    <m/>
    <m/>
    <m/>
    <m/>
    <x v="1"/>
    <x v="3"/>
    <x v="0"/>
    <m/>
    <m/>
    <m/>
    <n v="835"/>
    <n v="2700"/>
    <n v="1"/>
    <n v="0.83499999999999996"/>
    <n v="2.7"/>
    <n v="7.07"/>
    <n v="1"/>
    <n v="2.2545000000000002"/>
  </r>
  <r>
    <n v="1"/>
    <s v="level 1"/>
    <s v="WEST"/>
    <x v="425"/>
    <m/>
    <m/>
    <m/>
    <m/>
    <x v="1"/>
    <x v="3"/>
    <x v="0"/>
    <m/>
    <m/>
    <m/>
    <n v="835"/>
    <n v="2700"/>
    <n v="1"/>
    <n v="0.83499999999999996"/>
    <n v="2.7"/>
    <n v="7.07"/>
    <n v="1"/>
    <n v="2.2545000000000002"/>
  </r>
  <r>
    <n v="1"/>
    <s v="level 1"/>
    <s v="WEST"/>
    <x v="426"/>
    <m/>
    <m/>
    <m/>
    <m/>
    <x v="1"/>
    <x v="3"/>
    <x v="0"/>
    <m/>
    <m/>
    <m/>
    <n v="835"/>
    <n v="2700"/>
    <n v="1"/>
    <n v="0.83499999999999996"/>
    <n v="2.7"/>
    <n v="7.07"/>
    <n v="1"/>
    <n v="2.2545000000000002"/>
  </r>
  <r>
    <n v="1"/>
    <s v="level 1"/>
    <s v="WEST"/>
    <x v="427"/>
    <m/>
    <m/>
    <m/>
    <m/>
    <x v="1"/>
    <x v="3"/>
    <x v="0"/>
    <m/>
    <m/>
    <m/>
    <n v="835"/>
    <n v="2700"/>
    <n v="1"/>
    <n v="0.83499999999999996"/>
    <n v="2.7"/>
    <n v="7.07"/>
    <n v="1"/>
    <n v="2.2545000000000002"/>
  </r>
  <r>
    <n v="1"/>
    <s v="level 1"/>
    <s v="WEST"/>
    <x v="428"/>
    <m/>
    <m/>
    <m/>
    <m/>
    <x v="1"/>
    <x v="3"/>
    <x v="0"/>
    <m/>
    <m/>
    <m/>
    <n v="835"/>
    <n v="2700"/>
    <n v="1"/>
    <n v="0.83499999999999996"/>
    <n v="2.7"/>
    <n v="7.07"/>
    <n v="1"/>
    <n v="2.2545000000000002"/>
  </r>
  <r>
    <n v="1"/>
    <s v="level 1"/>
    <s v="WEST"/>
    <x v="429"/>
    <m/>
    <m/>
    <m/>
    <m/>
    <x v="1"/>
    <x v="3"/>
    <x v="0"/>
    <m/>
    <m/>
    <m/>
    <n v="1000"/>
    <n v="2700"/>
    <n v="1"/>
    <n v="1"/>
    <n v="2.7"/>
    <n v="7.4"/>
    <n v="1"/>
    <n v="2.7"/>
  </r>
  <r>
    <n v="1"/>
    <s v="level 1"/>
    <s v="WEST"/>
    <x v="430"/>
    <m/>
    <m/>
    <m/>
    <m/>
    <x v="1"/>
    <x v="3"/>
    <x v="0"/>
    <m/>
    <m/>
    <m/>
    <n v="1000"/>
    <n v="2700"/>
    <n v="1"/>
    <n v="1"/>
    <n v="2.7"/>
    <n v="7.4"/>
    <n v="1"/>
    <n v="2.7"/>
  </r>
  <r>
    <n v="1"/>
    <s v="level 1"/>
    <s v="WEST"/>
    <x v="431"/>
    <m/>
    <m/>
    <m/>
    <m/>
    <x v="1"/>
    <x v="3"/>
    <x v="0"/>
    <m/>
    <m/>
    <m/>
    <n v="1000"/>
    <n v="5400"/>
    <n v="1"/>
    <n v="1"/>
    <n v="5.4"/>
    <n v="12.8"/>
    <n v="1"/>
    <n v="5.4"/>
  </r>
  <r>
    <n v="1"/>
    <s v="level 1"/>
    <s v="WEST"/>
    <x v="432"/>
    <m/>
    <m/>
    <m/>
    <m/>
    <x v="1"/>
    <x v="3"/>
    <x v="0"/>
    <m/>
    <m/>
    <m/>
    <n v="1000"/>
    <n v="2700"/>
    <n v="1"/>
    <n v="1"/>
    <n v="2.7"/>
    <n v="7.4"/>
    <n v="1"/>
    <n v="2.7"/>
  </r>
  <r>
    <n v="1"/>
    <s v="level 1"/>
    <s v="WEST"/>
    <x v="433"/>
    <m/>
    <m/>
    <m/>
    <m/>
    <x v="1"/>
    <x v="3"/>
    <x v="0"/>
    <m/>
    <m/>
    <m/>
    <n v="1000"/>
    <n v="2700"/>
    <n v="1"/>
    <n v="1"/>
    <n v="2.7"/>
    <n v="7.4"/>
    <n v="1"/>
    <n v="2.7"/>
  </r>
  <r>
    <n v="1"/>
    <s v="level 1"/>
    <s v="WEST"/>
    <x v="434"/>
    <m/>
    <m/>
    <m/>
    <m/>
    <x v="1"/>
    <x v="3"/>
    <x v="0"/>
    <m/>
    <m/>
    <m/>
    <n v="6380"/>
    <n v="2700"/>
    <n v="1"/>
    <n v="6.38"/>
    <n v="2.7"/>
    <n v="18.16"/>
    <n v="1"/>
    <n v="17.225999999999999"/>
  </r>
  <r>
    <n v="1"/>
    <s v="level 1"/>
    <s v="WEST"/>
    <x v="435"/>
    <m/>
    <m/>
    <m/>
    <m/>
    <x v="1"/>
    <x v="3"/>
    <x v="0"/>
    <m/>
    <m/>
    <m/>
    <n v="6380"/>
    <n v="2700"/>
    <n v="1"/>
    <n v="6.38"/>
    <n v="2.7"/>
    <n v="18.16"/>
    <n v="1"/>
    <n v="17.225999999999999"/>
  </r>
  <r>
    <n v="1"/>
    <s v="level 1"/>
    <s v="WEST"/>
    <x v="436"/>
    <m/>
    <m/>
    <m/>
    <m/>
    <x v="1"/>
    <x v="3"/>
    <x v="0"/>
    <m/>
    <m/>
    <m/>
    <n v="6380"/>
    <n v="2700"/>
    <n v="1"/>
    <n v="6.38"/>
    <n v="2.7"/>
    <n v="18.16"/>
    <n v="1"/>
    <n v="17.225999999999999"/>
  </r>
  <r>
    <n v="1"/>
    <s v="level 1"/>
    <s v="WEST"/>
    <x v="437"/>
    <m/>
    <m/>
    <m/>
    <m/>
    <x v="1"/>
    <x v="3"/>
    <x v="0"/>
    <m/>
    <m/>
    <m/>
    <n v="6380"/>
    <n v="2700"/>
    <n v="1"/>
    <n v="6.38"/>
    <n v="2.7"/>
    <n v="18.16"/>
    <n v="1"/>
    <n v="17.225999999999999"/>
  </r>
  <r>
    <n v="1"/>
    <s v="level 1"/>
    <s v="WEST"/>
    <x v="438"/>
    <m/>
    <m/>
    <m/>
    <m/>
    <x v="1"/>
    <x v="3"/>
    <x v="0"/>
    <m/>
    <m/>
    <m/>
    <n v="6380"/>
    <n v="2700"/>
    <n v="1"/>
    <n v="6.38"/>
    <n v="2.7"/>
    <n v="18.16"/>
    <n v="1"/>
    <n v="17.225999999999999"/>
  </r>
  <r>
    <n v="1"/>
    <s v="level 1"/>
    <s v="WEST"/>
    <x v="439"/>
    <m/>
    <m/>
    <m/>
    <m/>
    <x v="1"/>
    <x v="3"/>
    <x v="0"/>
    <m/>
    <m/>
    <m/>
    <n v="6380"/>
    <n v="2700"/>
    <n v="1"/>
    <n v="6.38"/>
    <n v="2.7"/>
    <n v="18.16"/>
    <n v="1"/>
    <n v="17.225999999999999"/>
  </r>
  <r>
    <n v="1"/>
    <s v="level 1"/>
    <s v="WEST"/>
    <x v="440"/>
    <m/>
    <m/>
    <m/>
    <m/>
    <x v="1"/>
    <x v="3"/>
    <x v="0"/>
    <m/>
    <m/>
    <m/>
    <n v="8215"/>
    <n v="2755"/>
    <n v="1"/>
    <n v="8.2149999999999999"/>
    <n v="2.7549999999999999"/>
    <n v="21.94"/>
    <n v="1"/>
    <n v="22.632325000000002"/>
  </r>
  <r>
    <n v="1"/>
    <s v="PARAPET"/>
    <s v="WEST"/>
    <x v="441"/>
    <m/>
    <m/>
    <m/>
    <m/>
    <x v="1"/>
    <x v="4"/>
    <x v="0"/>
    <m/>
    <m/>
    <m/>
    <n v="900"/>
    <n v="1782.8260869565217"/>
    <n v="1"/>
    <n v="0.9"/>
    <n v="1.7828260869565218"/>
    <n v="5.3656521739130438"/>
    <n v="1"/>
    <n v="1.6045434782608694"/>
  </r>
  <r>
    <n v="1"/>
    <s v="PARAPET"/>
    <s v="WEST"/>
    <x v="442"/>
    <m/>
    <m/>
    <m/>
    <m/>
    <x v="1"/>
    <x v="4"/>
    <x v="0"/>
    <m/>
    <m/>
    <m/>
    <n v="900"/>
    <n v="1782.8260869565217"/>
    <n v="1"/>
    <n v="0.9"/>
    <n v="1.7828260869565218"/>
    <n v="5.3656521739130438"/>
    <n v="1"/>
    <n v="1.6045434782608694"/>
  </r>
  <r>
    <n v="1"/>
    <s v="PARAPET"/>
    <s v="WEST"/>
    <x v="443"/>
    <m/>
    <m/>
    <m/>
    <m/>
    <x v="1"/>
    <x v="4"/>
    <x v="0"/>
    <m/>
    <m/>
    <m/>
    <n v="900"/>
    <n v="1782.8260869565217"/>
    <n v="1"/>
    <n v="0.9"/>
    <n v="1.7828260869565218"/>
    <n v="5.3656521739130438"/>
    <n v="1"/>
    <n v="1.6045434782608694"/>
  </r>
  <r>
    <n v="1"/>
    <s v="PARAPET"/>
    <s v="WEST"/>
    <x v="444"/>
    <m/>
    <m/>
    <m/>
    <m/>
    <x v="1"/>
    <x v="4"/>
    <x v="0"/>
    <m/>
    <m/>
    <m/>
    <n v="900"/>
    <n v="1782.8260869565217"/>
    <n v="1"/>
    <n v="0.9"/>
    <n v="1.7828260869565218"/>
    <n v="5.3656521739130438"/>
    <n v="1"/>
    <n v="1.6045434782608694"/>
  </r>
  <r>
    <n v="1"/>
    <s v="PARAPET"/>
    <s v="WEST"/>
    <x v="445"/>
    <m/>
    <m/>
    <m/>
    <m/>
    <x v="1"/>
    <x v="4"/>
    <x v="0"/>
    <m/>
    <m/>
    <m/>
    <n v="900"/>
    <n v="1782.8260869565217"/>
    <n v="1"/>
    <n v="0.9"/>
    <n v="1.7828260869565218"/>
    <n v="5.3656521739130438"/>
    <n v="1"/>
    <n v="1.6045434782608694"/>
  </r>
  <r>
    <n v="1"/>
    <s v="PARAPET"/>
    <s v="WEST"/>
    <x v="446"/>
    <m/>
    <m/>
    <m/>
    <m/>
    <x v="1"/>
    <x v="4"/>
    <x v="0"/>
    <m/>
    <m/>
    <m/>
    <n v="900"/>
    <n v="1782.8260869565217"/>
    <n v="1"/>
    <n v="0.9"/>
    <n v="1.7828260869565218"/>
    <n v="5.3656521739130438"/>
    <n v="1"/>
    <n v="1.6045434782608694"/>
  </r>
  <r>
    <n v="1"/>
    <s v="PARAPET"/>
    <s v="WEST"/>
    <x v="447"/>
    <m/>
    <m/>
    <m/>
    <m/>
    <x v="1"/>
    <x v="4"/>
    <x v="0"/>
    <m/>
    <m/>
    <m/>
    <n v="900"/>
    <n v="1782.8260869565217"/>
    <n v="1"/>
    <n v="0.9"/>
    <n v="1.7828260869565218"/>
    <n v="5.3656521739130438"/>
    <n v="1"/>
    <n v="1.6045434782608694"/>
  </r>
  <r>
    <n v="1"/>
    <s v="PARAPET"/>
    <s v="WEST"/>
    <x v="448"/>
    <m/>
    <m/>
    <m/>
    <m/>
    <x v="1"/>
    <x v="4"/>
    <x v="0"/>
    <m/>
    <m/>
    <m/>
    <n v="900"/>
    <n v="1782.8260869565217"/>
    <n v="1"/>
    <n v="0.9"/>
    <n v="1.7828260869565218"/>
    <n v="5.3656521739130438"/>
    <n v="1"/>
    <n v="1.6045434782608694"/>
  </r>
  <r>
    <n v="1"/>
    <s v="PARAPET"/>
    <s v="WEST"/>
    <x v="449"/>
    <m/>
    <m/>
    <m/>
    <m/>
    <x v="1"/>
    <x v="4"/>
    <x v="0"/>
    <m/>
    <m/>
    <m/>
    <n v="900"/>
    <n v="1782.8260869565217"/>
    <n v="1"/>
    <n v="0.9"/>
    <n v="1.7828260869565218"/>
    <n v="5.3656521739130438"/>
    <n v="1"/>
    <n v="1.6045434782608694"/>
  </r>
  <r>
    <n v="1"/>
    <s v="PARAPET"/>
    <s v="WEST"/>
    <x v="450"/>
    <m/>
    <m/>
    <m/>
    <m/>
    <x v="1"/>
    <x v="4"/>
    <x v="0"/>
    <m/>
    <m/>
    <m/>
    <n v="900"/>
    <n v="1782.8260869565217"/>
    <n v="1"/>
    <n v="0.9"/>
    <n v="1.7828260869565218"/>
    <n v="5.3656521739130438"/>
    <n v="1"/>
    <n v="1.6045434782608694"/>
  </r>
  <r>
    <n v="1"/>
    <s v="PARAPET"/>
    <s v="WEST"/>
    <x v="451"/>
    <m/>
    <m/>
    <m/>
    <m/>
    <x v="1"/>
    <x v="4"/>
    <x v="0"/>
    <m/>
    <m/>
    <m/>
    <n v="900"/>
    <n v="1782.8260869565217"/>
    <n v="1"/>
    <n v="0.9"/>
    <n v="1.7828260869565218"/>
    <n v="5.3656521739130438"/>
    <n v="1"/>
    <n v="1.6045434782608694"/>
  </r>
  <r>
    <n v="1"/>
    <s v="PARAPET"/>
    <s v="WEST"/>
    <x v="452"/>
    <m/>
    <m/>
    <m/>
    <m/>
    <x v="1"/>
    <x v="4"/>
    <x v="0"/>
    <m/>
    <m/>
    <m/>
    <n v="900"/>
    <n v="1782.8260869565217"/>
    <n v="1"/>
    <n v="0.9"/>
    <n v="1.7828260869565218"/>
    <n v="5.3656521739130438"/>
    <n v="1"/>
    <n v="1.6045434782608694"/>
  </r>
  <r>
    <n v="1"/>
    <s v="PARAPET"/>
    <s v="WEST"/>
    <x v="453"/>
    <m/>
    <m/>
    <m/>
    <m/>
    <x v="1"/>
    <x v="4"/>
    <x v="0"/>
    <m/>
    <m/>
    <m/>
    <n v="900"/>
    <n v="1782.8260869565217"/>
    <n v="1"/>
    <n v="0.9"/>
    <n v="1.7828260869565218"/>
    <n v="5.3656521739130438"/>
    <n v="1"/>
    <n v="1.6045434782608694"/>
  </r>
  <r>
    <n v="1"/>
    <s v="PARAPET"/>
    <s v="WEST"/>
    <x v="454"/>
    <m/>
    <m/>
    <m/>
    <m/>
    <x v="1"/>
    <x v="4"/>
    <x v="0"/>
    <m/>
    <m/>
    <m/>
    <n v="900"/>
    <n v="1782.8260869565217"/>
    <n v="1"/>
    <n v="0.9"/>
    <n v="1.7828260869565218"/>
    <n v="5.3656521739130438"/>
    <n v="1"/>
    <n v="1.6045434782608694"/>
  </r>
  <r>
    <n v="1"/>
    <s v="PARAPET"/>
    <s v="WEST"/>
    <x v="455"/>
    <m/>
    <m/>
    <m/>
    <m/>
    <x v="1"/>
    <x v="4"/>
    <x v="0"/>
    <m/>
    <m/>
    <m/>
    <n v="900"/>
    <n v="1782.8260869565217"/>
    <n v="1"/>
    <n v="0.9"/>
    <n v="1.7828260869565218"/>
    <n v="5.3656521739130438"/>
    <n v="1"/>
    <n v="1.6045434782608694"/>
  </r>
  <r>
    <n v="1"/>
    <s v="PARAPET"/>
    <s v="WEST"/>
    <x v="456"/>
    <m/>
    <m/>
    <m/>
    <m/>
    <x v="1"/>
    <x v="4"/>
    <x v="0"/>
    <m/>
    <m/>
    <m/>
    <n v="900"/>
    <n v="1782.8260869565217"/>
    <n v="1"/>
    <n v="0.9"/>
    <n v="1.7828260869565218"/>
    <n v="5.3656521739130438"/>
    <n v="1"/>
    <n v="1.6045434782608694"/>
  </r>
  <r>
    <n v="1"/>
    <s v="PARAPET"/>
    <s v="WEST"/>
    <x v="457"/>
    <m/>
    <m/>
    <m/>
    <m/>
    <x v="1"/>
    <x v="4"/>
    <x v="0"/>
    <m/>
    <m/>
    <m/>
    <n v="900"/>
    <n v="1782.8260869565217"/>
    <n v="1"/>
    <n v="0.9"/>
    <n v="1.7828260869565218"/>
    <n v="5.3656521739130438"/>
    <n v="1"/>
    <n v="1.6045434782608694"/>
  </r>
  <r>
    <n v="1"/>
    <s v="PARAPET"/>
    <s v="WEST"/>
    <x v="458"/>
    <m/>
    <m/>
    <m/>
    <m/>
    <x v="1"/>
    <x v="4"/>
    <x v="0"/>
    <m/>
    <m/>
    <m/>
    <n v="900"/>
    <n v="1782.8260869565217"/>
    <n v="1"/>
    <n v="0.9"/>
    <n v="1.7828260869565218"/>
    <n v="5.3656521739130438"/>
    <n v="1"/>
    <n v="1.6045434782608694"/>
  </r>
  <r>
    <n v="1"/>
    <s v="PARAPET"/>
    <s v="WEST"/>
    <x v="459"/>
    <m/>
    <m/>
    <m/>
    <m/>
    <x v="1"/>
    <x v="4"/>
    <x v="0"/>
    <m/>
    <m/>
    <m/>
    <n v="900"/>
    <n v="1782.8260869565217"/>
    <n v="1"/>
    <n v="0.9"/>
    <n v="1.7828260869565218"/>
    <n v="5.3656521739130438"/>
    <n v="1"/>
    <n v="1.6045434782608694"/>
  </r>
  <r>
    <n v="1"/>
    <s v="PARAPET"/>
    <s v="WEST"/>
    <x v="460"/>
    <m/>
    <m/>
    <m/>
    <m/>
    <x v="1"/>
    <x v="4"/>
    <x v="0"/>
    <m/>
    <m/>
    <m/>
    <n v="900"/>
    <n v="1782.8260869565217"/>
    <n v="1"/>
    <n v="0.9"/>
    <n v="1.7828260869565218"/>
    <n v="5.3656521739130438"/>
    <n v="1"/>
    <n v="1.6045434782608694"/>
  </r>
  <r>
    <n v="1"/>
    <s v="PARAPET"/>
    <s v="WEST"/>
    <x v="461"/>
    <m/>
    <m/>
    <m/>
    <m/>
    <x v="1"/>
    <x v="4"/>
    <x v="0"/>
    <m/>
    <m/>
    <m/>
    <n v="900"/>
    <n v="1782.8260869565217"/>
    <n v="1"/>
    <n v="0.9"/>
    <n v="1.7828260869565218"/>
    <n v="5.3656521739130438"/>
    <n v="1"/>
    <n v="1.6045434782608694"/>
  </r>
  <r>
    <n v="1"/>
    <s v="PARAPET"/>
    <s v="WEST"/>
    <x v="462"/>
    <m/>
    <m/>
    <m/>
    <m/>
    <x v="1"/>
    <x v="4"/>
    <x v="0"/>
    <m/>
    <m/>
    <m/>
    <n v="900"/>
    <n v="1782.8260869565217"/>
    <n v="1"/>
    <n v="0.9"/>
    <n v="1.7828260869565218"/>
    <n v="5.3656521739130438"/>
    <n v="1"/>
    <n v="1.6045434782608694"/>
  </r>
  <r>
    <n v="1"/>
    <s v="PARAPET"/>
    <s v="WEST"/>
    <x v="463"/>
    <m/>
    <m/>
    <m/>
    <m/>
    <x v="1"/>
    <x v="4"/>
    <x v="0"/>
    <m/>
    <m/>
    <m/>
    <n v="900"/>
    <n v="1782.8260869565217"/>
    <n v="1"/>
    <n v="0.9"/>
    <n v="1.7828260869565218"/>
    <n v="5.3656521739130438"/>
    <n v="1"/>
    <n v="1.6045434782608694"/>
  </r>
  <r>
    <n v="1"/>
    <s v="PARAPET"/>
    <s v="WEST"/>
    <x v="464"/>
    <m/>
    <m/>
    <m/>
    <m/>
    <x v="1"/>
    <x v="4"/>
    <x v="0"/>
    <m/>
    <m/>
    <m/>
    <n v="900"/>
    <n v="1212.5"/>
    <n v="1"/>
    <n v="0.9"/>
    <n v="1.2124999999999999"/>
    <n v="4.2249999999999996"/>
    <n v="1"/>
    <n v="1.0912500000000001"/>
  </r>
  <r>
    <n v="1"/>
    <s v="PARAPET"/>
    <s v="WEST"/>
    <x v="465"/>
    <m/>
    <m/>
    <m/>
    <m/>
    <x v="1"/>
    <x v="4"/>
    <x v="0"/>
    <m/>
    <m/>
    <m/>
    <n v="900"/>
    <n v="1212.5"/>
    <n v="1"/>
    <n v="0.9"/>
    <n v="1.2124999999999999"/>
    <n v="4.2249999999999996"/>
    <n v="1"/>
    <n v="1.0912500000000001"/>
  </r>
  <r>
    <n v="1"/>
    <s v="PARAPET"/>
    <s v="WEST"/>
    <x v="466"/>
    <m/>
    <m/>
    <m/>
    <m/>
    <x v="1"/>
    <x v="4"/>
    <x v="0"/>
    <m/>
    <m/>
    <m/>
    <n v="900"/>
    <n v="1225"/>
    <n v="1"/>
    <n v="0.9"/>
    <n v="1.2250000000000001"/>
    <n v="4.25"/>
    <n v="1"/>
    <n v="1.1025"/>
  </r>
  <r>
    <n v="1"/>
    <s v="PARAPET"/>
    <s v="WEST"/>
    <x v="467"/>
    <m/>
    <m/>
    <m/>
    <m/>
    <x v="1"/>
    <x v="4"/>
    <x v="0"/>
    <m/>
    <m/>
    <m/>
    <n v="900"/>
    <n v="1225"/>
    <n v="1"/>
    <n v="0.9"/>
    <n v="1.2250000000000001"/>
    <n v="4.25"/>
    <n v="1"/>
    <n v="1.1025"/>
  </r>
  <r>
    <n v="1"/>
    <s v="PARAPET"/>
    <s v="WEST"/>
    <x v="468"/>
    <m/>
    <m/>
    <m/>
    <m/>
    <x v="1"/>
    <x v="4"/>
    <x v="0"/>
    <m/>
    <m/>
    <m/>
    <n v="4750"/>
    <n v="1225"/>
    <n v="1"/>
    <n v="4.75"/>
    <n v="1.2250000000000001"/>
    <n v="11.95"/>
    <n v="1"/>
    <n v="5.8187499999999996"/>
  </r>
  <r>
    <n v="1"/>
    <s v="PARAPET"/>
    <s v="WEST"/>
    <x v="469"/>
    <m/>
    <m/>
    <m/>
    <m/>
    <x v="1"/>
    <x v="4"/>
    <x v="0"/>
    <m/>
    <m/>
    <m/>
    <n v="4750"/>
    <n v="1225"/>
    <n v="1"/>
    <n v="4.75"/>
    <n v="1.2250000000000001"/>
    <n v="11.95"/>
    <n v="1"/>
    <n v="5.8187499999999996"/>
  </r>
  <r>
    <n v="1"/>
    <s v="level 1"/>
    <s v="WEST"/>
    <x v="470"/>
    <m/>
    <m/>
    <m/>
    <m/>
    <x v="1"/>
    <x v="4"/>
    <x v="0"/>
    <m/>
    <m/>
    <m/>
    <n v="485"/>
    <n v="1225"/>
    <n v="1"/>
    <n v="0.48499999999999999"/>
    <n v="1.2250000000000001"/>
    <n v="3.42"/>
    <n v="1"/>
    <n v="0.59412500000000001"/>
  </r>
  <r>
    <n v="1"/>
    <s v="level 1"/>
    <s v="WEST"/>
    <x v="471"/>
    <m/>
    <m/>
    <m/>
    <m/>
    <x v="1"/>
    <x v="4"/>
    <x v="0"/>
    <m/>
    <m/>
    <m/>
    <n v="485"/>
    <n v="1225"/>
    <n v="1"/>
    <n v="0.48499999999999999"/>
    <n v="1.2250000000000001"/>
    <n v="3.42"/>
    <n v="1"/>
    <n v="0.59412500000000001"/>
  </r>
  <r>
    <n v="1"/>
    <s v="level 1"/>
    <s v="WEST"/>
    <x v="472"/>
    <m/>
    <m/>
    <m/>
    <m/>
    <x v="1"/>
    <x v="4"/>
    <x v="0"/>
    <m/>
    <m/>
    <m/>
    <n v="750"/>
    <n v="515"/>
    <n v="1"/>
    <n v="0.75"/>
    <n v="0.51500000000000001"/>
    <n v="2.5299999999999998"/>
    <n v="1"/>
    <n v="0.38624999999999998"/>
  </r>
  <r>
    <n v="1"/>
    <s v="level 1"/>
    <s v="WEST"/>
    <x v="473"/>
    <m/>
    <m/>
    <m/>
    <m/>
    <x v="1"/>
    <x v="4"/>
    <x v="10"/>
    <m/>
    <s v="L0-10"/>
    <m/>
    <n v="750"/>
    <n v="450"/>
    <n v="1"/>
    <n v="0.75"/>
    <n v="0.45"/>
    <n v="2.4"/>
    <n v="1"/>
    <n v="0.33750000000000002"/>
  </r>
  <r>
    <n v="1"/>
    <s v="level 1"/>
    <s v="WEST"/>
    <x v="474"/>
    <m/>
    <m/>
    <m/>
    <m/>
    <x v="1"/>
    <x v="4"/>
    <x v="0"/>
    <m/>
    <m/>
    <m/>
    <n v="750"/>
    <n v="1485"/>
    <n v="1"/>
    <n v="0.75"/>
    <n v="1.4850000000000001"/>
    <n v="4.47"/>
    <n v="1"/>
    <n v="1.11375"/>
  </r>
  <r>
    <n v="1"/>
    <s v="level 1"/>
    <s v="WEST"/>
    <x v="475"/>
    <m/>
    <m/>
    <m/>
    <m/>
    <x v="1"/>
    <x v="4"/>
    <x v="0"/>
    <m/>
    <m/>
    <m/>
    <n v="230"/>
    <n v="1225"/>
    <n v="1"/>
    <n v="0.23"/>
    <n v="1.2250000000000001"/>
    <n v="2.91"/>
    <n v="1"/>
    <n v="0.28175"/>
  </r>
  <r>
    <n v="1"/>
    <s v="level 1"/>
    <s v="WEST"/>
    <x v="476"/>
    <m/>
    <m/>
    <m/>
    <m/>
    <x v="1"/>
    <x v="4"/>
    <x v="0"/>
    <m/>
    <m/>
    <m/>
    <n v="230"/>
    <n v="1225"/>
    <n v="1"/>
    <n v="0.23"/>
    <n v="1.2250000000000001"/>
    <n v="2.91"/>
    <n v="1"/>
    <n v="0.28175"/>
  </r>
  <r>
    <n v="1"/>
    <s v="level 1"/>
    <s v="WEST"/>
    <x v="477"/>
    <m/>
    <m/>
    <m/>
    <m/>
    <x v="1"/>
    <x v="4"/>
    <x v="0"/>
    <m/>
    <m/>
    <m/>
    <n v="3200"/>
    <n v="570"/>
    <n v="1"/>
    <n v="3.2"/>
    <n v="0.56999999999999995"/>
    <n v="7.54"/>
    <n v="1"/>
    <n v="1.8240000000000001"/>
  </r>
  <r>
    <n v="1"/>
    <s v="level 1"/>
    <s v="WEST"/>
    <x v="478"/>
    <m/>
    <m/>
    <m/>
    <m/>
    <x v="1"/>
    <x v="4"/>
    <x v="0"/>
    <m/>
    <m/>
    <m/>
    <n v="3200"/>
    <n v="1275.3333333333333"/>
    <n v="1"/>
    <n v="3.2"/>
    <n v="1.2753333333333332"/>
    <n v="8.9506666666666668"/>
    <n v="1"/>
    <n v="4.0810666666666666"/>
  </r>
  <r>
    <n v="1"/>
    <s v="level 1"/>
    <s v="WEST"/>
    <x v="479"/>
    <m/>
    <m/>
    <m/>
    <m/>
    <x v="1"/>
    <x v="4"/>
    <x v="0"/>
    <m/>
    <m/>
    <m/>
    <n v="3200"/>
    <n v="1275.3333333333333"/>
    <n v="1"/>
    <n v="3.2"/>
    <n v="1.2753333333333332"/>
    <n v="8.9506666666666668"/>
    <n v="1"/>
    <n v="4.0810666666666666"/>
  </r>
  <r>
    <n v="1"/>
    <s v="level 1"/>
    <s v="WEST"/>
    <x v="480"/>
    <m/>
    <m/>
    <m/>
    <m/>
    <x v="1"/>
    <x v="4"/>
    <x v="0"/>
    <m/>
    <m/>
    <m/>
    <n v="3200"/>
    <n v="1275.3333333333333"/>
    <n v="1"/>
    <n v="3.2"/>
    <n v="1.2753333333333332"/>
    <n v="8.9506666666666668"/>
    <n v="1"/>
    <n v="4.0810666666666666"/>
  </r>
  <r>
    <n v="1"/>
    <s v="level 1"/>
    <s v="WEST"/>
    <x v="481"/>
    <m/>
    <m/>
    <m/>
    <m/>
    <x v="1"/>
    <x v="4"/>
    <x v="0"/>
    <m/>
    <m/>
    <m/>
    <n v="3200"/>
    <n v="1317.5"/>
    <n v="1"/>
    <n v="3.2"/>
    <n v="1.3174999999999999"/>
    <n v="9.0350000000000001"/>
    <n v="1"/>
    <n v="4.2160000000000002"/>
  </r>
  <r>
    <n v="1"/>
    <s v="level 1"/>
    <s v="WEST"/>
    <x v="482"/>
    <m/>
    <m/>
    <m/>
    <m/>
    <x v="1"/>
    <x v="4"/>
    <x v="0"/>
    <m/>
    <m/>
    <m/>
    <n v="3200"/>
    <n v="1317.5"/>
    <n v="1"/>
    <n v="3.2"/>
    <n v="1.3174999999999999"/>
    <n v="9.0350000000000001"/>
    <n v="1"/>
    <n v="4.2160000000000002"/>
  </r>
  <r>
    <n v="1"/>
    <s v="LEVEL 0"/>
    <s v="WEST"/>
    <x v="483"/>
    <m/>
    <m/>
    <m/>
    <m/>
    <x v="1"/>
    <x v="4"/>
    <x v="0"/>
    <m/>
    <m/>
    <m/>
    <n v="3316"/>
    <n v="1553"/>
    <n v="1"/>
    <n v="3.3159999999999998"/>
    <n v="1.5529999999999999"/>
    <n v="9.7379999999999995"/>
    <n v="1"/>
    <n v="5.1497479999999998"/>
  </r>
  <r>
    <n v="1"/>
    <s v="LEVEL 0"/>
    <s v="WEST"/>
    <x v="484"/>
    <m/>
    <m/>
    <m/>
    <m/>
    <x v="1"/>
    <x v="4"/>
    <x v="0"/>
    <m/>
    <m/>
    <m/>
    <n v="3316"/>
    <n v="1553"/>
    <n v="1"/>
    <n v="3.3159999999999998"/>
    <n v="1.5529999999999999"/>
    <n v="9.7379999999999995"/>
    <n v="1"/>
    <n v="5.1497479999999998"/>
  </r>
  <r>
    <n v="1"/>
    <s v="LEVEL 0"/>
    <s v="WEST"/>
    <x v="485"/>
    <m/>
    <m/>
    <m/>
    <m/>
    <x v="1"/>
    <x v="4"/>
    <x v="0"/>
    <m/>
    <m/>
    <m/>
    <n v="1016"/>
    <n v="920"/>
    <n v="1"/>
    <n v="1.016"/>
    <n v="0.92"/>
    <n v="3.8719999999999999"/>
    <n v="1"/>
    <n v="0.93472"/>
  </r>
  <r>
    <n v="1"/>
    <s v="LEVEL 0"/>
    <s v="WEST"/>
    <x v="486"/>
    <m/>
    <m/>
    <m/>
    <m/>
    <x v="1"/>
    <x v="4"/>
    <x v="0"/>
    <m/>
    <m/>
    <m/>
    <n v="3316"/>
    <n v="585"/>
    <n v="1"/>
    <n v="3.3159999999999998"/>
    <n v="0.58499999999999996"/>
    <n v="7.8019999999999996"/>
    <n v="1"/>
    <n v="1.9398599999999999"/>
  </r>
  <r>
    <n v="1"/>
    <s v="LEVEL 0"/>
    <s v="WEST"/>
    <x v="487"/>
    <m/>
    <m/>
    <m/>
    <m/>
    <x v="1"/>
    <x v="4"/>
    <x v="0"/>
    <m/>
    <m/>
    <m/>
    <n v="1016"/>
    <n v="1020"/>
    <n v="1"/>
    <n v="1.016"/>
    <n v="1.02"/>
    <n v="4.0720000000000001"/>
    <n v="1"/>
    <n v="1.0363199999999999"/>
  </r>
  <r>
    <n v="1"/>
    <s v="LEVEL 0"/>
    <s v="WEST"/>
    <x v="488"/>
    <m/>
    <m/>
    <m/>
    <m/>
    <x v="1"/>
    <x v="4"/>
    <x v="0"/>
    <m/>
    <m/>
    <m/>
    <n v="3316"/>
    <n v="1480"/>
    <n v="1"/>
    <n v="3.3159999999999998"/>
    <n v="1.48"/>
    <n v="9.5920000000000005"/>
    <n v="1"/>
    <n v="4.9076799999999992"/>
  </r>
  <r>
    <n v="1"/>
    <s v="LEVEL 0"/>
    <s v="WEST"/>
    <x v="489"/>
    <m/>
    <m/>
    <m/>
    <m/>
    <x v="1"/>
    <x v="4"/>
    <x v="0"/>
    <m/>
    <m/>
    <m/>
    <n v="1016"/>
    <n v="1020"/>
    <n v="1"/>
    <n v="1.016"/>
    <n v="1.02"/>
    <n v="4.0720000000000001"/>
    <n v="1"/>
    <n v="1.0363199999999999"/>
  </r>
  <r>
    <n v="1"/>
    <s v="LEVEL 0"/>
    <s v="WEST"/>
    <x v="490"/>
    <m/>
    <m/>
    <m/>
    <m/>
    <x v="1"/>
    <x v="4"/>
    <x v="0"/>
    <m/>
    <m/>
    <m/>
    <n v="3316"/>
    <n v="1106"/>
    <n v="1"/>
    <n v="3.3159999999999998"/>
    <n v="1.1060000000000001"/>
    <n v="8.8439999999999994"/>
    <n v="1"/>
    <n v="3.6674959999999994"/>
  </r>
  <r>
    <n v="1"/>
    <s v="LEVEL 0"/>
    <s v="WEST"/>
    <x v="491"/>
    <m/>
    <m/>
    <m/>
    <m/>
    <x v="1"/>
    <x v="4"/>
    <x v="0"/>
    <m/>
    <m/>
    <m/>
    <n v="3316"/>
    <n v="1106"/>
    <n v="1"/>
    <n v="3.3159999999999998"/>
    <n v="1.1060000000000001"/>
    <n v="8.8439999999999994"/>
    <n v="1"/>
    <n v="3.6674959999999994"/>
  </r>
  <r>
    <n v="1"/>
    <s v="LEVEL 0"/>
    <s v="WEST"/>
    <x v="492"/>
    <m/>
    <m/>
    <m/>
    <m/>
    <x v="1"/>
    <x v="4"/>
    <x v="0"/>
    <m/>
    <m/>
    <m/>
    <n v="1016"/>
    <n v="920"/>
    <n v="1"/>
    <n v="1.016"/>
    <n v="0.92"/>
    <n v="3.8719999999999999"/>
    <n v="1"/>
    <n v="0.93472"/>
  </r>
  <r>
    <n v="1"/>
    <s v="LEVEL 0"/>
    <s v="WEST"/>
    <x v="493"/>
    <m/>
    <m/>
    <m/>
    <m/>
    <x v="1"/>
    <x v="4"/>
    <x v="0"/>
    <m/>
    <m/>
    <m/>
    <n v="3316"/>
    <n v="1515"/>
    <n v="1"/>
    <n v="3.3159999999999998"/>
    <n v="1.5149999999999999"/>
    <n v="9.6620000000000008"/>
    <n v="1"/>
    <n v="5.0237400000000001"/>
  </r>
  <r>
    <n v="1"/>
    <s v="LEVEL 0"/>
    <s v="WEST"/>
    <x v="494"/>
    <m/>
    <m/>
    <m/>
    <m/>
    <x v="1"/>
    <x v="4"/>
    <x v="0"/>
    <m/>
    <m/>
    <m/>
    <n v="3316"/>
    <n v="1515"/>
    <n v="1"/>
    <n v="3.3159999999999998"/>
    <n v="1.5149999999999999"/>
    <n v="9.6620000000000008"/>
    <n v="1"/>
    <n v="5.0237400000000001"/>
  </r>
  <r>
    <n v="1"/>
    <s v="LEVEL 0"/>
    <s v="WEST"/>
    <x v="495"/>
    <m/>
    <m/>
    <m/>
    <m/>
    <x v="1"/>
    <x v="4"/>
    <x v="0"/>
    <m/>
    <m/>
    <m/>
    <n v="3316"/>
    <n v="1515"/>
    <n v="1"/>
    <n v="3.3159999999999998"/>
    <n v="1.5149999999999999"/>
    <n v="9.6620000000000008"/>
    <n v="1"/>
    <n v="5.0237400000000001"/>
  </r>
  <r>
    <n v="1"/>
    <s v="LEVEL 0"/>
    <s v="WEST"/>
    <x v="496"/>
    <m/>
    <m/>
    <m/>
    <m/>
    <x v="1"/>
    <x v="4"/>
    <x v="0"/>
    <m/>
    <m/>
    <m/>
    <n v="900"/>
    <n v="1793.8888888888889"/>
    <n v="1"/>
    <n v="0.9"/>
    <n v="1.7938888888888889"/>
    <n v="5.3877777777777771"/>
    <n v="1"/>
    <n v="1.6145"/>
  </r>
  <r>
    <n v="1"/>
    <s v="PARAPET"/>
    <s v="WEST"/>
    <x v="497"/>
    <m/>
    <m/>
    <m/>
    <m/>
    <x v="1"/>
    <x v="4"/>
    <x v="0"/>
    <m/>
    <m/>
    <m/>
    <n v="900"/>
    <n v="1793.8888888888889"/>
    <n v="1"/>
    <n v="0.9"/>
    <n v="1.7938888888888889"/>
    <n v="5.3877777777777771"/>
    <n v="1"/>
    <n v="1.6145"/>
  </r>
  <r>
    <n v="1"/>
    <s v="PARAPET"/>
    <s v="WEST"/>
    <x v="498"/>
    <m/>
    <m/>
    <m/>
    <m/>
    <x v="1"/>
    <x v="4"/>
    <x v="0"/>
    <m/>
    <m/>
    <m/>
    <n v="900"/>
    <n v="1793.8888888888889"/>
    <n v="1"/>
    <n v="0.9"/>
    <n v="1.7938888888888889"/>
    <n v="5.3877777777777771"/>
    <n v="1"/>
    <n v="1.6145"/>
  </r>
  <r>
    <n v="1"/>
    <s v="PARAPET"/>
    <s v="WEST"/>
    <x v="499"/>
    <m/>
    <m/>
    <m/>
    <m/>
    <x v="1"/>
    <x v="4"/>
    <x v="0"/>
    <m/>
    <m/>
    <m/>
    <n v="900"/>
    <n v="1793.8888888888889"/>
    <n v="1"/>
    <n v="0.9"/>
    <n v="1.7938888888888889"/>
    <n v="5.3877777777777771"/>
    <n v="1"/>
    <n v="1.6145"/>
  </r>
  <r>
    <n v="1"/>
    <s v="PARAPET"/>
    <s v="WEST"/>
    <x v="500"/>
    <m/>
    <m/>
    <m/>
    <m/>
    <x v="1"/>
    <x v="4"/>
    <x v="0"/>
    <m/>
    <m/>
    <m/>
    <n v="900"/>
    <n v="1793.8888888888889"/>
    <n v="1"/>
    <n v="0.9"/>
    <n v="1.7938888888888889"/>
    <n v="5.3877777777777771"/>
    <n v="1"/>
    <n v="1.6145"/>
  </r>
  <r>
    <n v="1"/>
    <s v="PARAPET"/>
    <s v="WEST"/>
    <x v="501"/>
    <m/>
    <m/>
    <m/>
    <m/>
    <x v="1"/>
    <x v="4"/>
    <x v="0"/>
    <m/>
    <m/>
    <m/>
    <n v="900"/>
    <n v="1793.8888888888889"/>
    <n v="1"/>
    <n v="0.9"/>
    <n v="1.7938888888888889"/>
    <n v="5.3877777777777771"/>
    <n v="1"/>
    <n v="1.6145"/>
  </r>
  <r>
    <n v="1"/>
    <s v="PARAPET"/>
    <s v="WEST"/>
    <x v="502"/>
    <m/>
    <m/>
    <m/>
    <m/>
    <x v="1"/>
    <x v="4"/>
    <x v="0"/>
    <m/>
    <m/>
    <m/>
    <n v="900"/>
    <n v="1793.8888888888889"/>
    <n v="1"/>
    <n v="0.9"/>
    <n v="1.7938888888888889"/>
    <n v="5.3877777777777771"/>
    <n v="1"/>
    <n v="1.6145"/>
  </r>
  <r>
    <n v="1"/>
    <s v="PARAPET"/>
    <s v="WEST"/>
    <x v="503"/>
    <m/>
    <m/>
    <m/>
    <m/>
    <x v="1"/>
    <x v="4"/>
    <x v="0"/>
    <m/>
    <m/>
    <m/>
    <n v="900"/>
    <n v="1793.8888888888889"/>
    <n v="1"/>
    <n v="0.9"/>
    <n v="1.7938888888888889"/>
    <n v="5.3877777777777771"/>
    <n v="1"/>
    <n v="1.6145"/>
  </r>
  <r>
    <n v="1"/>
    <s v="Central Galary"/>
    <s v="WEST"/>
    <x v="504"/>
    <m/>
    <m/>
    <m/>
    <m/>
    <x v="1"/>
    <x v="4"/>
    <x v="0"/>
    <m/>
    <m/>
    <m/>
    <n v="900"/>
    <n v="1793.8888888888889"/>
    <n v="1"/>
    <n v="0.9"/>
    <n v="1.7938888888888889"/>
    <n v="5.3877777777777771"/>
    <n v="1"/>
    <n v="1.6145"/>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Central Galary"/>
    <s v="WEST"/>
    <x v="504"/>
    <m/>
    <m/>
    <m/>
    <m/>
    <x v="1"/>
    <x v="4"/>
    <x v="0"/>
    <m/>
    <m/>
    <m/>
    <n v="2080"/>
    <n v="1200"/>
    <n v="1"/>
    <n v="2.08"/>
    <n v="1.2"/>
    <n v="6.56"/>
    <n v="1"/>
    <n v="2.496"/>
  </r>
  <r>
    <n v="1"/>
    <s v="level 1"/>
    <s v="south"/>
    <x v="505"/>
    <m/>
    <m/>
    <m/>
    <m/>
    <x v="1"/>
    <x v="3"/>
    <x v="0"/>
    <m/>
    <m/>
    <m/>
    <n v="6200"/>
    <n v="2700"/>
    <n v="1"/>
    <n v="6.2"/>
    <n v="2.7"/>
    <n v="17.8"/>
    <n v="1"/>
    <n v="16.739999999999998"/>
  </r>
  <r>
    <n v="1"/>
    <s v="level 1"/>
    <s v="south"/>
    <x v="506"/>
    <m/>
    <m/>
    <m/>
    <m/>
    <x v="1"/>
    <x v="3"/>
    <x v="0"/>
    <m/>
    <m/>
    <m/>
    <n v="6200"/>
    <n v="2700"/>
    <n v="1"/>
    <n v="6.2"/>
    <n v="2.7"/>
    <n v="17.8"/>
    <n v="1"/>
    <n v="16.739999999999998"/>
  </r>
  <r>
    <n v="1"/>
    <s v="level 1"/>
    <s v="south"/>
    <x v="507"/>
    <m/>
    <m/>
    <m/>
    <m/>
    <x v="1"/>
    <x v="3"/>
    <x v="0"/>
    <m/>
    <m/>
    <m/>
    <n v="6200"/>
    <n v="2700"/>
    <n v="1"/>
    <n v="6.2"/>
    <n v="2.7"/>
    <n v="17.8"/>
    <n v="1"/>
    <n v="16.739999999999998"/>
  </r>
  <r>
    <n v="1"/>
    <s v="level 1"/>
    <s v="south"/>
    <x v="508"/>
    <m/>
    <m/>
    <m/>
    <m/>
    <x v="1"/>
    <x v="3"/>
    <x v="0"/>
    <m/>
    <m/>
    <m/>
    <n v="6200"/>
    <n v="2700"/>
    <n v="1"/>
    <n v="6.2"/>
    <n v="2.7"/>
    <n v="17.8"/>
    <n v="1"/>
    <n v="16.739999999999998"/>
  </r>
  <r>
    <n v="1"/>
    <s v="level 1"/>
    <s v="south"/>
    <x v="509"/>
    <m/>
    <m/>
    <m/>
    <m/>
    <x v="1"/>
    <x v="3"/>
    <x v="0"/>
    <m/>
    <m/>
    <m/>
    <n v="6200"/>
    <n v="2700"/>
    <n v="1"/>
    <n v="6.2"/>
    <n v="2.7"/>
    <n v="17.8"/>
    <n v="1"/>
    <n v="16.739999999999998"/>
  </r>
  <r>
    <n v="1"/>
    <s v="level 1"/>
    <s v="south"/>
    <x v="510"/>
    <m/>
    <m/>
    <m/>
    <m/>
    <x v="1"/>
    <x v="3"/>
    <x v="0"/>
    <m/>
    <m/>
    <m/>
    <n v="6200"/>
    <n v="2700"/>
    <n v="1"/>
    <n v="6.2"/>
    <n v="2.7"/>
    <n v="17.8"/>
    <n v="1"/>
    <n v="16.739999999999998"/>
  </r>
  <r>
    <n v="1"/>
    <s v="level 1"/>
    <s v="south"/>
    <x v="511"/>
    <m/>
    <m/>
    <m/>
    <m/>
    <x v="1"/>
    <x v="3"/>
    <x v="0"/>
    <m/>
    <m/>
    <m/>
    <n v="6200"/>
    <n v="2700"/>
    <n v="1"/>
    <n v="6.2"/>
    <n v="2.7"/>
    <n v="17.8"/>
    <n v="1"/>
    <n v="16.739999999999998"/>
  </r>
  <r>
    <n v="1"/>
    <s v="level 1"/>
    <s v="south"/>
    <x v="512"/>
    <m/>
    <m/>
    <m/>
    <m/>
    <x v="1"/>
    <x v="3"/>
    <x v="0"/>
    <m/>
    <m/>
    <m/>
    <n v="6200"/>
    <n v="2700"/>
    <n v="1"/>
    <n v="6.2"/>
    <n v="2.7"/>
    <n v="17.8"/>
    <n v="1"/>
    <n v="16.739999999999998"/>
  </r>
  <r>
    <n v="1"/>
    <s v="level 1"/>
    <s v="south"/>
    <x v="513"/>
    <m/>
    <m/>
    <m/>
    <m/>
    <x v="1"/>
    <x v="3"/>
    <x v="0"/>
    <m/>
    <m/>
    <m/>
    <n v="6200"/>
    <n v="2700"/>
    <n v="1"/>
    <n v="6.2"/>
    <n v="2.7"/>
    <n v="17.8"/>
    <n v="1"/>
    <n v="16.739999999999998"/>
  </r>
  <r>
    <n v="1"/>
    <s v="level 1"/>
    <s v="south"/>
    <x v="514"/>
    <m/>
    <m/>
    <m/>
    <m/>
    <x v="1"/>
    <x v="3"/>
    <x v="0"/>
    <m/>
    <m/>
    <m/>
    <n v="6200"/>
    <n v="2700"/>
    <n v="1"/>
    <n v="6.2"/>
    <n v="2.7"/>
    <n v="17.8"/>
    <n v="1"/>
    <n v="16.739999999999998"/>
  </r>
  <r>
    <n v="1"/>
    <s v="level 1"/>
    <s v="south"/>
    <x v="515"/>
    <m/>
    <m/>
    <m/>
    <m/>
    <x v="1"/>
    <x v="3"/>
    <x v="0"/>
    <m/>
    <m/>
    <m/>
    <n v="6200"/>
    <n v="2700"/>
    <n v="1"/>
    <n v="6.2"/>
    <n v="2.7"/>
    <n v="17.8"/>
    <n v="1"/>
    <n v="16.739999999999998"/>
  </r>
  <r>
    <n v="1"/>
    <s v="level 1"/>
    <s v="south"/>
    <x v="516"/>
    <m/>
    <m/>
    <m/>
    <m/>
    <x v="1"/>
    <x v="3"/>
    <x v="0"/>
    <m/>
    <m/>
    <m/>
    <n v="2950"/>
    <n v="1260"/>
    <n v="1"/>
    <n v="2.95"/>
    <n v="1.26"/>
    <n v="8.42"/>
    <n v="1"/>
    <n v="3.7170000000000001"/>
  </r>
  <r>
    <n v="1"/>
    <s v="level 1"/>
    <s v="south"/>
    <x v="517"/>
    <m/>
    <m/>
    <m/>
    <m/>
    <x v="1"/>
    <x v="3"/>
    <x v="0"/>
    <m/>
    <m/>
    <m/>
    <n v="2950"/>
    <n v="1260"/>
    <n v="1"/>
    <n v="2.95"/>
    <n v="1.26"/>
    <n v="8.42"/>
    <n v="1"/>
    <n v="3.7170000000000001"/>
  </r>
  <r>
    <n v="1"/>
    <s v="level 1"/>
    <s v="south"/>
    <x v="518"/>
    <m/>
    <m/>
    <m/>
    <m/>
    <x v="1"/>
    <x v="3"/>
    <x v="0"/>
    <m/>
    <m/>
    <m/>
    <n v="905"/>
    <n v="1260"/>
    <n v="1"/>
    <n v="0.90500000000000003"/>
    <n v="1.26"/>
    <n v="4.33"/>
    <n v="1"/>
    <n v="1.1402999999999999"/>
  </r>
  <r>
    <n v="1"/>
    <s v="level 1"/>
    <s v="south"/>
    <x v="519"/>
    <m/>
    <m/>
    <m/>
    <m/>
    <x v="1"/>
    <x v="3"/>
    <x v="0"/>
    <m/>
    <m/>
    <m/>
    <n v="905"/>
    <n v="1260"/>
    <n v="1"/>
    <n v="0.90500000000000003"/>
    <n v="1.26"/>
    <n v="4.33"/>
    <n v="1"/>
    <n v="1.1402999999999999"/>
  </r>
  <r>
    <n v="1"/>
    <s v="level 1"/>
    <s v="south"/>
    <x v="520"/>
    <m/>
    <m/>
    <m/>
    <m/>
    <x v="1"/>
    <x v="3"/>
    <x v="0"/>
    <m/>
    <m/>
    <m/>
    <n v="2345"/>
    <n v="290"/>
    <n v="1"/>
    <n v="2.3450000000000002"/>
    <n v="0.28999999999999998"/>
    <n v="5.27"/>
    <n v="1"/>
    <n v="0.68005000000000004"/>
  </r>
  <r>
    <n v="1"/>
    <s v="level 1"/>
    <s v="North"/>
    <x v="521"/>
    <m/>
    <m/>
    <m/>
    <m/>
    <x v="1"/>
    <x v="3"/>
    <x v="0"/>
    <m/>
    <m/>
    <m/>
    <n v="2930"/>
    <n v="1105"/>
    <n v="1"/>
    <n v="2.93"/>
    <n v="1.105"/>
    <n v="8.07"/>
    <n v="1"/>
    <n v="3.2376499999999999"/>
  </r>
  <r>
    <n v="1"/>
    <s v="level 1"/>
    <s v="North"/>
    <x v="522"/>
    <m/>
    <m/>
    <m/>
    <m/>
    <x v="1"/>
    <x v="3"/>
    <x v="0"/>
    <m/>
    <m/>
    <m/>
    <n v="2930"/>
    <n v="1105"/>
    <n v="1"/>
    <n v="2.93"/>
    <n v="1.105"/>
    <n v="8.07"/>
    <n v="1"/>
    <n v="3.2376499999999999"/>
  </r>
  <r>
    <n v="1"/>
    <s v="LEVEL 0"/>
    <s v="North"/>
    <x v="523"/>
    <m/>
    <m/>
    <m/>
    <m/>
    <x v="1"/>
    <x v="3"/>
    <x v="0"/>
    <m/>
    <m/>
    <m/>
    <n v="4030"/>
    <n v="775"/>
    <n v="1"/>
    <n v="4.03"/>
    <n v="0.77500000000000002"/>
    <n v="9.61"/>
    <n v="1"/>
    <n v="3.1232500000000001"/>
  </r>
  <r>
    <n v="1"/>
    <s v="LEVEL 0"/>
    <s v="North"/>
    <x v="524"/>
    <m/>
    <m/>
    <m/>
    <m/>
    <x v="1"/>
    <x v="3"/>
    <x v="0"/>
    <m/>
    <m/>
    <m/>
    <n v="4030"/>
    <n v="1620"/>
    <n v="1"/>
    <n v="4.03"/>
    <n v="1.62"/>
    <n v="11.3"/>
    <n v="1"/>
    <n v="6.5286"/>
  </r>
  <r>
    <n v="1"/>
    <s v="LEVEL 0"/>
    <s v="North"/>
    <x v="525"/>
    <m/>
    <m/>
    <m/>
    <m/>
    <x v="1"/>
    <x v="3"/>
    <x v="0"/>
    <m/>
    <m/>
    <m/>
    <n v="4030"/>
    <n v="390"/>
    <n v="1"/>
    <n v="4.03"/>
    <n v="0.39"/>
    <n v="8.84"/>
    <n v="1"/>
    <n v="1.5717000000000001"/>
  </r>
  <r>
    <n v="1"/>
    <s v="LEVEL 0"/>
    <s v="North"/>
    <x v="526"/>
    <m/>
    <m/>
    <m/>
    <m/>
    <x v="1"/>
    <x v="3"/>
    <x v="0"/>
    <m/>
    <m/>
    <m/>
    <n v="1000"/>
    <n v="1530"/>
    <n v="1"/>
    <n v="1"/>
    <n v="1.53"/>
    <n v="5.0599999999999996"/>
    <n v="1"/>
    <n v="1.5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4">
  <r>
    <n v="1"/>
    <s v="GROUND/L1"/>
    <s v="WEST"/>
    <s v="CW01"/>
    <s v="OFFICE"/>
    <m/>
    <m/>
    <m/>
    <x v="0"/>
    <x v="0"/>
    <x v="0"/>
    <m/>
    <m/>
    <m/>
    <n v="7800"/>
    <n v="4800"/>
    <n v="1"/>
    <n v="7.8"/>
    <n v="4.8"/>
    <n v="25.2"/>
    <n v="1"/>
    <n v="37.44"/>
    <n v="58"/>
  </r>
  <r>
    <n v="1"/>
    <s v="LEVEL 1"/>
    <s v="WEST"/>
    <s v="CW01"/>
    <s v="OFFICE"/>
    <m/>
    <m/>
    <m/>
    <x v="1"/>
    <x v="0"/>
    <x v="1"/>
    <s v="E-CF"/>
    <m/>
    <m/>
    <n v="1100"/>
    <n v="1200"/>
    <n v="1"/>
    <n v="1.1000000000000001"/>
    <n v="1.2"/>
    <n v="4.5999999999999996"/>
    <n v="1"/>
    <n v="1.32"/>
    <n v="12"/>
  </r>
  <r>
    <n v="1"/>
    <s v="LEVEL 1"/>
    <s v="WEST"/>
    <s v="CW01"/>
    <s v="OFFICE"/>
    <m/>
    <m/>
    <m/>
    <x v="1"/>
    <x v="0"/>
    <x v="1"/>
    <s v="E-CF"/>
    <m/>
    <m/>
    <n v="1100"/>
    <n v="1200"/>
    <n v="1"/>
    <n v="1.1000000000000001"/>
    <n v="1.2"/>
    <n v="4.5999999999999996"/>
    <n v="1"/>
    <n v="1.32"/>
    <n v="12"/>
  </r>
  <r>
    <n v="1"/>
    <s v="LEVEL 1"/>
    <s v="WEST"/>
    <s v="CW01"/>
    <s v="OFFICE"/>
    <m/>
    <m/>
    <m/>
    <x v="1"/>
    <x v="0"/>
    <x v="1"/>
    <s v="E-CF"/>
    <m/>
    <m/>
    <n v="1100"/>
    <n v="1200"/>
    <n v="1"/>
    <n v="1.1000000000000001"/>
    <n v="1.2"/>
    <n v="4.5999999999999996"/>
    <n v="1"/>
    <n v="1.32"/>
    <n v="12"/>
  </r>
  <r>
    <n v="1"/>
    <s v="LEVEL 1"/>
    <s v="WEST"/>
    <s v="CW01"/>
    <s v="OFFICE"/>
    <m/>
    <m/>
    <m/>
    <x v="1"/>
    <x v="0"/>
    <x v="1"/>
    <s v="E-CF"/>
    <m/>
    <m/>
    <n v="1100"/>
    <n v="1200"/>
    <n v="1"/>
    <n v="1.1000000000000001"/>
    <n v="1.2"/>
    <n v="4.5999999999999996"/>
    <n v="1"/>
    <n v="1.32"/>
    <n v="12"/>
  </r>
  <r>
    <n v="1"/>
    <s v="LEVEL 1"/>
    <s v="WEST"/>
    <s v="CW01"/>
    <s v="OFFICE"/>
    <m/>
    <m/>
    <m/>
    <x v="1"/>
    <x v="0"/>
    <x v="2"/>
    <s v="E-GL1/E-CF"/>
    <m/>
    <m/>
    <n v="2700"/>
    <n v="1200"/>
    <n v="1"/>
    <n v="2.7"/>
    <n v="1.2"/>
    <n v="7.8"/>
    <n v="1"/>
    <n v="3.24"/>
    <n v="18"/>
  </r>
  <r>
    <n v="1"/>
    <s v="LEVEL 1"/>
    <s v="WEST"/>
    <s v="CW01"/>
    <s v="OFFICE"/>
    <m/>
    <m/>
    <m/>
    <x v="1"/>
    <x v="0"/>
    <x v="2"/>
    <s v="E-GL1/E-CF"/>
    <m/>
    <m/>
    <n v="2700"/>
    <n v="1200"/>
    <n v="1"/>
    <n v="2.7"/>
    <n v="1.2"/>
    <n v="7.8"/>
    <n v="1"/>
    <n v="3.24"/>
    <n v="18"/>
  </r>
  <r>
    <n v="1"/>
    <s v="LEVEL 1"/>
    <s v="WEST"/>
    <s v="CW01"/>
    <s v="OFFICE"/>
    <m/>
    <m/>
    <m/>
    <x v="1"/>
    <x v="0"/>
    <x v="2"/>
    <s v="E-GL1/E-CF"/>
    <m/>
    <m/>
    <n v="2700"/>
    <n v="1200"/>
    <n v="1"/>
    <n v="2.7"/>
    <n v="1.2"/>
    <n v="7.8"/>
    <n v="1"/>
    <n v="3.24"/>
    <n v="18"/>
  </r>
  <r>
    <n v="1"/>
    <s v="LEVEL 1"/>
    <s v="WEST"/>
    <s v="CW01"/>
    <s v="OFFICE"/>
    <m/>
    <m/>
    <m/>
    <x v="1"/>
    <x v="0"/>
    <x v="2"/>
    <s v="E-GL1/E-CF"/>
    <m/>
    <m/>
    <n v="2700"/>
    <n v="1200"/>
    <n v="1"/>
    <n v="2.7"/>
    <n v="1.2"/>
    <n v="7.8"/>
    <n v="1"/>
    <n v="3.24"/>
    <n v="18"/>
  </r>
  <r>
    <n v="1"/>
    <s v="GROUND"/>
    <s v="WEST"/>
    <s v="CW01"/>
    <s v="OFFICE"/>
    <m/>
    <m/>
    <m/>
    <x v="1"/>
    <x v="0"/>
    <x v="1"/>
    <s v="E-CF"/>
    <m/>
    <m/>
    <n v="1300"/>
    <n v="1200"/>
    <n v="1"/>
    <n v="1.3"/>
    <n v="1.2"/>
    <n v="5"/>
    <n v="1"/>
    <n v="1.56"/>
    <n v="12"/>
  </r>
  <r>
    <n v="1"/>
    <s v="GROUND"/>
    <s v="WEST"/>
    <s v="CW01"/>
    <s v="OFFICE"/>
    <m/>
    <m/>
    <m/>
    <x v="1"/>
    <x v="0"/>
    <x v="1"/>
    <s v="E-CF"/>
    <m/>
    <m/>
    <n v="1300"/>
    <n v="1200"/>
    <n v="1"/>
    <n v="1.3"/>
    <n v="1.2"/>
    <n v="5"/>
    <n v="1"/>
    <n v="1.56"/>
    <n v="12"/>
  </r>
  <r>
    <n v="1"/>
    <s v="GROUND"/>
    <s v="WEST"/>
    <s v="CW01"/>
    <s v="OFFICE"/>
    <m/>
    <m/>
    <m/>
    <x v="1"/>
    <x v="0"/>
    <x v="1"/>
    <s v="E-CF"/>
    <m/>
    <m/>
    <n v="1300"/>
    <n v="1200"/>
    <n v="1"/>
    <n v="1.3"/>
    <n v="1.2"/>
    <n v="5"/>
    <n v="1"/>
    <n v="1.56"/>
    <n v="12"/>
  </r>
  <r>
    <n v="1"/>
    <s v="GROUND"/>
    <s v="WEST"/>
    <s v="CW01"/>
    <s v="OFFICE"/>
    <m/>
    <m/>
    <m/>
    <x v="1"/>
    <x v="0"/>
    <x v="1"/>
    <s v="E-CF"/>
    <m/>
    <m/>
    <n v="1300"/>
    <n v="1200"/>
    <n v="1"/>
    <n v="1.3"/>
    <n v="1.2"/>
    <n v="5"/>
    <n v="1"/>
    <n v="1.56"/>
    <n v="12"/>
  </r>
  <r>
    <n v="1"/>
    <s v="GROUND"/>
    <s v="WEST"/>
    <s v="CW01"/>
    <s v="OFFICE"/>
    <m/>
    <m/>
    <m/>
    <x v="1"/>
    <x v="0"/>
    <x v="2"/>
    <s v="E-GL1/E-CF"/>
    <m/>
    <m/>
    <n v="2700"/>
    <n v="1200"/>
    <n v="1"/>
    <n v="2.7"/>
    <n v="1.2"/>
    <n v="7.8"/>
    <n v="1"/>
    <n v="3.24"/>
    <n v="18"/>
  </r>
  <r>
    <n v="1"/>
    <s v="GROUND"/>
    <s v="WEST"/>
    <s v="CW01"/>
    <s v="OFFICE"/>
    <m/>
    <m/>
    <m/>
    <x v="1"/>
    <x v="0"/>
    <x v="2"/>
    <s v="E-GL1/E-CF"/>
    <m/>
    <m/>
    <n v="2700"/>
    <n v="1200"/>
    <n v="1"/>
    <n v="2.7"/>
    <n v="1.2"/>
    <n v="7.8"/>
    <n v="1"/>
    <n v="3.24"/>
    <n v="18"/>
  </r>
  <r>
    <n v="1"/>
    <s v="GROUND"/>
    <s v="WEST"/>
    <s v="CW01"/>
    <s v="OFFICE"/>
    <m/>
    <m/>
    <m/>
    <x v="1"/>
    <x v="0"/>
    <x v="2"/>
    <s v="E-GL1/E-CF"/>
    <m/>
    <m/>
    <n v="2700"/>
    <n v="1200"/>
    <n v="1"/>
    <n v="2.7"/>
    <n v="1.2"/>
    <n v="7.8"/>
    <n v="1"/>
    <n v="3.24"/>
    <n v="18"/>
  </r>
  <r>
    <n v="1"/>
    <s v="GROUND"/>
    <s v="WEST"/>
    <s v="CW01"/>
    <s v="OFFICE"/>
    <m/>
    <m/>
    <m/>
    <x v="1"/>
    <x v="0"/>
    <x v="2"/>
    <s v="E-GL1/E-CF"/>
    <m/>
    <m/>
    <n v="2700"/>
    <n v="1200"/>
    <n v="1"/>
    <n v="2.7"/>
    <n v="1.2"/>
    <n v="7.8"/>
    <n v="1"/>
    <n v="3.24"/>
    <n v="18"/>
  </r>
  <r>
    <n v="1"/>
    <s v="LEVEL 1"/>
    <s v="WEST"/>
    <s v="CW01"/>
    <s v="OFFICE"/>
    <m/>
    <m/>
    <m/>
    <x v="2"/>
    <x v="0"/>
    <x v="1"/>
    <s v="E-CF"/>
    <m/>
    <m/>
    <n v="1100"/>
    <n v="1200"/>
    <n v="1"/>
    <n v="1.1000000000000001"/>
    <n v="1.2"/>
    <n v="4.5999999999999996"/>
    <n v="1"/>
    <n v="1.32"/>
    <n v="12"/>
  </r>
  <r>
    <n v="1"/>
    <s v="LEVEL 1"/>
    <s v="WEST"/>
    <s v="CW01"/>
    <s v="OFFICE"/>
    <m/>
    <m/>
    <m/>
    <x v="2"/>
    <x v="0"/>
    <x v="1"/>
    <s v="E-CF"/>
    <m/>
    <m/>
    <n v="1100"/>
    <n v="1200"/>
    <n v="1"/>
    <n v="1.1000000000000001"/>
    <n v="1.2"/>
    <n v="4.5999999999999996"/>
    <n v="1"/>
    <n v="1.32"/>
    <n v="12"/>
  </r>
  <r>
    <n v="1"/>
    <s v="LEVEL 1"/>
    <s v="WEST"/>
    <s v="CW01"/>
    <s v="OFFICE"/>
    <m/>
    <m/>
    <m/>
    <x v="2"/>
    <x v="0"/>
    <x v="1"/>
    <s v="E-CF"/>
    <m/>
    <m/>
    <n v="1100"/>
    <n v="1200"/>
    <n v="1"/>
    <n v="1.1000000000000001"/>
    <n v="1.2"/>
    <n v="4.5999999999999996"/>
    <n v="1"/>
    <n v="1.32"/>
    <n v="12"/>
  </r>
  <r>
    <n v="1"/>
    <s v="LEVEL 1"/>
    <s v="WEST"/>
    <s v="CW01"/>
    <s v="OFFICE"/>
    <m/>
    <m/>
    <m/>
    <x v="2"/>
    <x v="0"/>
    <x v="1"/>
    <s v="E-CF"/>
    <m/>
    <m/>
    <n v="1100"/>
    <n v="1200"/>
    <n v="1"/>
    <n v="1.1000000000000001"/>
    <n v="1.2"/>
    <n v="4.5999999999999996"/>
    <n v="1"/>
    <n v="1.32"/>
    <n v="12"/>
  </r>
  <r>
    <n v="1"/>
    <s v="LEVEL 1"/>
    <s v="WEST"/>
    <s v="CW01"/>
    <s v="OFFICE"/>
    <m/>
    <m/>
    <m/>
    <x v="2"/>
    <x v="0"/>
    <x v="1"/>
    <s v="E-GL1"/>
    <m/>
    <m/>
    <n v="1800"/>
    <n v="1200"/>
    <n v="1"/>
    <n v="1.8"/>
    <n v="1.2"/>
    <n v="6"/>
    <n v="1"/>
    <n v="2.16"/>
    <n v="14"/>
  </r>
  <r>
    <n v="1"/>
    <s v="LEVEL 1"/>
    <s v="WEST"/>
    <s v="CW01"/>
    <s v="OFFICE"/>
    <m/>
    <m/>
    <m/>
    <x v="2"/>
    <x v="0"/>
    <x v="1"/>
    <s v="E-GL1"/>
    <m/>
    <m/>
    <n v="1800"/>
    <n v="1200"/>
    <n v="1"/>
    <n v="1.8"/>
    <n v="1.2"/>
    <n v="6"/>
    <n v="1"/>
    <n v="2.16"/>
    <n v="14"/>
  </r>
  <r>
    <n v="1"/>
    <s v="LEVEL 1"/>
    <s v="WEST"/>
    <s v="CW01"/>
    <s v="OFFICE"/>
    <m/>
    <m/>
    <m/>
    <x v="2"/>
    <x v="0"/>
    <x v="1"/>
    <s v="E-GL1"/>
    <m/>
    <m/>
    <n v="1800"/>
    <n v="1200"/>
    <n v="1"/>
    <n v="1.8"/>
    <n v="1.2"/>
    <n v="6"/>
    <n v="1"/>
    <n v="2.16"/>
    <n v="14"/>
  </r>
  <r>
    <n v="1"/>
    <s v="LEVEL 1"/>
    <s v="WEST"/>
    <s v="CW01"/>
    <s v="OFFICE"/>
    <m/>
    <m/>
    <m/>
    <x v="2"/>
    <x v="0"/>
    <x v="1"/>
    <s v="E-GL1"/>
    <m/>
    <m/>
    <n v="1800"/>
    <n v="1200"/>
    <n v="1"/>
    <n v="1.8"/>
    <n v="1.2"/>
    <n v="6"/>
    <n v="1"/>
    <n v="2.16"/>
    <n v="14"/>
  </r>
  <r>
    <n v="1"/>
    <s v="LEVEL 1"/>
    <s v="WEST"/>
    <s v="CW01"/>
    <s v="OFFICE"/>
    <m/>
    <m/>
    <m/>
    <x v="2"/>
    <x v="0"/>
    <x v="1"/>
    <s v="E-CF"/>
    <m/>
    <m/>
    <n v="900"/>
    <n v="1200"/>
    <n v="1"/>
    <n v="0.9"/>
    <n v="1.2"/>
    <n v="4.2"/>
    <n v="1"/>
    <n v="1.08"/>
    <n v="10"/>
  </r>
  <r>
    <n v="1"/>
    <s v="LEVEL 1"/>
    <s v="WEST"/>
    <s v="CW01"/>
    <s v="OFFICE"/>
    <m/>
    <m/>
    <m/>
    <x v="2"/>
    <x v="0"/>
    <x v="1"/>
    <s v="E-CF"/>
    <m/>
    <m/>
    <n v="900"/>
    <n v="1200"/>
    <n v="1"/>
    <n v="0.9"/>
    <n v="1.2"/>
    <n v="4.2"/>
    <n v="1"/>
    <n v="1.08"/>
    <n v="10"/>
  </r>
  <r>
    <n v="1"/>
    <s v="LEVEL 1"/>
    <s v="WEST"/>
    <s v="CW01"/>
    <s v="OFFICE"/>
    <m/>
    <m/>
    <m/>
    <x v="2"/>
    <x v="0"/>
    <x v="1"/>
    <s v="E-CF"/>
    <m/>
    <m/>
    <n v="900"/>
    <n v="1200"/>
    <n v="1"/>
    <n v="0.9"/>
    <n v="1.2"/>
    <n v="4.2"/>
    <n v="1"/>
    <n v="1.08"/>
    <n v="10"/>
  </r>
  <r>
    <n v="1"/>
    <s v="LEVEL 1"/>
    <s v="WEST"/>
    <s v="CW01"/>
    <s v="OFFICE"/>
    <m/>
    <m/>
    <m/>
    <x v="2"/>
    <x v="0"/>
    <x v="1"/>
    <s v="E-CF"/>
    <m/>
    <m/>
    <n v="900"/>
    <n v="1200"/>
    <n v="1"/>
    <n v="0.9"/>
    <n v="1.2"/>
    <n v="4.2"/>
    <n v="1"/>
    <n v="1.08"/>
    <n v="10"/>
  </r>
  <r>
    <n v="1"/>
    <s v="GROUND"/>
    <s v="WEST"/>
    <s v="CW01"/>
    <s v="OFFICE"/>
    <m/>
    <m/>
    <m/>
    <x v="2"/>
    <x v="0"/>
    <x v="1"/>
    <s v="E-CF"/>
    <m/>
    <m/>
    <n v="1300"/>
    <n v="1200"/>
    <n v="1"/>
    <n v="1.3"/>
    <n v="1.2"/>
    <n v="5"/>
    <n v="1"/>
    <n v="1.56"/>
    <n v="12"/>
  </r>
  <r>
    <n v="1"/>
    <s v="GROUND"/>
    <s v="WEST"/>
    <s v="CW01"/>
    <s v="OFFICE"/>
    <m/>
    <m/>
    <m/>
    <x v="2"/>
    <x v="0"/>
    <x v="1"/>
    <s v="E-CF"/>
    <m/>
    <m/>
    <n v="1300"/>
    <n v="1200"/>
    <n v="1"/>
    <n v="1.3"/>
    <n v="1.2"/>
    <n v="5"/>
    <n v="1"/>
    <n v="1.56"/>
    <n v="12"/>
  </r>
  <r>
    <n v="1"/>
    <s v="GROUND"/>
    <s v="WEST"/>
    <s v="CW01"/>
    <s v="OFFICE"/>
    <m/>
    <m/>
    <m/>
    <x v="2"/>
    <x v="0"/>
    <x v="1"/>
    <s v="E-CF"/>
    <m/>
    <m/>
    <n v="1300"/>
    <n v="1200"/>
    <n v="1"/>
    <n v="1.3"/>
    <n v="1.2"/>
    <n v="5"/>
    <n v="1"/>
    <n v="1.56"/>
    <n v="12"/>
  </r>
  <r>
    <n v="1"/>
    <s v="GROUND"/>
    <s v="WEST"/>
    <s v="CW01"/>
    <s v="OFFICE"/>
    <m/>
    <m/>
    <m/>
    <x v="2"/>
    <x v="0"/>
    <x v="1"/>
    <s v="E-CF"/>
    <m/>
    <m/>
    <n v="1300"/>
    <n v="1200"/>
    <n v="1"/>
    <n v="1.3"/>
    <n v="1.2"/>
    <n v="5"/>
    <n v="1"/>
    <n v="1.56"/>
    <n v="12"/>
  </r>
  <r>
    <n v="1"/>
    <s v="GROUND"/>
    <s v="WEST"/>
    <s v="CW01"/>
    <s v="OFFICE"/>
    <m/>
    <m/>
    <m/>
    <x v="2"/>
    <x v="0"/>
    <x v="1"/>
    <s v="E-GL1"/>
    <m/>
    <m/>
    <n v="1800"/>
    <n v="1200"/>
    <n v="1"/>
    <n v="1.8"/>
    <n v="1.2"/>
    <n v="6"/>
    <n v="1"/>
    <n v="2.16"/>
    <n v="14"/>
  </r>
  <r>
    <n v="1"/>
    <s v="GROUND"/>
    <s v="WEST"/>
    <s v="CW01"/>
    <s v="OFFICE"/>
    <m/>
    <m/>
    <m/>
    <x v="2"/>
    <x v="0"/>
    <x v="1"/>
    <s v="E-GL1"/>
    <m/>
    <m/>
    <n v="1800"/>
    <n v="1200"/>
    <n v="1"/>
    <n v="1.8"/>
    <n v="1.2"/>
    <n v="6"/>
    <n v="1"/>
    <n v="2.16"/>
    <n v="14"/>
  </r>
  <r>
    <n v="1"/>
    <s v="GROUND"/>
    <s v="WEST"/>
    <s v="CW01"/>
    <s v="OFFICE"/>
    <m/>
    <m/>
    <m/>
    <x v="2"/>
    <x v="0"/>
    <x v="1"/>
    <s v="E-GL1"/>
    <m/>
    <m/>
    <n v="1800"/>
    <n v="1200"/>
    <n v="1"/>
    <n v="1.8"/>
    <n v="1.2"/>
    <n v="6"/>
    <n v="1"/>
    <n v="2.16"/>
    <n v="14"/>
  </r>
  <r>
    <n v="1"/>
    <s v="GROUND"/>
    <s v="WEST"/>
    <s v="CW01"/>
    <s v="OFFICE"/>
    <m/>
    <m/>
    <m/>
    <x v="2"/>
    <x v="0"/>
    <x v="1"/>
    <s v="E-GL1"/>
    <m/>
    <m/>
    <n v="1800"/>
    <n v="1200"/>
    <n v="1"/>
    <n v="1.8"/>
    <n v="1.2"/>
    <n v="6"/>
    <n v="1"/>
    <n v="2.16"/>
    <n v="14"/>
  </r>
  <r>
    <n v="1"/>
    <s v="GROUND"/>
    <s v="WEST"/>
    <s v="CW01"/>
    <s v="OFFICE"/>
    <m/>
    <m/>
    <m/>
    <x v="2"/>
    <x v="0"/>
    <x v="1"/>
    <s v="E-CF"/>
    <m/>
    <m/>
    <n v="900"/>
    <n v="1200"/>
    <n v="1"/>
    <n v="0.9"/>
    <n v="1.2"/>
    <n v="4.2"/>
    <n v="1"/>
    <n v="1.08"/>
    <n v="10"/>
  </r>
  <r>
    <n v="1"/>
    <s v="GROUND"/>
    <s v="WEST"/>
    <s v="CW01"/>
    <s v="OFFICE"/>
    <m/>
    <m/>
    <m/>
    <x v="2"/>
    <x v="0"/>
    <x v="1"/>
    <s v="E-CF"/>
    <m/>
    <m/>
    <n v="900"/>
    <n v="1200"/>
    <n v="1"/>
    <n v="0.9"/>
    <n v="1.2"/>
    <n v="4.2"/>
    <n v="1"/>
    <n v="1.08"/>
    <n v="10"/>
  </r>
  <r>
    <n v="1"/>
    <s v="GROUND"/>
    <s v="WEST"/>
    <s v="CW01"/>
    <s v="OFFICE"/>
    <m/>
    <m/>
    <m/>
    <x v="2"/>
    <x v="0"/>
    <x v="1"/>
    <s v="E-CF"/>
    <m/>
    <m/>
    <n v="900"/>
    <n v="1200"/>
    <n v="1"/>
    <n v="0.9"/>
    <n v="1.2"/>
    <n v="4.2"/>
    <n v="1"/>
    <n v="1.08"/>
    <n v="10"/>
  </r>
  <r>
    <n v="1"/>
    <s v="GROUND"/>
    <s v="WEST"/>
    <s v="CW01"/>
    <s v="OFFICE"/>
    <m/>
    <m/>
    <m/>
    <x v="2"/>
    <x v="0"/>
    <x v="1"/>
    <s v="E-CF"/>
    <m/>
    <m/>
    <n v="900"/>
    <n v="1200"/>
    <n v="1"/>
    <n v="0.9"/>
    <n v="1.2"/>
    <n v="4.2"/>
    <n v="1"/>
    <n v="1.08"/>
    <n v="10"/>
  </r>
  <r>
    <n v="1"/>
    <s v="GROUND/L1"/>
    <s v="SOUTH"/>
    <s v="CW02"/>
    <s v="OFFICE"/>
    <m/>
    <m/>
    <m/>
    <x v="0"/>
    <x v="0"/>
    <x v="0"/>
    <m/>
    <m/>
    <m/>
    <n v="7800"/>
    <n v="4800"/>
    <n v="1"/>
    <n v="7.8"/>
    <n v="4.8"/>
    <n v="25.2"/>
    <n v="1"/>
    <n v="37.44"/>
    <n v="58"/>
  </r>
  <r>
    <n v="1"/>
    <s v="LEVEL 1"/>
    <s v="SOUTH"/>
    <s v="CW02"/>
    <s v="OFFICE"/>
    <m/>
    <m/>
    <m/>
    <x v="1"/>
    <x v="0"/>
    <x v="1"/>
    <s v="E-CF"/>
    <m/>
    <m/>
    <n v="1300"/>
    <n v="1200"/>
    <n v="1"/>
    <n v="1.3"/>
    <n v="1.2"/>
    <n v="5"/>
    <n v="1"/>
    <n v="1.56"/>
    <n v="12"/>
  </r>
  <r>
    <n v="1"/>
    <s v="LEVEL 1"/>
    <s v="SOUTH"/>
    <s v="CW02"/>
    <s v="OFFICE"/>
    <m/>
    <m/>
    <m/>
    <x v="1"/>
    <x v="0"/>
    <x v="1"/>
    <s v="E-CF"/>
    <m/>
    <m/>
    <n v="1100"/>
    <n v="1200"/>
    <n v="1"/>
    <n v="1.1000000000000001"/>
    <n v="1.2"/>
    <n v="4.5999999999999996"/>
    <n v="1"/>
    <n v="1.32"/>
    <n v="12"/>
  </r>
  <r>
    <n v="1"/>
    <s v="LEVEL 1"/>
    <s v="SOUTH"/>
    <s v="CW02"/>
    <s v="OFFICE"/>
    <m/>
    <m/>
    <m/>
    <x v="1"/>
    <x v="0"/>
    <x v="1"/>
    <s v="E-CF"/>
    <m/>
    <m/>
    <n v="1100"/>
    <n v="1200"/>
    <n v="1"/>
    <n v="1.1000000000000001"/>
    <n v="1.2"/>
    <n v="4.5999999999999996"/>
    <n v="1"/>
    <n v="1.32"/>
    <n v="12"/>
  </r>
  <r>
    <n v="1"/>
    <s v="LEVEL 1"/>
    <s v="SOUTH"/>
    <s v="CW02"/>
    <s v="OFFICE"/>
    <m/>
    <m/>
    <m/>
    <x v="1"/>
    <x v="0"/>
    <x v="1"/>
    <s v="E-CF"/>
    <m/>
    <m/>
    <n v="1100"/>
    <n v="1200"/>
    <n v="1"/>
    <n v="1.1000000000000001"/>
    <n v="1.2"/>
    <n v="4.5999999999999996"/>
    <n v="1"/>
    <n v="1.32"/>
    <n v="12"/>
  </r>
  <r>
    <n v="1"/>
    <s v="LEVEL 1"/>
    <s v="SOUTH"/>
    <s v="CW02"/>
    <s v="OFFICE"/>
    <m/>
    <m/>
    <m/>
    <x v="1"/>
    <x v="0"/>
    <x v="2"/>
    <s v="E-GL1/E-CF"/>
    <m/>
    <m/>
    <n v="2700"/>
    <n v="1200"/>
    <n v="1"/>
    <n v="2.7"/>
    <n v="1.2"/>
    <n v="7.8"/>
    <n v="1"/>
    <n v="3.24"/>
    <n v="18"/>
  </r>
  <r>
    <n v="1"/>
    <s v="LEVEL 1"/>
    <s v="SOUTH"/>
    <s v="CW02"/>
    <s v="OFFICE"/>
    <m/>
    <m/>
    <m/>
    <x v="1"/>
    <x v="0"/>
    <x v="2"/>
    <s v="E-GL1/E-CF"/>
    <m/>
    <m/>
    <n v="2700"/>
    <n v="1200"/>
    <n v="1"/>
    <n v="2.7"/>
    <n v="1.2"/>
    <n v="7.8"/>
    <n v="1"/>
    <n v="3.24"/>
    <n v="18"/>
  </r>
  <r>
    <n v="1"/>
    <s v="LEVEL 1"/>
    <s v="SOUTH"/>
    <s v="CW02"/>
    <s v="OFFICE"/>
    <m/>
    <m/>
    <m/>
    <x v="1"/>
    <x v="0"/>
    <x v="2"/>
    <s v="E-GL1/E-CF"/>
    <m/>
    <m/>
    <n v="2700"/>
    <n v="1200"/>
    <n v="1"/>
    <n v="2.7"/>
    <n v="1.2"/>
    <n v="7.8"/>
    <n v="1"/>
    <n v="3.24"/>
    <n v="18"/>
  </r>
  <r>
    <n v="1"/>
    <s v="LEVEL 1"/>
    <s v="SOUTH"/>
    <s v="CW02"/>
    <s v="OFFICE"/>
    <m/>
    <m/>
    <m/>
    <x v="1"/>
    <x v="0"/>
    <x v="2"/>
    <s v="E-GL1/E-CF"/>
    <m/>
    <m/>
    <n v="2700"/>
    <n v="1200"/>
    <n v="1"/>
    <n v="2.7"/>
    <n v="1.2"/>
    <n v="7.8"/>
    <n v="1"/>
    <n v="3.24"/>
    <n v="18"/>
  </r>
  <r>
    <n v="1"/>
    <s v="GROUND"/>
    <s v="SOUTH"/>
    <s v="CW02"/>
    <s v="OFFICE"/>
    <m/>
    <m/>
    <m/>
    <x v="1"/>
    <x v="0"/>
    <x v="1"/>
    <s v="E-CF"/>
    <m/>
    <m/>
    <n v="1300"/>
    <n v="1200"/>
    <n v="1"/>
    <n v="1.3"/>
    <n v="1.2"/>
    <n v="5"/>
    <n v="1"/>
    <n v="1.56"/>
    <n v="12"/>
  </r>
  <r>
    <n v="1"/>
    <s v="GROUND"/>
    <s v="SOUTH"/>
    <s v="CW02"/>
    <s v="OFFICE"/>
    <m/>
    <m/>
    <m/>
    <x v="1"/>
    <x v="0"/>
    <x v="1"/>
    <s v="E-CF"/>
    <m/>
    <m/>
    <n v="1300"/>
    <n v="1200"/>
    <n v="1"/>
    <n v="1.3"/>
    <n v="1.2"/>
    <n v="5"/>
    <n v="1"/>
    <n v="1.56"/>
    <n v="12"/>
  </r>
  <r>
    <n v="1"/>
    <s v="GROUND"/>
    <s v="SOUTH"/>
    <s v="CW02"/>
    <s v="OFFICE"/>
    <m/>
    <m/>
    <m/>
    <x v="1"/>
    <x v="0"/>
    <x v="1"/>
    <s v="E-CF"/>
    <m/>
    <m/>
    <n v="1300"/>
    <n v="1200"/>
    <n v="1"/>
    <n v="1.3"/>
    <n v="1.2"/>
    <n v="5"/>
    <n v="1"/>
    <n v="1.56"/>
    <n v="12"/>
  </r>
  <r>
    <n v="1"/>
    <s v="GROUND"/>
    <s v="SOUTH"/>
    <s v="CW02"/>
    <s v="OFFICE"/>
    <m/>
    <m/>
    <m/>
    <x v="1"/>
    <x v="0"/>
    <x v="1"/>
    <s v="E-CF"/>
    <m/>
    <m/>
    <n v="1300"/>
    <n v="1200"/>
    <n v="1"/>
    <n v="1.3"/>
    <n v="1.2"/>
    <n v="5"/>
    <n v="1"/>
    <n v="1.56"/>
    <n v="12"/>
  </r>
  <r>
    <n v="1"/>
    <s v="GROUND"/>
    <s v="SOUTH"/>
    <s v="CW02"/>
    <s v="OFFICE"/>
    <m/>
    <m/>
    <m/>
    <x v="1"/>
    <x v="0"/>
    <x v="2"/>
    <s v="E-GL1/E-CF"/>
    <m/>
    <m/>
    <n v="2700"/>
    <n v="1200"/>
    <n v="1"/>
    <n v="2.7"/>
    <n v="1.2"/>
    <n v="7.8"/>
    <n v="1"/>
    <n v="3.24"/>
    <n v="18"/>
  </r>
  <r>
    <n v="1"/>
    <s v="GROUND"/>
    <s v="SOUTH"/>
    <s v="CW02"/>
    <s v="OFFICE"/>
    <m/>
    <m/>
    <m/>
    <x v="1"/>
    <x v="0"/>
    <x v="3"/>
    <s v="E-GL1/E-CF"/>
    <m/>
    <m/>
    <n v="2700"/>
    <n v="1200"/>
    <n v="1"/>
    <n v="2.7"/>
    <n v="1.2"/>
    <n v="7.8"/>
    <n v="1"/>
    <n v="3.24"/>
    <n v="18"/>
  </r>
  <r>
    <n v="1"/>
    <s v="GROUND"/>
    <s v="SOUTH"/>
    <s v="CW02"/>
    <s v="OFFICE"/>
    <m/>
    <m/>
    <m/>
    <x v="1"/>
    <x v="0"/>
    <x v="3"/>
    <s v="E-GL1/E-CF"/>
    <m/>
    <m/>
    <n v="2700"/>
    <n v="1200"/>
    <n v="1"/>
    <n v="2.7"/>
    <n v="1.2"/>
    <n v="7.8"/>
    <n v="1"/>
    <n v="3.24"/>
    <n v="18"/>
  </r>
  <r>
    <n v="1"/>
    <s v="GROUND"/>
    <s v="SOUTH"/>
    <s v="CW02"/>
    <s v="OFFICE"/>
    <m/>
    <m/>
    <m/>
    <x v="1"/>
    <x v="0"/>
    <x v="2"/>
    <s v="E-GL1/E-CF"/>
    <m/>
    <m/>
    <n v="2700"/>
    <n v="1200"/>
    <n v="1"/>
    <n v="2.7"/>
    <n v="1.2"/>
    <n v="7.8"/>
    <n v="1"/>
    <n v="3.24"/>
    <n v="18"/>
  </r>
  <r>
    <n v="1"/>
    <s v="LEVEL 1"/>
    <s v="SOUTH"/>
    <s v="CW02"/>
    <s v="OFFICE"/>
    <m/>
    <m/>
    <m/>
    <x v="2"/>
    <x v="0"/>
    <x v="1"/>
    <s v="E-CF"/>
    <m/>
    <m/>
    <n v="1300"/>
    <n v="1200"/>
    <n v="1"/>
    <n v="1.3"/>
    <n v="1.2"/>
    <n v="5"/>
    <n v="1"/>
    <n v="1.56"/>
    <n v="12"/>
  </r>
  <r>
    <n v="1"/>
    <s v="LEVEL 1"/>
    <s v="SOUTH"/>
    <s v="CW02"/>
    <s v="OFFICE"/>
    <m/>
    <m/>
    <m/>
    <x v="2"/>
    <x v="0"/>
    <x v="1"/>
    <s v="E-CF"/>
    <m/>
    <m/>
    <n v="1100"/>
    <n v="1200"/>
    <n v="1"/>
    <n v="1.1000000000000001"/>
    <n v="1.2"/>
    <n v="4.5999999999999996"/>
    <n v="1"/>
    <n v="1.32"/>
    <n v="12"/>
  </r>
  <r>
    <n v="1"/>
    <s v="LEVEL 1"/>
    <s v="SOUTH"/>
    <s v="CW02"/>
    <s v="OFFICE"/>
    <m/>
    <m/>
    <m/>
    <x v="2"/>
    <x v="0"/>
    <x v="1"/>
    <s v="E-CF"/>
    <m/>
    <m/>
    <n v="1100"/>
    <n v="1200"/>
    <n v="1"/>
    <n v="1.1000000000000001"/>
    <n v="1.2"/>
    <n v="4.5999999999999996"/>
    <n v="1"/>
    <n v="1.32"/>
    <n v="12"/>
  </r>
  <r>
    <n v="1"/>
    <s v="LEVEL 1"/>
    <s v="SOUTH"/>
    <s v="CW02"/>
    <s v="OFFICE"/>
    <m/>
    <m/>
    <m/>
    <x v="2"/>
    <x v="0"/>
    <x v="1"/>
    <s v="E-CF"/>
    <m/>
    <m/>
    <n v="1100"/>
    <n v="1200"/>
    <n v="1"/>
    <n v="1.1000000000000001"/>
    <n v="1.2"/>
    <n v="4.5999999999999996"/>
    <n v="1"/>
    <n v="1.32"/>
    <n v="12"/>
  </r>
  <r>
    <n v="1"/>
    <s v="LEVEL 1"/>
    <s v="SOUTH"/>
    <s v="CW02"/>
    <s v="OFFICE"/>
    <m/>
    <m/>
    <m/>
    <x v="2"/>
    <x v="0"/>
    <x v="1"/>
    <s v="E-GL1"/>
    <m/>
    <m/>
    <n v="1800"/>
    <n v="1200"/>
    <n v="1"/>
    <n v="1.8"/>
    <n v="1.2"/>
    <n v="6"/>
    <n v="1"/>
    <n v="2.16"/>
    <n v="14"/>
  </r>
  <r>
    <n v="1"/>
    <s v="LEVEL 1"/>
    <s v="SOUTH"/>
    <s v="CW02"/>
    <s v="OFFICE"/>
    <m/>
    <m/>
    <m/>
    <x v="2"/>
    <x v="0"/>
    <x v="1"/>
    <s v="E-GL1"/>
    <m/>
    <m/>
    <n v="1800"/>
    <n v="1200"/>
    <n v="1"/>
    <n v="1.8"/>
    <n v="1.2"/>
    <n v="6"/>
    <n v="1"/>
    <n v="2.16"/>
    <n v="14"/>
  </r>
  <r>
    <n v="1"/>
    <s v="LEVEL 1"/>
    <s v="SOUTH"/>
    <s v="CW02"/>
    <s v="OFFICE"/>
    <m/>
    <m/>
    <m/>
    <x v="2"/>
    <x v="0"/>
    <x v="1"/>
    <s v="E-GL1"/>
    <m/>
    <m/>
    <n v="1800"/>
    <n v="1200"/>
    <n v="1"/>
    <n v="1.8"/>
    <n v="1.2"/>
    <n v="6"/>
    <n v="1"/>
    <n v="2.16"/>
    <n v="14"/>
  </r>
  <r>
    <n v="1"/>
    <s v="LEVEL 1"/>
    <s v="SOUTH"/>
    <s v="CW02"/>
    <s v="OFFICE"/>
    <m/>
    <m/>
    <m/>
    <x v="2"/>
    <x v="0"/>
    <x v="1"/>
    <s v="E-GL1"/>
    <m/>
    <m/>
    <n v="1800"/>
    <n v="1200"/>
    <n v="1"/>
    <n v="1.8"/>
    <n v="1.2"/>
    <n v="6"/>
    <n v="1"/>
    <n v="2.16"/>
    <n v="14"/>
  </r>
  <r>
    <n v="1"/>
    <s v="LEVEL 1"/>
    <s v="SOUTH"/>
    <s v="CW02"/>
    <s v="OFFICE"/>
    <m/>
    <m/>
    <m/>
    <x v="2"/>
    <x v="0"/>
    <x v="1"/>
    <s v="E-CF"/>
    <m/>
    <m/>
    <n v="900"/>
    <n v="1200"/>
    <n v="1"/>
    <n v="0.9"/>
    <n v="1.2"/>
    <n v="4.2"/>
    <n v="1"/>
    <n v="1.08"/>
    <n v="10"/>
  </r>
  <r>
    <n v="1"/>
    <s v="LEVEL 1"/>
    <s v="SOUTH"/>
    <s v="CW02"/>
    <s v="OFFICE"/>
    <m/>
    <m/>
    <m/>
    <x v="2"/>
    <x v="0"/>
    <x v="1"/>
    <s v="E-CF"/>
    <m/>
    <m/>
    <n v="900"/>
    <n v="1200"/>
    <n v="1"/>
    <n v="0.9"/>
    <n v="1.2"/>
    <n v="4.2"/>
    <n v="1"/>
    <n v="1.08"/>
    <n v="10"/>
  </r>
  <r>
    <n v="1"/>
    <s v="LEVEL 1"/>
    <s v="SOUTH"/>
    <s v="CW02"/>
    <s v="OFFICE"/>
    <m/>
    <m/>
    <m/>
    <x v="2"/>
    <x v="0"/>
    <x v="1"/>
    <s v="E-CF"/>
    <m/>
    <m/>
    <n v="900"/>
    <n v="1200"/>
    <n v="1"/>
    <n v="0.9"/>
    <n v="1.2"/>
    <n v="4.2"/>
    <n v="1"/>
    <n v="1.08"/>
    <n v="10"/>
  </r>
  <r>
    <n v="1"/>
    <s v="LEVEL 1"/>
    <s v="SOUTH"/>
    <s v="CW02"/>
    <s v="OFFICE"/>
    <m/>
    <m/>
    <m/>
    <x v="2"/>
    <x v="0"/>
    <x v="1"/>
    <s v="E-CF"/>
    <m/>
    <m/>
    <n v="900"/>
    <n v="1200"/>
    <n v="1"/>
    <n v="0.9"/>
    <n v="1.2"/>
    <n v="4.2"/>
    <n v="1"/>
    <n v="1.08"/>
    <n v="10"/>
  </r>
  <r>
    <n v="1"/>
    <s v="GROUND"/>
    <s v="SOUTH"/>
    <s v="CW02"/>
    <s v="OFFICE"/>
    <m/>
    <m/>
    <m/>
    <x v="2"/>
    <x v="0"/>
    <x v="1"/>
    <s v="E-CF"/>
    <m/>
    <m/>
    <n v="1300"/>
    <n v="1200"/>
    <n v="1"/>
    <n v="1.3"/>
    <n v="1.2"/>
    <n v="5"/>
    <n v="1"/>
    <n v="1.56"/>
    <n v="12"/>
  </r>
  <r>
    <n v="1"/>
    <s v="GROUND"/>
    <s v="SOUTH"/>
    <s v="CW02"/>
    <s v="OFFICE"/>
    <m/>
    <m/>
    <m/>
    <x v="2"/>
    <x v="0"/>
    <x v="1"/>
    <s v="E-CF"/>
    <m/>
    <m/>
    <n v="1300"/>
    <n v="1200"/>
    <n v="1"/>
    <n v="1.3"/>
    <n v="1.2"/>
    <n v="5"/>
    <n v="1"/>
    <n v="1.56"/>
    <n v="12"/>
  </r>
  <r>
    <n v="1"/>
    <s v="GROUND"/>
    <s v="SOUTH"/>
    <s v="CW02"/>
    <s v="OFFICE"/>
    <m/>
    <m/>
    <m/>
    <x v="2"/>
    <x v="0"/>
    <x v="1"/>
    <s v="E-CF"/>
    <m/>
    <m/>
    <n v="1300"/>
    <n v="1200"/>
    <n v="1"/>
    <n v="1.3"/>
    <n v="1.2"/>
    <n v="5"/>
    <n v="1"/>
    <n v="1.56"/>
    <n v="12"/>
  </r>
  <r>
    <n v="1"/>
    <s v="GROUND"/>
    <s v="SOUTH"/>
    <s v="CW02"/>
    <s v="OFFICE"/>
    <m/>
    <m/>
    <m/>
    <x v="2"/>
    <x v="0"/>
    <x v="1"/>
    <s v="E-CF"/>
    <m/>
    <m/>
    <n v="1300"/>
    <n v="1200"/>
    <n v="1"/>
    <n v="1.3"/>
    <n v="1.2"/>
    <n v="5"/>
    <n v="1"/>
    <n v="1.56"/>
    <n v="12"/>
  </r>
  <r>
    <n v="1"/>
    <s v="GROUND"/>
    <s v="SOUTH"/>
    <s v="CW02"/>
    <s v="OFFICE"/>
    <m/>
    <m/>
    <m/>
    <x v="2"/>
    <x v="0"/>
    <x v="1"/>
    <s v="E-GL1"/>
    <m/>
    <m/>
    <n v="1800"/>
    <n v="1200"/>
    <n v="1"/>
    <n v="1.8"/>
    <n v="1.2"/>
    <n v="6"/>
    <n v="1"/>
    <n v="2.16"/>
    <n v="14"/>
  </r>
  <r>
    <n v="1"/>
    <s v="GROUND"/>
    <s v="SOUTH"/>
    <s v="CW02"/>
    <s v="OFFICE"/>
    <m/>
    <m/>
    <m/>
    <x v="2"/>
    <x v="0"/>
    <x v="1"/>
    <s v="E-GL1"/>
    <m/>
    <m/>
    <n v="1800"/>
    <n v="1200"/>
    <n v="1"/>
    <n v="1.8"/>
    <n v="1.2"/>
    <n v="6"/>
    <n v="1"/>
    <n v="2.16"/>
    <n v="14"/>
  </r>
  <r>
    <n v="1"/>
    <s v="GROUND"/>
    <s v="SOUTH"/>
    <s v="CW02"/>
    <s v="OFFICE"/>
    <m/>
    <m/>
    <m/>
    <x v="2"/>
    <x v="0"/>
    <x v="1"/>
    <s v="E-CF"/>
    <m/>
    <m/>
    <n v="900"/>
    <n v="1200"/>
    <n v="1"/>
    <n v="0.9"/>
    <n v="1.2"/>
    <n v="4.2"/>
    <n v="1"/>
    <n v="1.08"/>
    <n v="10"/>
  </r>
  <r>
    <n v="1"/>
    <s v="GROUND"/>
    <s v="SOUTH"/>
    <s v="CW02"/>
    <s v="OFFICE"/>
    <m/>
    <m/>
    <m/>
    <x v="2"/>
    <x v="0"/>
    <x v="4"/>
    <s v="E-CF/E-GL1"/>
    <m/>
    <m/>
    <n v="2700"/>
    <n v="2400"/>
    <n v="1"/>
    <n v="2.7"/>
    <n v="2.4"/>
    <n v="10.199999999999999"/>
    <n v="1"/>
    <n v="6.48"/>
    <n v="24"/>
  </r>
  <r>
    <n v="1"/>
    <s v="GROUND"/>
    <s v="SOUTH"/>
    <s v="CW02"/>
    <s v="OFFICE"/>
    <m/>
    <m/>
    <m/>
    <x v="2"/>
    <x v="0"/>
    <x v="1"/>
    <s v="E-CF"/>
    <m/>
    <m/>
    <n v="900"/>
    <n v="1200"/>
    <n v="1"/>
    <n v="0.9"/>
    <n v="1.2"/>
    <n v="4.2"/>
    <n v="1"/>
    <n v="1.08"/>
    <n v="10"/>
  </r>
  <r>
    <n v="1"/>
    <s v="GROUND/L1"/>
    <s v="WEST"/>
    <s v="CW03"/>
    <s v="OFFICE"/>
    <m/>
    <m/>
    <m/>
    <x v="0"/>
    <x v="0"/>
    <x v="0"/>
    <m/>
    <m/>
    <m/>
    <n v="8000"/>
    <n v="18000"/>
    <n v="1"/>
    <n v="8"/>
    <n v="18"/>
    <n v="52"/>
    <n v="1"/>
    <n v="144"/>
    <n v="116"/>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1"/>
    <s v="E-CF"/>
    <m/>
    <m/>
    <n v="1300"/>
    <n v="1200"/>
    <n v="1"/>
    <n v="1.3"/>
    <n v="1.2"/>
    <n v="5"/>
    <n v="1"/>
    <n v="1.56"/>
    <n v="12"/>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LEVEL 1"/>
    <s v="WEST"/>
    <s v="CW03"/>
    <s v="OFFICE"/>
    <m/>
    <m/>
    <m/>
    <x v="1"/>
    <x v="0"/>
    <x v="2"/>
    <s v="E-GL1/E-CF"/>
    <m/>
    <m/>
    <n v="2700"/>
    <n v="1200"/>
    <n v="1"/>
    <n v="2.7"/>
    <n v="1.2"/>
    <n v="7.8"/>
    <n v="1"/>
    <n v="3.24"/>
    <n v="18"/>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1"/>
    <s v="E-CF"/>
    <m/>
    <m/>
    <n v="1300"/>
    <n v="1200"/>
    <n v="1"/>
    <n v="1.3"/>
    <n v="1.2"/>
    <n v="5"/>
    <n v="1"/>
    <n v="1.56"/>
    <n v="12"/>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GROUND"/>
    <s v="WEST"/>
    <s v="CW03"/>
    <s v="OFFICE"/>
    <m/>
    <m/>
    <m/>
    <x v="1"/>
    <x v="0"/>
    <x v="2"/>
    <s v="E-GL1/E-CF"/>
    <m/>
    <m/>
    <n v="2700"/>
    <n v="1200"/>
    <n v="1"/>
    <n v="2.7"/>
    <n v="1.2"/>
    <n v="7.8"/>
    <n v="1"/>
    <n v="3.24"/>
    <n v="18"/>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CF"/>
    <m/>
    <m/>
    <n v="1300"/>
    <n v="1200"/>
    <n v="1"/>
    <n v="1.3"/>
    <n v="1.2"/>
    <n v="5"/>
    <n v="1"/>
    <n v="1.56"/>
    <n v="12"/>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GL1"/>
    <m/>
    <m/>
    <n v="1800"/>
    <n v="1200"/>
    <n v="1"/>
    <n v="1.8"/>
    <n v="1.2"/>
    <n v="6"/>
    <n v="1"/>
    <n v="2.16"/>
    <n v="14"/>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LEVEL 1"/>
    <s v="WEST"/>
    <s v="CW03"/>
    <s v="OFFICE"/>
    <m/>
    <m/>
    <m/>
    <x v="2"/>
    <x v="0"/>
    <x v="1"/>
    <s v="E-CF"/>
    <m/>
    <m/>
    <n v="900"/>
    <n v="1200"/>
    <n v="1"/>
    <n v="0.9"/>
    <n v="1.2"/>
    <n v="4.2"/>
    <n v="1"/>
    <n v="1.08"/>
    <n v="10"/>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CF"/>
    <m/>
    <m/>
    <n v="1300"/>
    <n v="1200"/>
    <n v="1"/>
    <n v="1.3"/>
    <n v="1.2"/>
    <n v="5"/>
    <n v="1"/>
    <n v="1.56"/>
    <n v="12"/>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GL1"/>
    <m/>
    <m/>
    <n v="1800"/>
    <n v="1200"/>
    <n v="1"/>
    <n v="1.8"/>
    <n v="1.2"/>
    <n v="6"/>
    <n v="1"/>
    <n v="2.16"/>
    <n v="14"/>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
    <s v="WEST"/>
    <s v="CW03"/>
    <s v="OFFICE"/>
    <m/>
    <m/>
    <m/>
    <x v="2"/>
    <x v="0"/>
    <x v="1"/>
    <s v="E-CF"/>
    <m/>
    <m/>
    <n v="900"/>
    <n v="1200"/>
    <n v="1"/>
    <n v="0.9"/>
    <n v="1.2"/>
    <n v="4.2"/>
    <n v="1"/>
    <n v="1.08"/>
    <n v="10"/>
  </r>
  <r>
    <n v="1"/>
    <s v="GROUND/L1"/>
    <s v="NORTH"/>
    <s v="CW04"/>
    <s v="OFFICE"/>
    <m/>
    <m/>
    <m/>
    <x v="0"/>
    <x v="0"/>
    <x v="0"/>
    <m/>
    <m/>
    <m/>
    <n v="8000"/>
    <n v="19200"/>
    <n v="1"/>
    <n v="8"/>
    <n v="19.2"/>
    <n v="54.4"/>
    <n v="1"/>
    <n v="153.6"/>
    <n v="12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1"/>
    <s v="E-CF"/>
    <m/>
    <m/>
    <n v="1300"/>
    <n v="1200"/>
    <n v="1"/>
    <n v="1.3"/>
    <n v="1.2"/>
    <n v="5"/>
    <n v="1"/>
    <n v="1.56"/>
    <n v="12"/>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LEVEL 1"/>
    <s v="NORTH"/>
    <s v="CW04"/>
    <s v="OFFICE"/>
    <m/>
    <m/>
    <m/>
    <x v="1"/>
    <x v="0"/>
    <x v="2"/>
    <s v="E-GL1/E-CF"/>
    <m/>
    <m/>
    <n v="2700"/>
    <n v="1200"/>
    <n v="1"/>
    <n v="2.7"/>
    <n v="1.2"/>
    <n v="7.8"/>
    <n v="1"/>
    <n v="3.24"/>
    <n v="18"/>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1"/>
    <s v="E-CF"/>
    <m/>
    <m/>
    <n v="1300"/>
    <n v="1200"/>
    <n v="1"/>
    <n v="1.3"/>
    <n v="1.2"/>
    <n v="5"/>
    <n v="1"/>
    <n v="1.56"/>
    <n v="12"/>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GROUND"/>
    <s v="NORTH"/>
    <s v="CW04"/>
    <s v="OFFICE"/>
    <m/>
    <m/>
    <m/>
    <x v="1"/>
    <x v="0"/>
    <x v="2"/>
    <s v="E-GL1/E-CF"/>
    <m/>
    <m/>
    <n v="2700"/>
    <n v="1200"/>
    <n v="1"/>
    <n v="2.7"/>
    <n v="1.2"/>
    <n v="7.8"/>
    <n v="1"/>
    <n v="3.24"/>
    <n v="18"/>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CF"/>
    <m/>
    <m/>
    <n v="1300"/>
    <n v="1200"/>
    <n v="1"/>
    <n v="1.3"/>
    <n v="1.2"/>
    <n v="5"/>
    <n v="1"/>
    <n v="1.56"/>
    <n v="12"/>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GL1"/>
    <m/>
    <m/>
    <n v="1800"/>
    <n v="1200"/>
    <n v="1"/>
    <n v="1.8"/>
    <n v="1.2"/>
    <n v="6"/>
    <n v="1"/>
    <n v="2.16"/>
    <n v="14"/>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LEVEL 1"/>
    <s v="NORTH"/>
    <s v="CW04"/>
    <s v="OFFICE"/>
    <m/>
    <m/>
    <m/>
    <x v="2"/>
    <x v="0"/>
    <x v="1"/>
    <s v="E-CF"/>
    <m/>
    <m/>
    <n v="900"/>
    <n v="1200"/>
    <n v="1"/>
    <n v="0.9"/>
    <n v="1.2"/>
    <n v="4.2"/>
    <n v="1"/>
    <n v="1.08"/>
    <n v="10"/>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CF"/>
    <m/>
    <m/>
    <n v="1300"/>
    <n v="1200"/>
    <n v="1"/>
    <n v="1.3"/>
    <n v="1.2"/>
    <n v="5"/>
    <n v="1"/>
    <n v="1.56"/>
    <n v="12"/>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GL1"/>
    <m/>
    <m/>
    <n v="1800"/>
    <n v="1200"/>
    <n v="1"/>
    <n v="1.8"/>
    <n v="1.2"/>
    <n v="6"/>
    <n v="1"/>
    <n v="2.16"/>
    <n v="14"/>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
    <s v="NORTH"/>
    <s v="CW04"/>
    <s v="OFFICE"/>
    <m/>
    <m/>
    <m/>
    <x v="2"/>
    <x v="0"/>
    <x v="1"/>
    <s v="E-CF"/>
    <m/>
    <m/>
    <n v="900"/>
    <n v="1200"/>
    <n v="1"/>
    <n v="0.9"/>
    <n v="1.2"/>
    <n v="4.2"/>
    <n v="1"/>
    <n v="1.08"/>
    <n v="10"/>
  </r>
  <r>
    <n v="1"/>
    <s v="GROUND/L1"/>
    <s v="EAST"/>
    <s v="CW05"/>
    <s v="OFFICE"/>
    <m/>
    <m/>
    <m/>
    <x v="0"/>
    <x v="0"/>
    <x v="0"/>
    <m/>
    <m/>
    <m/>
    <n v="7800"/>
    <n v="4800"/>
    <n v="1"/>
    <n v="7.8"/>
    <n v="4.8"/>
    <n v="25.2"/>
    <n v="1"/>
    <n v="37.44"/>
    <n v="58"/>
  </r>
  <r>
    <n v="1"/>
    <s v="LEVEL 1"/>
    <s v="EAST"/>
    <s v="CW05"/>
    <s v="OFFICE"/>
    <m/>
    <m/>
    <m/>
    <x v="1"/>
    <x v="0"/>
    <x v="1"/>
    <s v="E-CF"/>
    <m/>
    <m/>
    <n v="1300"/>
    <n v="1200"/>
    <n v="1"/>
    <n v="1.3"/>
    <n v="1.2"/>
    <n v="5"/>
    <n v="1"/>
    <n v="1.56"/>
    <n v="12"/>
  </r>
  <r>
    <n v="1"/>
    <s v="LEVEL 1"/>
    <s v="EAST"/>
    <s v="CW05"/>
    <s v="OFFICE"/>
    <m/>
    <m/>
    <m/>
    <x v="1"/>
    <x v="0"/>
    <x v="1"/>
    <s v="E-CF"/>
    <m/>
    <m/>
    <n v="1100"/>
    <n v="1200"/>
    <n v="1"/>
    <n v="1.1000000000000001"/>
    <n v="1.2"/>
    <n v="4.5999999999999996"/>
    <n v="1"/>
    <n v="1.32"/>
    <n v="12"/>
  </r>
  <r>
    <n v="1"/>
    <s v="LEVEL 1"/>
    <s v="EAST"/>
    <s v="CW05"/>
    <s v="OFFICE"/>
    <m/>
    <m/>
    <m/>
    <x v="1"/>
    <x v="0"/>
    <x v="1"/>
    <s v="E-CF"/>
    <m/>
    <m/>
    <n v="1100"/>
    <n v="1200"/>
    <n v="1"/>
    <n v="1.1000000000000001"/>
    <n v="1.2"/>
    <n v="4.5999999999999996"/>
    <n v="1"/>
    <n v="1.32"/>
    <n v="12"/>
  </r>
  <r>
    <n v="1"/>
    <s v="LEVEL 1"/>
    <s v="EAST"/>
    <s v="CW05"/>
    <s v="OFFICE"/>
    <m/>
    <m/>
    <m/>
    <x v="1"/>
    <x v="0"/>
    <x v="1"/>
    <s v="E-CF"/>
    <m/>
    <m/>
    <n v="1100"/>
    <n v="1200"/>
    <n v="1"/>
    <n v="1.1000000000000001"/>
    <n v="1.2"/>
    <n v="4.5999999999999996"/>
    <n v="1"/>
    <n v="1.32"/>
    <n v="12"/>
  </r>
  <r>
    <n v="1"/>
    <s v="LEVEL 1"/>
    <s v="EAST"/>
    <s v="CW05"/>
    <s v="OFFICE"/>
    <m/>
    <m/>
    <m/>
    <x v="1"/>
    <x v="0"/>
    <x v="2"/>
    <s v="E-GL1/E-CF"/>
    <m/>
    <m/>
    <n v="2700"/>
    <n v="1200"/>
    <n v="1"/>
    <n v="2.7"/>
    <n v="1.2"/>
    <n v="7.8"/>
    <n v="1"/>
    <n v="3.24"/>
    <n v="18"/>
  </r>
  <r>
    <n v="1"/>
    <s v="LEVEL 1"/>
    <s v="EAST"/>
    <s v="CW05"/>
    <s v="OFFICE"/>
    <m/>
    <m/>
    <m/>
    <x v="1"/>
    <x v="0"/>
    <x v="2"/>
    <s v="E-GL1/E-CF"/>
    <m/>
    <m/>
    <n v="2700"/>
    <n v="1200"/>
    <n v="1"/>
    <n v="2.7"/>
    <n v="1.2"/>
    <n v="7.8"/>
    <n v="1"/>
    <n v="3.24"/>
    <n v="18"/>
  </r>
  <r>
    <n v="1"/>
    <s v="LEVEL 1"/>
    <s v="EAST"/>
    <s v="CW05"/>
    <s v="OFFICE"/>
    <m/>
    <m/>
    <m/>
    <x v="1"/>
    <x v="0"/>
    <x v="2"/>
    <s v="E-GL1/E-CF"/>
    <m/>
    <m/>
    <n v="2700"/>
    <n v="1200"/>
    <n v="1"/>
    <n v="2.7"/>
    <n v="1.2"/>
    <n v="7.8"/>
    <n v="1"/>
    <n v="3.24"/>
    <n v="18"/>
  </r>
  <r>
    <n v="1"/>
    <s v="LEVEL 1"/>
    <s v="EAST"/>
    <s v="CW05"/>
    <s v="OFFICE"/>
    <m/>
    <m/>
    <m/>
    <x v="1"/>
    <x v="0"/>
    <x v="2"/>
    <s v="E-GL1/E-CF"/>
    <m/>
    <m/>
    <n v="2700"/>
    <n v="1200"/>
    <n v="1"/>
    <n v="2.7"/>
    <n v="1.2"/>
    <n v="7.8"/>
    <n v="1"/>
    <n v="3.24"/>
    <n v="18"/>
  </r>
  <r>
    <n v="1"/>
    <s v="GROUND"/>
    <s v="EAST"/>
    <s v="CW05"/>
    <s v="OFFICE"/>
    <m/>
    <m/>
    <m/>
    <x v="1"/>
    <x v="0"/>
    <x v="1"/>
    <s v="E-CF"/>
    <m/>
    <m/>
    <n v="1300"/>
    <n v="1200"/>
    <n v="1"/>
    <n v="1.3"/>
    <n v="1.2"/>
    <n v="5"/>
    <n v="1"/>
    <n v="1.56"/>
    <n v="12"/>
  </r>
  <r>
    <n v="1"/>
    <s v="GROUND"/>
    <s v="EAST"/>
    <s v="CW05"/>
    <s v="OFFICE"/>
    <m/>
    <m/>
    <m/>
    <x v="1"/>
    <x v="0"/>
    <x v="1"/>
    <s v="E-CF"/>
    <m/>
    <m/>
    <n v="1300"/>
    <n v="1200"/>
    <n v="1"/>
    <n v="1.3"/>
    <n v="1.2"/>
    <n v="5"/>
    <n v="1"/>
    <n v="1.56"/>
    <n v="12"/>
  </r>
  <r>
    <n v="1"/>
    <s v="GROUND"/>
    <s v="EAST"/>
    <s v="CW05"/>
    <s v="OFFICE"/>
    <m/>
    <m/>
    <m/>
    <x v="1"/>
    <x v="0"/>
    <x v="1"/>
    <s v="E-CF"/>
    <m/>
    <m/>
    <n v="1300"/>
    <n v="1200"/>
    <n v="1"/>
    <n v="1.3"/>
    <n v="1.2"/>
    <n v="5"/>
    <n v="1"/>
    <n v="1.56"/>
    <n v="12"/>
  </r>
  <r>
    <n v="1"/>
    <s v="GROUND"/>
    <s v="EAST"/>
    <s v="CW05"/>
    <s v="OFFICE"/>
    <m/>
    <m/>
    <m/>
    <x v="1"/>
    <x v="0"/>
    <x v="1"/>
    <s v="E-CF"/>
    <m/>
    <m/>
    <n v="1300"/>
    <n v="1200"/>
    <n v="1"/>
    <n v="1.3"/>
    <n v="1.2"/>
    <n v="5"/>
    <n v="1"/>
    <n v="1.56"/>
    <n v="12"/>
  </r>
  <r>
    <n v="1"/>
    <s v="GROUND"/>
    <s v="EAST"/>
    <s v="CW05"/>
    <s v="OFFICE"/>
    <m/>
    <m/>
    <m/>
    <x v="1"/>
    <x v="0"/>
    <x v="2"/>
    <s v="E-GL1/E-CF"/>
    <m/>
    <m/>
    <n v="2700"/>
    <n v="1200"/>
    <n v="1"/>
    <n v="2.7"/>
    <n v="1.2"/>
    <n v="7.8"/>
    <n v="1"/>
    <n v="3.24"/>
    <n v="18"/>
  </r>
  <r>
    <n v="1"/>
    <s v="GROUND"/>
    <s v="EAST"/>
    <s v="CW05"/>
    <s v="OFFICE"/>
    <m/>
    <m/>
    <m/>
    <x v="1"/>
    <x v="0"/>
    <x v="3"/>
    <s v="E-GL1/E-CF"/>
    <m/>
    <m/>
    <n v="2700"/>
    <n v="1200"/>
    <n v="1"/>
    <n v="2.7"/>
    <n v="1.2"/>
    <n v="7.8"/>
    <n v="1"/>
    <n v="3.24"/>
    <n v="18"/>
  </r>
  <r>
    <n v="1"/>
    <s v="GROUND"/>
    <s v="EAST"/>
    <s v="CW05"/>
    <s v="OFFICE"/>
    <m/>
    <m/>
    <m/>
    <x v="1"/>
    <x v="0"/>
    <x v="3"/>
    <s v="E-GL1/E-CF"/>
    <m/>
    <m/>
    <n v="2700"/>
    <n v="1200"/>
    <n v="1"/>
    <n v="2.7"/>
    <n v="1.2"/>
    <n v="7.8"/>
    <n v="1"/>
    <n v="3.24"/>
    <n v="18"/>
  </r>
  <r>
    <n v="1"/>
    <s v="GROUND"/>
    <s v="EAST"/>
    <s v="CW05"/>
    <s v="OFFICE"/>
    <m/>
    <m/>
    <m/>
    <x v="1"/>
    <x v="0"/>
    <x v="2"/>
    <s v="E-GL1/E-CF"/>
    <m/>
    <m/>
    <n v="2700"/>
    <n v="1200"/>
    <n v="1"/>
    <n v="2.7"/>
    <n v="1.2"/>
    <n v="7.8"/>
    <n v="1"/>
    <n v="3.24"/>
    <n v="18"/>
  </r>
  <r>
    <n v="1"/>
    <s v="LEVEL 1"/>
    <s v="EAST"/>
    <s v="CW05"/>
    <s v="OFFICE"/>
    <m/>
    <m/>
    <m/>
    <x v="2"/>
    <x v="0"/>
    <x v="1"/>
    <s v="E-CF"/>
    <m/>
    <m/>
    <n v="1300"/>
    <n v="1200"/>
    <n v="1"/>
    <n v="1.3"/>
    <n v="1.2"/>
    <n v="5"/>
    <n v="1"/>
    <n v="1.56"/>
    <n v="12"/>
  </r>
  <r>
    <n v="1"/>
    <s v="LEVEL 1"/>
    <s v="EAST"/>
    <s v="CW05"/>
    <s v="OFFICE"/>
    <m/>
    <m/>
    <m/>
    <x v="2"/>
    <x v="0"/>
    <x v="1"/>
    <s v="E-CF"/>
    <m/>
    <m/>
    <n v="1100"/>
    <n v="1200"/>
    <n v="1"/>
    <n v="1.1000000000000001"/>
    <n v="1.2"/>
    <n v="4.5999999999999996"/>
    <n v="1"/>
    <n v="1.32"/>
    <n v="12"/>
  </r>
  <r>
    <n v="1"/>
    <s v="LEVEL 1"/>
    <s v="EAST"/>
    <s v="CW05"/>
    <s v="OFFICE"/>
    <m/>
    <m/>
    <m/>
    <x v="2"/>
    <x v="0"/>
    <x v="1"/>
    <s v="E-CF"/>
    <m/>
    <m/>
    <n v="1100"/>
    <n v="1200"/>
    <n v="1"/>
    <n v="1.1000000000000001"/>
    <n v="1.2"/>
    <n v="4.5999999999999996"/>
    <n v="1"/>
    <n v="1.32"/>
    <n v="12"/>
  </r>
  <r>
    <n v="1"/>
    <s v="LEVEL 1"/>
    <s v="EAST"/>
    <s v="CW05"/>
    <s v="OFFICE"/>
    <m/>
    <m/>
    <m/>
    <x v="2"/>
    <x v="0"/>
    <x v="1"/>
    <s v="E-CF"/>
    <m/>
    <m/>
    <n v="1100"/>
    <n v="1200"/>
    <n v="1"/>
    <n v="1.1000000000000001"/>
    <n v="1.2"/>
    <n v="4.5999999999999996"/>
    <n v="1"/>
    <n v="1.32"/>
    <n v="12"/>
  </r>
  <r>
    <n v="1"/>
    <s v="LEVEL 1"/>
    <s v="EAST"/>
    <s v="CW05"/>
    <s v="OFFICE"/>
    <m/>
    <m/>
    <m/>
    <x v="2"/>
    <x v="0"/>
    <x v="1"/>
    <s v="E-GL1"/>
    <m/>
    <m/>
    <n v="1800"/>
    <n v="1200"/>
    <n v="1"/>
    <n v="1.8"/>
    <n v="1.2"/>
    <n v="6"/>
    <n v="1"/>
    <n v="2.16"/>
    <n v="14"/>
  </r>
  <r>
    <n v="1"/>
    <s v="LEVEL 1"/>
    <s v="EAST"/>
    <s v="CW05"/>
    <s v="OFFICE"/>
    <m/>
    <m/>
    <m/>
    <x v="2"/>
    <x v="0"/>
    <x v="1"/>
    <s v="E-GL1"/>
    <m/>
    <m/>
    <n v="1800"/>
    <n v="1200"/>
    <n v="1"/>
    <n v="1.8"/>
    <n v="1.2"/>
    <n v="6"/>
    <n v="1"/>
    <n v="2.16"/>
    <n v="14"/>
  </r>
  <r>
    <n v="1"/>
    <s v="LEVEL 1"/>
    <s v="EAST"/>
    <s v="CW05"/>
    <s v="OFFICE"/>
    <m/>
    <m/>
    <m/>
    <x v="2"/>
    <x v="0"/>
    <x v="1"/>
    <s v="E-GL1"/>
    <m/>
    <m/>
    <n v="1800"/>
    <n v="1200"/>
    <n v="1"/>
    <n v="1.8"/>
    <n v="1.2"/>
    <n v="6"/>
    <n v="1"/>
    <n v="2.16"/>
    <n v="14"/>
  </r>
  <r>
    <n v="1"/>
    <s v="LEVEL 1"/>
    <s v="EAST"/>
    <s v="CW05"/>
    <s v="OFFICE"/>
    <m/>
    <m/>
    <m/>
    <x v="2"/>
    <x v="0"/>
    <x v="1"/>
    <s v="E-GL1"/>
    <m/>
    <m/>
    <n v="1800"/>
    <n v="1200"/>
    <n v="1"/>
    <n v="1.8"/>
    <n v="1.2"/>
    <n v="6"/>
    <n v="1"/>
    <n v="2.16"/>
    <n v="14"/>
  </r>
  <r>
    <n v="1"/>
    <s v="LEVEL 1"/>
    <s v="EAST"/>
    <s v="CW05"/>
    <s v="OFFICE"/>
    <m/>
    <m/>
    <m/>
    <x v="2"/>
    <x v="0"/>
    <x v="1"/>
    <s v="E-CF"/>
    <m/>
    <m/>
    <n v="900"/>
    <n v="1200"/>
    <n v="1"/>
    <n v="0.9"/>
    <n v="1.2"/>
    <n v="4.2"/>
    <n v="1"/>
    <n v="1.08"/>
    <n v="10"/>
  </r>
  <r>
    <n v="1"/>
    <s v="LEVEL 1"/>
    <s v="EAST"/>
    <s v="CW05"/>
    <s v="OFFICE"/>
    <m/>
    <m/>
    <m/>
    <x v="2"/>
    <x v="0"/>
    <x v="1"/>
    <s v="E-CF"/>
    <m/>
    <m/>
    <n v="900"/>
    <n v="1200"/>
    <n v="1"/>
    <n v="0.9"/>
    <n v="1.2"/>
    <n v="4.2"/>
    <n v="1"/>
    <n v="1.08"/>
    <n v="10"/>
  </r>
  <r>
    <n v="1"/>
    <s v="LEVEL 1"/>
    <s v="EAST"/>
    <s v="CW05"/>
    <s v="OFFICE"/>
    <m/>
    <m/>
    <m/>
    <x v="2"/>
    <x v="0"/>
    <x v="1"/>
    <s v="E-CF"/>
    <m/>
    <m/>
    <n v="900"/>
    <n v="1200"/>
    <n v="1"/>
    <n v="0.9"/>
    <n v="1.2"/>
    <n v="4.2"/>
    <n v="1"/>
    <n v="1.08"/>
    <n v="10"/>
  </r>
  <r>
    <n v="1"/>
    <s v="LEVEL 1"/>
    <s v="EAST"/>
    <s v="CW05"/>
    <s v="OFFICE"/>
    <m/>
    <m/>
    <m/>
    <x v="2"/>
    <x v="0"/>
    <x v="1"/>
    <s v="E-CF"/>
    <m/>
    <m/>
    <n v="900"/>
    <n v="1200"/>
    <n v="1"/>
    <n v="0.9"/>
    <n v="1.2"/>
    <n v="4.2"/>
    <n v="1"/>
    <n v="1.08"/>
    <n v="10"/>
  </r>
  <r>
    <n v="1"/>
    <s v="GROUND"/>
    <s v="EAST"/>
    <s v="CW05"/>
    <s v="OFFICE"/>
    <m/>
    <m/>
    <m/>
    <x v="2"/>
    <x v="0"/>
    <x v="1"/>
    <s v="E-CF"/>
    <m/>
    <m/>
    <n v="1300"/>
    <n v="1200"/>
    <n v="1"/>
    <n v="1.3"/>
    <n v="1.2"/>
    <n v="5"/>
    <n v="1"/>
    <n v="1.56"/>
    <n v="12"/>
  </r>
  <r>
    <n v="1"/>
    <s v="GROUND"/>
    <s v="EAST"/>
    <s v="CW05"/>
    <s v="OFFICE"/>
    <m/>
    <m/>
    <m/>
    <x v="2"/>
    <x v="0"/>
    <x v="1"/>
    <s v="E-CF"/>
    <m/>
    <m/>
    <n v="1300"/>
    <n v="1200"/>
    <n v="1"/>
    <n v="1.3"/>
    <n v="1.2"/>
    <n v="5"/>
    <n v="1"/>
    <n v="1.56"/>
    <n v="12"/>
  </r>
  <r>
    <n v="1"/>
    <s v="GROUND"/>
    <s v="EAST"/>
    <s v="CW05"/>
    <s v="OFFICE"/>
    <m/>
    <m/>
    <m/>
    <x v="2"/>
    <x v="0"/>
    <x v="1"/>
    <s v="E-CF"/>
    <m/>
    <m/>
    <n v="1300"/>
    <n v="1200"/>
    <n v="1"/>
    <n v="1.3"/>
    <n v="1.2"/>
    <n v="5"/>
    <n v="1"/>
    <n v="1.56"/>
    <n v="12"/>
  </r>
  <r>
    <n v="1"/>
    <s v="GROUND"/>
    <s v="EAST"/>
    <s v="CW05"/>
    <s v="OFFICE"/>
    <m/>
    <m/>
    <m/>
    <x v="2"/>
    <x v="0"/>
    <x v="1"/>
    <s v="E-CF"/>
    <m/>
    <m/>
    <n v="1300"/>
    <n v="1200"/>
    <n v="1"/>
    <n v="1.3"/>
    <n v="1.2"/>
    <n v="5"/>
    <n v="1"/>
    <n v="1.56"/>
    <n v="12"/>
  </r>
  <r>
    <n v="1"/>
    <s v="GROUND"/>
    <s v="EAST"/>
    <s v="CW05"/>
    <s v="OFFICE"/>
    <m/>
    <m/>
    <m/>
    <x v="2"/>
    <x v="0"/>
    <x v="1"/>
    <s v="E-GL1"/>
    <m/>
    <m/>
    <n v="1800"/>
    <n v="1200"/>
    <n v="1"/>
    <n v="1.8"/>
    <n v="1.2"/>
    <n v="6"/>
    <n v="1"/>
    <n v="2.16"/>
    <n v="14"/>
  </r>
  <r>
    <n v="1"/>
    <s v="GROUND"/>
    <s v="EAST"/>
    <s v="CW05"/>
    <s v="OFFICE"/>
    <m/>
    <m/>
    <m/>
    <x v="2"/>
    <x v="0"/>
    <x v="1"/>
    <s v="E-GL1"/>
    <m/>
    <m/>
    <n v="1800"/>
    <n v="1200"/>
    <n v="1"/>
    <n v="1.8"/>
    <n v="1.2"/>
    <n v="6"/>
    <n v="1"/>
    <n v="2.16"/>
    <n v="14"/>
  </r>
  <r>
    <n v="1"/>
    <s v="GROUND"/>
    <s v="EAST"/>
    <s v="CW05"/>
    <s v="OFFICE"/>
    <m/>
    <m/>
    <m/>
    <x v="2"/>
    <x v="0"/>
    <x v="1"/>
    <s v="E-CF"/>
    <m/>
    <m/>
    <n v="900"/>
    <n v="1200"/>
    <n v="1"/>
    <n v="0.9"/>
    <n v="1.2"/>
    <n v="4.2"/>
    <n v="1"/>
    <n v="1.08"/>
    <n v="10"/>
  </r>
  <r>
    <n v="1"/>
    <s v="GROUND"/>
    <s v="EAST"/>
    <s v="CW05"/>
    <s v="OFFICE"/>
    <m/>
    <m/>
    <m/>
    <x v="2"/>
    <x v="0"/>
    <x v="4"/>
    <s v="E-CF/E-GL1"/>
    <m/>
    <m/>
    <n v="2700"/>
    <n v="2400"/>
    <n v="1"/>
    <n v="2.7"/>
    <n v="2.4"/>
    <n v="10.199999999999999"/>
    <n v="1"/>
    <n v="6.48"/>
    <n v="24"/>
  </r>
  <r>
    <n v="1"/>
    <s v="GROUND"/>
    <s v="EAST"/>
    <s v="CW05"/>
    <s v="OFFICE"/>
    <m/>
    <m/>
    <m/>
    <x v="2"/>
    <x v="0"/>
    <x v="1"/>
    <s v="E-CF"/>
    <m/>
    <m/>
    <n v="900"/>
    <n v="1200"/>
    <n v="1"/>
    <n v="0.9"/>
    <n v="1.2"/>
    <n v="4.2"/>
    <n v="1"/>
    <n v="1.08"/>
    <n v="10"/>
  </r>
  <r>
    <n v="1"/>
    <s v="GROUND/L1"/>
    <s v="NORTH"/>
    <s v="CW06"/>
    <s v="OFFICE"/>
    <m/>
    <m/>
    <m/>
    <x v="0"/>
    <x v="0"/>
    <x v="0"/>
    <m/>
    <m/>
    <m/>
    <n v="7800"/>
    <n v="4800"/>
    <n v="1"/>
    <n v="7.8"/>
    <n v="4.8"/>
    <n v="25.2"/>
    <n v="1"/>
    <n v="37.44"/>
    <n v="58"/>
  </r>
  <r>
    <n v="1"/>
    <s v="LEVEL 1"/>
    <s v="NORTH"/>
    <s v="CW06"/>
    <s v="OFFICE"/>
    <m/>
    <m/>
    <m/>
    <x v="1"/>
    <x v="0"/>
    <x v="1"/>
    <s v="E-CF"/>
    <m/>
    <m/>
    <n v="1100"/>
    <n v="1200"/>
    <n v="1"/>
    <n v="1.1000000000000001"/>
    <n v="1.2"/>
    <n v="4.5999999999999996"/>
    <n v="1"/>
    <n v="1.32"/>
    <n v="12"/>
  </r>
  <r>
    <n v="1"/>
    <s v="LEVEL 1"/>
    <s v="NORTH"/>
    <s v="CW06"/>
    <s v="OFFICE"/>
    <m/>
    <m/>
    <m/>
    <x v="1"/>
    <x v="0"/>
    <x v="1"/>
    <s v="E-CF"/>
    <m/>
    <m/>
    <n v="1100"/>
    <n v="1200"/>
    <n v="1"/>
    <n v="1.1000000000000001"/>
    <n v="1.2"/>
    <n v="4.5999999999999996"/>
    <n v="1"/>
    <n v="1.32"/>
    <n v="12"/>
  </r>
  <r>
    <n v="1"/>
    <s v="LEVEL 1"/>
    <s v="NORTH"/>
    <s v="CW06"/>
    <s v="OFFICE"/>
    <m/>
    <m/>
    <m/>
    <x v="1"/>
    <x v="0"/>
    <x v="1"/>
    <s v="E-CF"/>
    <m/>
    <m/>
    <n v="1100"/>
    <n v="1200"/>
    <n v="1"/>
    <n v="1.1000000000000001"/>
    <n v="1.2"/>
    <n v="4.5999999999999996"/>
    <n v="1"/>
    <n v="1.32"/>
    <n v="12"/>
  </r>
  <r>
    <n v="1"/>
    <s v="LEVEL 1"/>
    <s v="NORTH"/>
    <s v="CW06"/>
    <s v="OFFICE"/>
    <m/>
    <m/>
    <m/>
    <x v="1"/>
    <x v="0"/>
    <x v="1"/>
    <s v="E-CF"/>
    <m/>
    <m/>
    <n v="1100"/>
    <n v="1200"/>
    <n v="1"/>
    <n v="1.1000000000000001"/>
    <n v="1.2"/>
    <n v="4.5999999999999996"/>
    <n v="1"/>
    <n v="1.32"/>
    <n v="12"/>
  </r>
  <r>
    <n v="1"/>
    <s v="LEVEL 1"/>
    <s v="NORTH"/>
    <s v="CW06"/>
    <s v="OFFICE"/>
    <m/>
    <m/>
    <m/>
    <x v="1"/>
    <x v="0"/>
    <x v="2"/>
    <s v="E-GL1/E-CF"/>
    <m/>
    <m/>
    <n v="2700"/>
    <n v="1200"/>
    <n v="1"/>
    <n v="2.7"/>
    <n v="1.2"/>
    <n v="7.8"/>
    <n v="1"/>
    <n v="3.24"/>
    <n v="18"/>
  </r>
  <r>
    <n v="1"/>
    <s v="LEVEL 1"/>
    <s v="NORTH"/>
    <s v="CW06"/>
    <s v="OFFICE"/>
    <m/>
    <m/>
    <m/>
    <x v="1"/>
    <x v="0"/>
    <x v="2"/>
    <s v="E-GL1/E-CF"/>
    <m/>
    <m/>
    <n v="2700"/>
    <n v="1200"/>
    <n v="1"/>
    <n v="2.7"/>
    <n v="1.2"/>
    <n v="7.8"/>
    <n v="1"/>
    <n v="3.24"/>
    <n v="18"/>
  </r>
  <r>
    <n v="1"/>
    <s v="LEVEL 1"/>
    <s v="NORTH"/>
    <s v="CW06"/>
    <s v="OFFICE"/>
    <m/>
    <m/>
    <m/>
    <x v="1"/>
    <x v="0"/>
    <x v="2"/>
    <s v="E-GL1/E-CF"/>
    <m/>
    <m/>
    <n v="2700"/>
    <n v="1200"/>
    <n v="1"/>
    <n v="2.7"/>
    <n v="1.2"/>
    <n v="7.8"/>
    <n v="1"/>
    <n v="3.24"/>
    <n v="18"/>
  </r>
  <r>
    <n v="1"/>
    <s v="LEVEL 1"/>
    <s v="NORTH"/>
    <s v="CW06"/>
    <s v="OFFICE"/>
    <m/>
    <m/>
    <m/>
    <x v="1"/>
    <x v="0"/>
    <x v="2"/>
    <s v="E-GL1/E-CF"/>
    <m/>
    <m/>
    <n v="2700"/>
    <n v="1200"/>
    <n v="1"/>
    <n v="2.7"/>
    <n v="1.2"/>
    <n v="7.8"/>
    <n v="1"/>
    <n v="3.24"/>
    <n v="18"/>
  </r>
  <r>
    <n v="1"/>
    <s v="GROUND"/>
    <s v="NORTH"/>
    <s v="CW06"/>
    <s v="OFFICE"/>
    <m/>
    <m/>
    <m/>
    <x v="1"/>
    <x v="0"/>
    <x v="1"/>
    <s v="E-CF"/>
    <m/>
    <m/>
    <n v="1300"/>
    <n v="1200"/>
    <n v="1"/>
    <n v="1.3"/>
    <n v="1.2"/>
    <n v="5"/>
    <n v="1"/>
    <n v="1.56"/>
    <n v="12"/>
  </r>
  <r>
    <n v="1"/>
    <s v="GROUND"/>
    <s v="NORTH"/>
    <s v="CW06"/>
    <s v="OFFICE"/>
    <m/>
    <m/>
    <m/>
    <x v="1"/>
    <x v="0"/>
    <x v="1"/>
    <s v="E-CF"/>
    <m/>
    <m/>
    <n v="1300"/>
    <n v="1200"/>
    <n v="1"/>
    <n v="1.3"/>
    <n v="1.2"/>
    <n v="5"/>
    <n v="1"/>
    <n v="1.56"/>
    <n v="12"/>
  </r>
  <r>
    <n v="1"/>
    <s v="GROUND"/>
    <s v="NORTH"/>
    <s v="CW06"/>
    <s v="OFFICE"/>
    <m/>
    <m/>
    <m/>
    <x v="1"/>
    <x v="0"/>
    <x v="1"/>
    <s v="E-CF"/>
    <m/>
    <m/>
    <n v="1300"/>
    <n v="1200"/>
    <n v="1"/>
    <n v="1.3"/>
    <n v="1.2"/>
    <n v="5"/>
    <n v="1"/>
    <n v="1.56"/>
    <n v="12"/>
  </r>
  <r>
    <n v="1"/>
    <s v="GROUND"/>
    <s v="NORTH"/>
    <s v="CW06"/>
    <s v="OFFICE"/>
    <m/>
    <m/>
    <m/>
    <x v="1"/>
    <x v="0"/>
    <x v="1"/>
    <s v="E-CF"/>
    <m/>
    <m/>
    <n v="1300"/>
    <n v="1200"/>
    <n v="1"/>
    <n v="1.3"/>
    <n v="1.2"/>
    <n v="5"/>
    <n v="1"/>
    <n v="1.56"/>
    <n v="12"/>
  </r>
  <r>
    <n v="1"/>
    <s v="GROUND"/>
    <s v="NORTH"/>
    <s v="CW06"/>
    <s v="OFFICE"/>
    <m/>
    <m/>
    <m/>
    <x v="1"/>
    <x v="0"/>
    <x v="2"/>
    <s v="E-GL1/E-CF"/>
    <m/>
    <m/>
    <n v="2700"/>
    <n v="1200"/>
    <n v="1"/>
    <n v="2.7"/>
    <n v="1.2"/>
    <n v="7.8"/>
    <n v="1"/>
    <n v="3.24"/>
    <n v="18"/>
  </r>
  <r>
    <n v="1"/>
    <s v="GROUND"/>
    <s v="NORTH"/>
    <s v="CW06"/>
    <s v="OFFICE"/>
    <m/>
    <m/>
    <m/>
    <x v="1"/>
    <x v="0"/>
    <x v="2"/>
    <s v="E-GL1/E-CF"/>
    <m/>
    <m/>
    <n v="2700"/>
    <n v="1200"/>
    <n v="1"/>
    <n v="2.7"/>
    <n v="1.2"/>
    <n v="7.8"/>
    <n v="1"/>
    <n v="3.24"/>
    <n v="18"/>
  </r>
  <r>
    <n v="1"/>
    <s v="GROUND"/>
    <s v="NORTH"/>
    <s v="CW06"/>
    <s v="OFFICE"/>
    <m/>
    <m/>
    <m/>
    <x v="1"/>
    <x v="0"/>
    <x v="2"/>
    <s v="E-GL1/E-CF"/>
    <m/>
    <m/>
    <n v="2700"/>
    <n v="1200"/>
    <n v="1"/>
    <n v="2.7"/>
    <n v="1.2"/>
    <n v="7.8"/>
    <n v="1"/>
    <n v="3.24"/>
    <n v="18"/>
  </r>
  <r>
    <n v="1"/>
    <s v="GROUND"/>
    <s v="NORTH"/>
    <s v="CW06"/>
    <s v="OFFICE"/>
    <m/>
    <m/>
    <m/>
    <x v="1"/>
    <x v="0"/>
    <x v="2"/>
    <s v="E-GL1/E-CF"/>
    <m/>
    <m/>
    <n v="2700"/>
    <n v="1200"/>
    <n v="1"/>
    <n v="2.7"/>
    <n v="1.2"/>
    <n v="7.8"/>
    <n v="1"/>
    <n v="3.24"/>
    <n v="18"/>
  </r>
  <r>
    <n v="1"/>
    <s v="LEVEL 1"/>
    <s v="NORTH"/>
    <s v="CW06"/>
    <s v="OFFICE"/>
    <m/>
    <m/>
    <m/>
    <x v="2"/>
    <x v="0"/>
    <x v="1"/>
    <s v="E-CF"/>
    <m/>
    <m/>
    <n v="1100"/>
    <n v="1200"/>
    <n v="1"/>
    <n v="1.1000000000000001"/>
    <n v="1.2"/>
    <n v="4.5999999999999996"/>
    <n v="1"/>
    <n v="1.32"/>
    <n v="12"/>
  </r>
  <r>
    <n v="1"/>
    <s v="LEVEL 1"/>
    <s v="NORTH"/>
    <s v="CW06"/>
    <s v="OFFICE"/>
    <m/>
    <m/>
    <m/>
    <x v="2"/>
    <x v="0"/>
    <x v="1"/>
    <s v="E-CF"/>
    <m/>
    <m/>
    <n v="1100"/>
    <n v="1200"/>
    <n v="1"/>
    <n v="1.1000000000000001"/>
    <n v="1.2"/>
    <n v="4.5999999999999996"/>
    <n v="1"/>
    <n v="1.32"/>
    <n v="12"/>
  </r>
  <r>
    <n v="1"/>
    <s v="LEVEL 1"/>
    <s v="NORTH"/>
    <s v="CW06"/>
    <s v="OFFICE"/>
    <m/>
    <m/>
    <m/>
    <x v="2"/>
    <x v="0"/>
    <x v="1"/>
    <s v="E-CF"/>
    <m/>
    <m/>
    <n v="1100"/>
    <n v="1200"/>
    <n v="1"/>
    <n v="1.1000000000000001"/>
    <n v="1.2"/>
    <n v="4.5999999999999996"/>
    <n v="1"/>
    <n v="1.32"/>
    <n v="12"/>
  </r>
  <r>
    <n v="1"/>
    <s v="LEVEL 1"/>
    <s v="NORTH"/>
    <s v="CW06"/>
    <s v="OFFICE"/>
    <m/>
    <m/>
    <m/>
    <x v="2"/>
    <x v="0"/>
    <x v="1"/>
    <s v="E-CF"/>
    <m/>
    <m/>
    <n v="1100"/>
    <n v="1200"/>
    <n v="1"/>
    <n v="1.1000000000000001"/>
    <n v="1.2"/>
    <n v="4.5999999999999996"/>
    <n v="1"/>
    <n v="1.32"/>
    <n v="12"/>
  </r>
  <r>
    <n v="1"/>
    <s v="LEVEL 1"/>
    <s v="NORTH"/>
    <s v="CW06"/>
    <s v="OFFICE"/>
    <m/>
    <m/>
    <m/>
    <x v="2"/>
    <x v="0"/>
    <x v="1"/>
    <s v="E-GL1"/>
    <m/>
    <m/>
    <n v="1800"/>
    <n v="1200"/>
    <n v="1"/>
    <n v="1.8"/>
    <n v="1.2"/>
    <n v="6"/>
    <n v="1"/>
    <n v="2.16"/>
    <n v="14"/>
  </r>
  <r>
    <n v="1"/>
    <s v="LEVEL 1"/>
    <s v="NORTH"/>
    <s v="CW06"/>
    <s v="OFFICE"/>
    <m/>
    <m/>
    <m/>
    <x v="2"/>
    <x v="0"/>
    <x v="1"/>
    <s v="E-GL1"/>
    <m/>
    <m/>
    <n v="1800"/>
    <n v="1200"/>
    <n v="1"/>
    <n v="1.8"/>
    <n v="1.2"/>
    <n v="6"/>
    <n v="1"/>
    <n v="2.16"/>
    <n v="14"/>
  </r>
  <r>
    <n v="1"/>
    <s v="LEVEL 1"/>
    <s v="NORTH"/>
    <s v="CW06"/>
    <s v="OFFICE"/>
    <m/>
    <m/>
    <m/>
    <x v="2"/>
    <x v="0"/>
    <x v="1"/>
    <s v="E-GL1"/>
    <m/>
    <m/>
    <n v="1800"/>
    <n v="1200"/>
    <n v="1"/>
    <n v="1.8"/>
    <n v="1.2"/>
    <n v="6"/>
    <n v="1"/>
    <n v="2.16"/>
    <n v="14"/>
  </r>
  <r>
    <n v="1"/>
    <s v="LEVEL 1"/>
    <s v="NORTH"/>
    <s v="CW06"/>
    <s v="OFFICE"/>
    <m/>
    <m/>
    <m/>
    <x v="2"/>
    <x v="0"/>
    <x v="1"/>
    <s v="E-GL1"/>
    <m/>
    <m/>
    <n v="1800"/>
    <n v="1200"/>
    <n v="1"/>
    <n v="1.8"/>
    <n v="1.2"/>
    <n v="6"/>
    <n v="1"/>
    <n v="2.16"/>
    <n v="14"/>
  </r>
  <r>
    <n v="1"/>
    <s v="LEVEL 1"/>
    <s v="NORTH"/>
    <s v="CW06"/>
    <s v="OFFICE"/>
    <m/>
    <m/>
    <m/>
    <x v="2"/>
    <x v="0"/>
    <x v="1"/>
    <s v="E-CF"/>
    <m/>
    <m/>
    <n v="900"/>
    <n v="1200"/>
    <n v="1"/>
    <n v="0.9"/>
    <n v="1.2"/>
    <n v="4.2"/>
    <n v="1"/>
    <n v="1.08"/>
    <n v="10"/>
  </r>
  <r>
    <n v="1"/>
    <s v="LEVEL 1"/>
    <s v="NORTH"/>
    <s v="CW06"/>
    <s v="OFFICE"/>
    <m/>
    <m/>
    <m/>
    <x v="2"/>
    <x v="0"/>
    <x v="1"/>
    <s v="E-CF"/>
    <m/>
    <m/>
    <n v="900"/>
    <n v="1200"/>
    <n v="1"/>
    <n v="0.9"/>
    <n v="1.2"/>
    <n v="4.2"/>
    <n v="1"/>
    <n v="1.08"/>
    <n v="10"/>
  </r>
  <r>
    <n v="1"/>
    <s v="LEVEL 1"/>
    <s v="NORTH"/>
    <s v="CW06"/>
    <s v="OFFICE"/>
    <m/>
    <m/>
    <m/>
    <x v="2"/>
    <x v="0"/>
    <x v="1"/>
    <s v="E-CF"/>
    <m/>
    <m/>
    <n v="900"/>
    <n v="1200"/>
    <n v="1"/>
    <n v="0.9"/>
    <n v="1.2"/>
    <n v="4.2"/>
    <n v="1"/>
    <n v="1.08"/>
    <n v="10"/>
  </r>
  <r>
    <n v="1"/>
    <s v="LEVEL 1"/>
    <s v="NORTH"/>
    <s v="CW06"/>
    <s v="OFFICE"/>
    <m/>
    <m/>
    <m/>
    <x v="2"/>
    <x v="0"/>
    <x v="1"/>
    <s v="E-CF"/>
    <m/>
    <m/>
    <n v="900"/>
    <n v="1200"/>
    <n v="1"/>
    <n v="0.9"/>
    <n v="1.2"/>
    <n v="4.2"/>
    <n v="1"/>
    <n v="1.08"/>
    <n v="10"/>
  </r>
  <r>
    <n v="1"/>
    <s v="GROUND"/>
    <s v="NORTH"/>
    <s v="CW06"/>
    <s v="OFFICE"/>
    <m/>
    <m/>
    <m/>
    <x v="2"/>
    <x v="0"/>
    <x v="1"/>
    <s v="E-CF"/>
    <m/>
    <m/>
    <n v="1300"/>
    <n v="1200"/>
    <n v="1"/>
    <n v="1.3"/>
    <n v="1.2"/>
    <n v="5"/>
    <n v="1"/>
    <n v="1.56"/>
    <n v="12"/>
  </r>
  <r>
    <n v="1"/>
    <s v="GROUND"/>
    <s v="NORTH"/>
    <s v="CW06"/>
    <s v="OFFICE"/>
    <m/>
    <m/>
    <m/>
    <x v="2"/>
    <x v="0"/>
    <x v="1"/>
    <s v="E-CF"/>
    <m/>
    <m/>
    <n v="1300"/>
    <n v="1200"/>
    <n v="1"/>
    <n v="1.3"/>
    <n v="1.2"/>
    <n v="5"/>
    <n v="1"/>
    <n v="1.56"/>
    <n v="12"/>
  </r>
  <r>
    <n v="1"/>
    <s v="GROUND"/>
    <s v="NORTH"/>
    <s v="CW06"/>
    <s v="OFFICE"/>
    <m/>
    <m/>
    <m/>
    <x v="2"/>
    <x v="0"/>
    <x v="1"/>
    <s v="E-CF"/>
    <m/>
    <m/>
    <n v="1300"/>
    <n v="1200"/>
    <n v="1"/>
    <n v="1.3"/>
    <n v="1.2"/>
    <n v="5"/>
    <n v="1"/>
    <n v="1.56"/>
    <n v="12"/>
  </r>
  <r>
    <n v="1"/>
    <s v="GROUND"/>
    <s v="NORTH"/>
    <s v="CW06"/>
    <s v="OFFICE"/>
    <m/>
    <m/>
    <m/>
    <x v="2"/>
    <x v="0"/>
    <x v="1"/>
    <s v="E-CF"/>
    <m/>
    <m/>
    <n v="1300"/>
    <n v="1200"/>
    <n v="1"/>
    <n v="1.3"/>
    <n v="1.2"/>
    <n v="5"/>
    <n v="1"/>
    <n v="1.56"/>
    <n v="12"/>
  </r>
  <r>
    <n v="1"/>
    <s v="GROUND"/>
    <s v="NORTH"/>
    <s v="CW06"/>
    <s v="OFFICE"/>
    <m/>
    <m/>
    <m/>
    <x v="2"/>
    <x v="0"/>
    <x v="1"/>
    <s v="E-GL1"/>
    <m/>
    <m/>
    <n v="1800"/>
    <n v="1200"/>
    <n v="1"/>
    <n v="1.8"/>
    <n v="1.2"/>
    <n v="6"/>
    <n v="1"/>
    <n v="2.16"/>
    <n v="14"/>
  </r>
  <r>
    <n v="1"/>
    <s v="GROUND"/>
    <s v="NORTH"/>
    <s v="CW06"/>
    <s v="OFFICE"/>
    <m/>
    <m/>
    <m/>
    <x v="2"/>
    <x v="0"/>
    <x v="1"/>
    <s v="E-GL1"/>
    <m/>
    <m/>
    <n v="1800"/>
    <n v="1200"/>
    <n v="1"/>
    <n v="1.8"/>
    <n v="1.2"/>
    <n v="6"/>
    <n v="1"/>
    <n v="2.16"/>
    <n v="14"/>
  </r>
  <r>
    <n v="1"/>
    <s v="GROUND"/>
    <s v="NORTH"/>
    <s v="CW06"/>
    <s v="OFFICE"/>
    <m/>
    <m/>
    <m/>
    <x v="2"/>
    <x v="0"/>
    <x v="1"/>
    <s v="E-GL1"/>
    <m/>
    <m/>
    <n v="1800"/>
    <n v="1200"/>
    <n v="1"/>
    <n v="1.8"/>
    <n v="1.2"/>
    <n v="6"/>
    <n v="1"/>
    <n v="2.16"/>
    <n v="14"/>
  </r>
  <r>
    <n v="1"/>
    <s v="GROUND"/>
    <s v="NORTH"/>
    <s v="CW06"/>
    <s v="OFFICE"/>
    <m/>
    <m/>
    <m/>
    <x v="2"/>
    <x v="0"/>
    <x v="1"/>
    <s v="E-GL1"/>
    <m/>
    <m/>
    <n v="1800"/>
    <n v="1200"/>
    <n v="1"/>
    <n v="1.8"/>
    <n v="1.2"/>
    <n v="6"/>
    <n v="1"/>
    <n v="2.16"/>
    <n v="14"/>
  </r>
  <r>
    <n v="1"/>
    <s v="GROUND"/>
    <s v="NORTH"/>
    <s v="CW06"/>
    <s v="OFFICE"/>
    <m/>
    <m/>
    <m/>
    <x v="2"/>
    <x v="0"/>
    <x v="1"/>
    <s v="E-CF"/>
    <m/>
    <m/>
    <n v="900"/>
    <n v="1200"/>
    <n v="1"/>
    <n v="0.9"/>
    <n v="1.2"/>
    <n v="4.2"/>
    <n v="1"/>
    <n v="1.08"/>
    <n v="10"/>
  </r>
  <r>
    <n v="1"/>
    <s v="GROUND"/>
    <s v="NORTH"/>
    <s v="CW06"/>
    <s v="OFFICE"/>
    <m/>
    <m/>
    <m/>
    <x v="2"/>
    <x v="0"/>
    <x v="1"/>
    <s v="E-CF"/>
    <m/>
    <m/>
    <n v="900"/>
    <n v="1200"/>
    <n v="1"/>
    <n v="0.9"/>
    <n v="1.2"/>
    <n v="4.2"/>
    <n v="1"/>
    <n v="1.08"/>
    <n v="10"/>
  </r>
  <r>
    <n v="1"/>
    <s v="GROUND"/>
    <s v="NORTH"/>
    <s v="CW06"/>
    <s v="OFFICE"/>
    <m/>
    <m/>
    <m/>
    <x v="2"/>
    <x v="0"/>
    <x v="1"/>
    <s v="E-CF"/>
    <m/>
    <m/>
    <n v="900"/>
    <n v="1200"/>
    <n v="1"/>
    <n v="0.9"/>
    <n v="1.2"/>
    <n v="4.2"/>
    <n v="1"/>
    <n v="1.08"/>
    <n v="10"/>
  </r>
  <r>
    <n v="1"/>
    <s v="GROUND"/>
    <s v="NORTH"/>
    <s v="CW06"/>
    <s v="OFFICE"/>
    <m/>
    <m/>
    <m/>
    <x v="2"/>
    <x v="0"/>
    <x v="1"/>
    <s v="E-CF"/>
    <m/>
    <m/>
    <n v="900"/>
    <n v="1200"/>
    <n v="1"/>
    <n v="0.9"/>
    <n v="1.2"/>
    <n v="4.2"/>
    <n v="1"/>
    <n v="1.08"/>
    <n v="10"/>
  </r>
  <r>
    <n v="1"/>
    <s v="LEVEL 1"/>
    <s v="EAST"/>
    <s v="CW08"/>
    <s v="OFFICE"/>
    <m/>
    <m/>
    <m/>
    <x v="0"/>
    <x v="1"/>
    <x v="0"/>
    <m/>
    <m/>
    <m/>
    <n v="1700"/>
    <n v="2400"/>
    <n v="1"/>
    <n v="1.7"/>
    <n v="2.4"/>
    <n v="8.1999999999999993"/>
    <n v="1"/>
    <n v="4.08"/>
    <n v="20"/>
  </r>
  <r>
    <n v="1"/>
    <s v="LEVEL 1"/>
    <s v="EAST"/>
    <s v="CW08"/>
    <s v="OFFICE"/>
    <m/>
    <m/>
    <m/>
    <x v="1"/>
    <x v="1"/>
    <x v="1"/>
    <s v="E-GL4"/>
    <m/>
    <m/>
    <n v="1700"/>
    <n v="1200"/>
    <n v="1"/>
    <n v="1.7"/>
    <n v="1.2"/>
    <n v="5.8"/>
    <n v="1"/>
    <n v="2.04"/>
    <n v="14"/>
  </r>
  <r>
    <n v="1"/>
    <s v="LEVEL 1"/>
    <s v="EAST"/>
    <s v="CW08"/>
    <s v="OFFICE"/>
    <m/>
    <m/>
    <m/>
    <x v="1"/>
    <x v="1"/>
    <x v="1"/>
    <s v="E-GL4"/>
    <m/>
    <m/>
    <n v="1700"/>
    <n v="1200"/>
    <n v="1"/>
    <n v="1.7"/>
    <n v="1.2"/>
    <n v="5.8"/>
    <n v="1"/>
    <n v="2.04"/>
    <n v="14"/>
  </r>
  <r>
    <n v="1"/>
    <s v="LEVEL 1"/>
    <s v="EAST"/>
    <s v="CW08"/>
    <s v="OFFICE"/>
    <m/>
    <m/>
    <m/>
    <x v="2"/>
    <x v="1"/>
    <x v="1"/>
    <s v="E-GL4"/>
    <m/>
    <m/>
    <n v="1700"/>
    <n v="1200"/>
    <n v="1"/>
    <n v="1.7"/>
    <n v="1.2"/>
    <n v="5.8"/>
    <n v="1"/>
    <n v="2.04"/>
    <n v="14"/>
  </r>
  <r>
    <n v="1"/>
    <s v="LEVEL 1"/>
    <s v="EAST"/>
    <s v="CW08"/>
    <s v="OFFICE"/>
    <m/>
    <m/>
    <m/>
    <x v="2"/>
    <x v="1"/>
    <x v="1"/>
    <s v="E-GL4"/>
    <m/>
    <m/>
    <n v="1700"/>
    <n v="1200"/>
    <n v="1"/>
    <n v="1.7"/>
    <n v="1.2"/>
    <n v="5.8"/>
    <n v="1"/>
    <n v="2.04"/>
    <n v="14"/>
  </r>
  <r>
    <n v="1"/>
    <s v="LEVEL 1"/>
    <s v="SOUTH"/>
    <s v="CW09"/>
    <s v="OFFICE"/>
    <m/>
    <m/>
    <m/>
    <x v="0"/>
    <x v="1"/>
    <x v="0"/>
    <m/>
    <m/>
    <m/>
    <n v="1700"/>
    <n v="2400"/>
    <n v="1"/>
    <n v="1.7"/>
    <n v="2.4"/>
    <n v="8.1999999999999993"/>
    <n v="1"/>
    <n v="4.08"/>
    <n v="20"/>
  </r>
  <r>
    <n v="1"/>
    <s v="LEVEL 1"/>
    <s v="SOUTH"/>
    <s v="CW09"/>
    <s v="OFFICE"/>
    <m/>
    <m/>
    <m/>
    <x v="1"/>
    <x v="1"/>
    <x v="1"/>
    <s v="E-GL4"/>
    <m/>
    <m/>
    <n v="1700"/>
    <n v="1200"/>
    <n v="1"/>
    <n v="1.7"/>
    <n v="1.2"/>
    <n v="5.8"/>
    <n v="1"/>
    <n v="2.04"/>
    <n v="14"/>
  </r>
  <r>
    <n v="1"/>
    <s v="LEVEL 1"/>
    <s v="SOUTH"/>
    <s v="CW09"/>
    <s v="OFFICE"/>
    <m/>
    <m/>
    <m/>
    <x v="1"/>
    <x v="1"/>
    <x v="1"/>
    <s v="E-GL4"/>
    <m/>
    <m/>
    <n v="1700"/>
    <n v="1200"/>
    <n v="1"/>
    <n v="1.7"/>
    <n v="1.2"/>
    <n v="5.8"/>
    <n v="1"/>
    <n v="2.04"/>
    <n v="14"/>
  </r>
  <r>
    <n v="1"/>
    <s v="LEVEL 1"/>
    <s v="SOUTH"/>
    <s v="CW09"/>
    <s v="OFFICE"/>
    <m/>
    <m/>
    <m/>
    <x v="2"/>
    <x v="1"/>
    <x v="1"/>
    <s v="E-GL4"/>
    <m/>
    <m/>
    <n v="1700"/>
    <n v="1200"/>
    <n v="1"/>
    <n v="1.7"/>
    <n v="1.2"/>
    <n v="5.8"/>
    <n v="1"/>
    <n v="2.04"/>
    <n v="14"/>
  </r>
  <r>
    <n v="1"/>
    <s v="LEVEL 1"/>
    <s v="SOUTH"/>
    <s v="CW09"/>
    <s v="OFFICE"/>
    <m/>
    <m/>
    <m/>
    <x v="2"/>
    <x v="1"/>
    <x v="1"/>
    <s v="E-GL4"/>
    <m/>
    <m/>
    <n v="1700"/>
    <n v="1200"/>
    <n v="1"/>
    <n v="1.7"/>
    <n v="1.2"/>
    <n v="5.8"/>
    <n v="1"/>
    <n v="2.04"/>
    <n v="14"/>
  </r>
  <r>
    <n v="1"/>
    <s v="LEVEL 1"/>
    <s v="SOUTH"/>
    <s v="CW10"/>
    <s v="OFFICE"/>
    <m/>
    <m/>
    <m/>
    <x v="0"/>
    <x v="1"/>
    <x v="0"/>
    <m/>
    <m/>
    <m/>
    <n v="1700"/>
    <n v="2400"/>
    <n v="1"/>
    <n v="1.7"/>
    <n v="2.4"/>
    <n v="8.1999999999999993"/>
    <n v="1"/>
    <n v="4.08"/>
    <n v="20"/>
  </r>
  <r>
    <n v="1"/>
    <s v="LEVEL 1"/>
    <s v="SOUTH"/>
    <s v="CW10"/>
    <s v="OFFICE"/>
    <m/>
    <m/>
    <m/>
    <x v="1"/>
    <x v="1"/>
    <x v="1"/>
    <s v="E-GL4"/>
    <m/>
    <m/>
    <n v="1700"/>
    <n v="1200"/>
    <n v="1"/>
    <n v="1.7"/>
    <n v="1.2"/>
    <n v="5.8"/>
    <n v="1"/>
    <n v="2.04"/>
    <n v="14"/>
  </r>
  <r>
    <n v="1"/>
    <s v="LEVEL 1"/>
    <s v="SOUTH"/>
    <s v="CW10"/>
    <s v="OFFICE"/>
    <m/>
    <m/>
    <m/>
    <x v="1"/>
    <x v="1"/>
    <x v="1"/>
    <s v="E-GL4"/>
    <m/>
    <m/>
    <n v="1700"/>
    <n v="1200"/>
    <n v="1"/>
    <n v="1.7"/>
    <n v="1.2"/>
    <n v="5.8"/>
    <n v="1"/>
    <n v="2.04"/>
    <n v="14"/>
  </r>
  <r>
    <n v="1"/>
    <s v="LEVEL 1"/>
    <s v="SOUTH"/>
    <s v="CW10"/>
    <s v="OFFICE"/>
    <m/>
    <m/>
    <m/>
    <x v="2"/>
    <x v="1"/>
    <x v="1"/>
    <s v="E-GL4"/>
    <m/>
    <m/>
    <n v="1700"/>
    <n v="1200"/>
    <n v="1"/>
    <n v="1.7"/>
    <n v="1.2"/>
    <n v="5.8"/>
    <n v="1"/>
    <n v="2.04"/>
    <n v="14"/>
  </r>
  <r>
    <n v="1"/>
    <s v="LEVEL 1"/>
    <s v="SOUTH"/>
    <s v="CW10"/>
    <s v="OFFICE"/>
    <m/>
    <m/>
    <m/>
    <x v="2"/>
    <x v="1"/>
    <x v="1"/>
    <s v="E-GL4"/>
    <m/>
    <m/>
    <n v="1700"/>
    <n v="1200"/>
    <n v="1"/>
    <n v="1.7"/>
    <n v="1.2"/>
    <n v="5.8"/>
    <n v="1"/>
    <n v="2.04"/>
    <n v="14"/>
  </r>
  <r>
    <n v="1"/>
    <s v="LEVEL 1"/>
    <s v="SOUTH"/>
    <s v="CW11"/>
    <s v="OFFICE"/>
    <m/>
    <m/>
    <m/>
    <x v="0"/>
    <x v="1"/>
    <x v="0"/>
    <m/>
    <m/>
    <m/>
    <n v="1700"/>
    <n v="2400"/>
    <n v="1"/>
    <n v="1.7"/>
    <n v="2.4"/>
    <n v="8.1999999999999993"/>
    <n v="1"/>
    <n v="4.08"/>
    <n v="20"/>
  </r>
  <r>
    <n v="1"/>
    <s v="LEVEL 1"/>
    <s v="SOUTH"/>
    <s v="CW11"/>
    <s v="OFFICE"/>
    <m/>
    <m/>
    <m/>
    <x v="1"/>
    <x v="1"/>
    <x v="1"/>
    <s v="E-GL4"/>
    <m/>
    <m/>
    <n v="1700"/>
    <n v="1200"/>
    <n v="1"/>
    <n v="1.7"/>
    <n v="1.2"/>
    <n v="5.8"/>
    <n v="1"/>
    <n v="2.04"/>
    <n v="14"/>
  </r>
  <r>
    <n v="1"/>
    <s v="LEVEL 1"/>
    <s v="SOUTH"/>
    <s v="CW11"/>
    <s v="OFFICE"/>
    <m/>
    <m/>
    <m/>
    <x v="1"/>
    <x v="1"/>
    <x v="1"/>
    <s v="E-GL4"/>
    <m/>
    <m/>
    <n v="1700"/>
    <n v="1200"/>
    <n v="1"/>
    <n v="1.7"/>
    <n v="1.2"/>
    <n v="5.8"/>
    <n v="1"/>
    <n v="2.04"/>
    <n v="14"/>
  </r>
  <r>
    <n v="1"/>
    <s v="LEVEL 1"/>
    <s v="SOUTH"/>
    <s v="CW11"/>
    <s v="OFFICE"/>
    <m/>
    <m/>
    <m/>
    <x v="2"/>
    <x v="1"/>
    <x v="1"/>
    <s v="E-GL4"/>
    <m/>
    <m/>
    <n v="1700"/>
    <n v="1200"/>
    <n v="1"/>
    <n v="1.7"/>
    <n v="1.2"/>
    <n v="5.8"/>
    <n v="1"/>
    <n v="2.04"/>
    <n v="14"/>
  </r>
  <r>
    <n v="1"/>
    <s v="LEVEL 1"/>
    <s v="SOUTH"/>
    <s v="CW11"/>
    <s v="OFFICE"/>
    <m/>
    <m/>
    <m/>
    <x v="2"/>
    <x v="1"/>
    <x v="1"/>
    <s v="E-GL4"/>
    <m/>
    <m/>
    <n v="1700"/>
    <n v="1200"/>
    <n v="1"/>
    <n v="1.7"/>
    <n v="1.2"/>
    <n v="5.8"/>
    <n v="1"/>
    <n v="2.04"/>
    <n v="14"/>
  </r>
  <r>
    <n v="1"/>
    <s v="GROUND"/>
    <s v="WEST"/>
    <s v="dCW01"/>
    <s v="DOCK"/>
    <m/>
    <m/>
    <m/>
    <x v="0"/>
    <x v="1"/>
    <x v="0"/>
    <m/>
    <m/>
    <m/>
    <n v="1700"/>
    <n v="2400"/>
    <n v="1"/>
    <n v="1.7"/>
    <n v="2.4"/>
    <n v="8.1999999999999993"/>
    <n v="1"/>
    <n v="4.08"/>
    <n v="20"/>
  </r>
  <r>
    <n v="1"/>
    <s v="GROUND"/>
    <s v="WEST"/>
    <s v="dCW01"/>
    <s v="DOCK"/>
    <m/>
    <m/>
    <m/>
    <x v="1"/>
    <x v="1"/>
    <x v="1"/>
    <s v="E-GL2"/>
    <m/>
    <m/>
    <n v="1700"/>
    <n v="1200"/>
    <n v="1"/>
    <n v="1.7"/>
    <n v="1.2"/>
    <n v="5.8"/>
    <n v="1"/>
    <n v="2.04"/>
    <n v="14"/>
  </r>
  <r>
    <n v="1"/>
    <s v="GROUND"/>
    <s v="WEST"/>
    <s v="dCW01"/>
    <s v="DOCK"/>
    <m/>
    <m/>
    <m/>
    <x v="1"/>
    <x v="1"/>
    <x v="1"/>
    <s v="E-GL2"/>
    <m/>
    <m/>
    <n v="1700"/>
    <n v="1200"/>
    <n v="1"/>
    <n v="1.7"/>
    <n v="1.2"/>
    <n v="5.8"/>
    <n v="1"/>
    <n v="2.04"/>
    <n v="14"/>
  </r>
  <r>
    <n v="1"/>
    <s v="GROUND"/>
    <s v="WEST"/>
    <s v="dCW01"/>
    <s v="DOCK"/>
    <m/>
    <m/>
    <m/>
    <x v="2"/>
    <x v="1"/>
    <x v="1"/>
    <s v="E-GL2"/>
    <m/>
    <m/>
    <n v="1700"/>
    <n v="1200"/>
    <n v="1"/>
    <n v="1.7"/>
    <n v="1.2"/>
    <n v="5.8"/>
    <n v="1"/>
    <n v="2.04"/>
    <n v="14"/>
  </r>
  <r>
    <n v="1"/>
    <s v="GROUND"/>
    <s v="WEST"/>
    <s v="dCW01"/>
    <s v="DOCK"/>
    <m/>
    <m/>
    <m/>
    <x v="2"/>
    <x v="1"/>
    <x v="1"/>
    <s v="E-GL2"/>
    <m/>
    <m/>
    <n v="1700"/>
    <n v="1200"/>
    <n v="1"/>
    <n v="1.7"/>
    <n v="1.2"/>
    <n v="5.8"/>
    <n v="1"/>
    <n v="2.04"/>
    <n v="14"/>
  </r>
  <r>
    <n v="1"/>
    <s v="GROUND"/>
    <s v="NORTH"/>
    <s v="dCW02"/>
    <s v="DOCK"/>
    <m/>
    <m/>
    <m/>
    <x v="0"/>
    <x v="1"/>
    <x v="0"/>
    <m/>
    <m/>
    <m/>
    <n v="1700"/>
    <n v="8400"/>
    <n v="1"/>
    <n v="1.7"/>
    <n v="8.4"/>
    <n v="20.2"/>
    <n v="1"/>
    <n v="14.28"/>
    <n v="46"/>
  </r>
  <r>
    <n v="1"/>
    <s v="GROUND"/>
    <s v="NORTH"/>
    <s v="dCW02"/>
    <s v="DOCK"/>
    <m/>
    <m/>
    <m/>
    <x v="1"/>
    <x v="1"/>
    <x v="1"/>
    <s v="E-GL2"/>
    <m/>
    <m/>
    <n v="1700"/>
    <n v="1200"/>
    <n v="1"/>
    <n v="1.7"/>
    <n v="1.2"/>
    <n v="5.8"/>
    <n v="1"/>
    <n v="2.04"/>
    <n v="14"/>
  </r>
  <r>
    <n v="1"/>
    <s v="GROUND"/>
    <s v="NORTH"/>
    <s v="dCW02"/>
    <s v="DOCK"/>
    <m/>
    <m/>
    <m/>
    <x v="1"/>
    <x v="1"/>
    <x v="1"/>
    <s v="E-GL2"/>
    <m/>
    <m/>
    <n v="1700"/>
    <n v="1200"/>
    <n v="1"/>
    <n v="1.7"/>
    <n v="1.2"/>
    <n v="5.8"/>
    <n v="1"/>
    <n v="2.04"/>
    <n v="14"/>
  </r>
  <r>
    <n v="1"/>
    <s v="GROUND"/>
    <s v="NORTH"/>
    <s v="dCW02"/>
    <s v="DOCK"/>
    <m/>
    <m/>
    <m/>
    <x v="1"/>
    <x v="1"/>
    <x v="1"/>
    <s v="E-GL2"/>
    <m/>
    <m/>
    <n v="1700"/>
    <n v="1200"/>
    <n v="1"/>
    <n v="1.7"/>
    <n v="1.2"/>
    <n v="5.8"/>
    <n v="1"/>
    <n v="2.04"/>
    <n v="14"/>
  </r>
  <r>
    <n v="1"/>
    <s v="GROUND"/>
    <s v="NORTH"/>
    <s v="dCW02"/>
    <s v="DOCK"/>
    <m/>
    <m/>
    <m/>
    <x v="1"/>
    <x v="1"/>
    <x v="1"/>
    <s v="E-GL2"/>
    <m/>
    <m/>
    <n v="1700"/>
    <n v="1200"/>
    <n v="1"/>
    <n v="1.7"/>
    <n v="1.2"/>
    <n v="5.8"/>
    <n v="1"/>
    <n v="2.04"/>
    <n v="14"/>
  </r>
  <r>
    <n v="1"/>
    <s v="GROUND"/>
    <s v="NORTH"/>
    <s v="dCW02"/>
    <s v="DOCK"/>
    <m/>
    <m/>
    <m/>
    <x v="1"/>
    <x v="1"/>
    <x v="1"/>
    <s v="E-GL2"/>
    <m/>
    <m/>
    <n v="1700"/>
    <n v="1200"/>
    <n v="1"/>
    <n v="1.7"/>
    <n v="1.2"/>
    <n v="5.8"/>
    <n v="1"/>
    <n v="2.04"/>
    <n v="14"/>
  </r>
  <r>
    <n v="1"/>
    <s v="GROUND"/>
    <s v="NORTH"/>
    <s v="dCW02"/>
    <s v="DOCK"/>
    <m/>
    <m/>
    <m/>
    <x v="1"/>
    <x v="1"/>
    <x v="1"/>
    <s v="E-GL2"/>
    <m/>
    <m/>
    <n v="1700"/>
    <n v="1200"/>
    <n v="1"/>
    <n v="1.7"/>
    <n v="1.2"/>
    <n v="5.8"/>
    <n v="1"/>
    <n v="2.04"/>
    <n v="14"/>
  </r>
  <r>
    <n v="1"/>
    <s v="GROUND"/>
    <s v="NORTH"/>
    <s v="dCW02"/>
    <s v="DOCK"/>
    <m/>
    <m/>
    <m/>
    <x v="1"/>
    <x v="1"/>
    <x v="1"/>
    <s v="E-GL2"/>
    <m/>
    <m/>
    <n v="1700"/>
    <n v="1200"/>
    <n v="1"/>
    <n v="1.7"/>
    <n v="1.2"/>
    <n v="5.8"/>
    <n v="1"/>
    <n v="2.04"/>
    <n v="14"/>
  </r>
  <r>
    <n v="1"/>
    <s v="GROUND"/>
    <s v="NORTH"/>
    <s v="dCW02"/>
    <s v="DOCK"/>
    <m/>
    <m/>
    <m/>
    <x v="2"/>
    <x v="1"/>
    <x v="1"/>
    <s v="E-GL2"/>
    <m/>
    <m/>
    <n v="1700"/>
    <n v="1200"/>
    <n v="1"/>
    <n v="1.7"/>
    <n v="1.2"/>
    <n v="5.8"/>
    <n v="1"/>
    <n v="2.04"/>
    <n v="14"/>
  </r>
  <r>
    <n v="1"/>
    <s v="GROUND"/>
    <s v="NORTH"/>
    <s v="dCW02"/>
    <s v="DOCK"/>
    <m/>
    <m/>
    <m/>
    <x v="2"/>
    <x v="1"/>
    <x v="1"/>
    <s v="E-GL2"/>
    <m/>
    <m/>
    <n v="1700"/>
    <n v="1200"/>
    <n v="1"/>
    <n v="1.7"/>
    <n v="1.2"/>
    <n v="5.8"/>
    <n v="1"/>
    <n v="2.04"/>
    <n v="14"/>
  </r>
  <r>
    <n v="1"/>
    <s v="GROUND"/>
    <s v="NORTH"/>
    <s v="dCW02"/>
    <s v="DOCK"/>
    <m/>
    <m/>
    <m/>
    <x v="2"/>
    <x v="1"/>
    <x v="1"/>
    <s v="E-GL2"/>
    <m/>
    <m/>
    <n v="1700"/>
    <n v="1200"/>
    <n v="1"/>
    <n v="1.7"/>
    <n v="1.2"/>
    <n v="5.8"/>
    <n v="1"/>
    <n v="2.04"/>
    <n v="14"/>
  </r>
  <r>
    <n v="1"/>
    <s v="GROUND"/>
    <s v="NORTH"/>
    <s v="dCW02"/>
    <s v="DOCK"/>
    <m/>
    <m/>
    <m/>
    <x v="2"/>
    <x v="1"/>
    <x v="1"/>
    <s v="E-GL2"/>
    <m/>
    <m/>
    <n v="1700"/>
    <n v="1200"/>
    <n v="1"/>
    <n v="1.7"/>
    <n v="1.2"/>
    <n v="5.8"/>
    <n v="1"/>
    <n v="2.04"/>
    <n v="14"/>
  </r>
  <r>
    <n v="1"/>
    <s v="GROUND"/>
    <s v="NORTH"/>
    <s v="dCW02"/>
    <s v="DOCK"/>
    <m/>
    <m/>
    <m/>
    <x v="2"/>
    <x v="1"/>
    <x v="1"/>
    <s v="E-GL2"/>
    <m/>
    <m/>
    <n v="1700"/>
    <n v="1200"/>
    <n v="1"/>
    <n v="1.7"/>
    <n v="1.2"/>
    <n v="5.8"/>
    <n v="1"/>
    <n v="2.04"/>
    <n v="14"/>
  </r>
  <r>
    <n v="1"/>
    <s v="GROUND"/>
    <s v="NORTH"/>
    <s v="dCW02"/>
    <s v="DOCK"/>
    <m/>
    <m/>
    <m/>
    <x v="2"/>
    <x v="1"/>
    <x v="1"/>
    <s v="E-GL2"/>
    <m/>
    <m/>
    <n v="1700"/>
    <n v="1200"/>
    <n v="1"/>
    <n v="1.7"/>
    <n v="1.2"/>
    <n v="5.8"/>
    <n v="1"/>
    <n v="2.04"/>
    <n v="14"/>
  </r>
  <r>
    <n v="1"/>
    <s v="GROUND"/>
    <s v="NORTH"/>
    <s v="dCW02"/>
    <s v="DOCK"/>
    <m/>
    <m/>
    <m/>
    <x v="2"/>
    <x v="1"/>
    <x v="1"/>
    <s v="E-GL2"/>
    <m/>
    <m/>
    <n v="1700"/>
    <n v="1200"/>
    <n v="1"/>
    <n v="1.7"/>
    <n v="1.2"/>
    <n v="5.8"/>
    <n v="1"/>
    <n v="2.04"/>
    <n v="14"/>
  </r>
  <r>
    <n v="1"/>
    <s v="GROUND"/>
    <s v="NORTH"/>
    <s v="dCW02"/>
    <s v="DOCK"/>
    <m/>
    <m/>
    <m/>
    <x v="0"/>
    <x v="1"/>
    <x v="0"/>
    <m/>
    <m/>
    <m/>
    <n v="2700"/>
    <n v="1025"/>
    <n v="1"/>
    <n v="2.7"/>
    <n v="1.0249999999999999"/>
    <n v="7.45"/>
    <n v="1"/>
    <n v="2.7675000000000001"/>
    <n v="18"/>
  </r>
  <r>
    <n v="1"/>
    <s v="GROUND"/>
    <s v="NORTH"/>
    <s v="dCW02"/>
    <s v="DOCK"/>
    <m/>
    <m/>
    <m/>
    <x v="1"/>
    <x v="1"/>
    <x v="5"/>
    <s v="E-GL2"/>
    <m/>
    <s v="100mm decal"/>
    <n v="2700"/>
    <n v="1025"/>
    <n v="1"/>
    <n v="2.7"/>
    <n v="1.0249999999999999"/>
    <n v="7.45"/>
    <n v="1"/>
    <n v="2.7675000000000001"/>
    <n v="18"/>
  </r>
  <r>
    <n v="1"/>
    <s v="GROUND"/>
    <s v="NORTH"/>
    <s v="dCW02"/>
    <s v="DOCK"/>
    <m/>
    <m/>
    <m/>
    <x v="2"/>
    <x v="1"/>
    <x v="5"/>
    <s v="E-GL2"/>
    <m/>
    <s v="100mm decal"/>
    <n v="2700"/>
    <n v="1025"/>
    <n v="1"/>
    <n v="2.7"/>
    <n v="1.0249999999999999"/>
    <n v="7.45"/>
    <n v="1"/>
    <n v="2.7675000000000001"/>
    <n v="18"/>
  </r>
  <r>
    <n v="1"/>
    <s v="GROUND"/>
    <s v="EAST"/>
    <s v="dCW03"/>
    <s v="DOCK"/>
    <m/>
    <m/>
    <m/>
    <x v="0"/>
    <x v="1"/>
    <x v="0"/>
    <m/>
    <m/>
    <m/>
    <n v="1700"/>
    <n v="2400"/>
    <n v="1"/>
    <n v="1.7"/>
    <n v="2.4"/>
    <n v="8.1999999999999993"/>
    <n v="1"/>
    <n v="4.08"/>
    <n v="20"/>
  </r>
  <r>
    <n v="1"/>
    <s v="GROUND"/>
    <s v="EAST"/>
    <s v="dCW03"/>
    <s v="DOCK"/>
    <m/>
    <m/>
    <m/>
    <x v="1"/>
    <x v="1"/>
    <x v="1"/>
    <s v="E-GL2"/>
    <m/>
    <m/>
    <n v="1700"/>
    <n v="1200"/>
    <n v="1"/>
    <n v="1.7"/>
    <n v="1.2"/>
    <n v="5.8"/>
    <n v="1"/>
    <n v="2.04"/>
    <n v="14"/>
  </r>
  <r>
    <n v="1"/>
    <s v="GROUND"/>
    <s v="EAST"/>
    <s v="dCW03"/>
    <s v="DOCK"/>
    <m/>
    <m/>
    <m/>
    <x v="1"/>
    <x v="1"/>
    <x v="1"/>
    <s v="E-GL2"/>
    <m/>
    <m/>
    <n v="1700"/>
    <n v="1200"/>
    <n v="1"/>
    <n v="1.7"/>
    <n v="1.2"/>
    <n v="5.8"/>
    <n v="1"/>
    <n v="2.04"/>
    <n v="14"/>
  </r>
  <r>
    <n v="1"/>
    <s v="GROUND"/>
    <s v="EAST"/>
    <s v="dCW03"/>
    <s v="DOCK"/>
    <m/>
    <m/>
    <m/>
    <x v="2"/>
    <x v="1"/>
    <x v="1"/>
    <s v="E-GL2"/>
    <m/>
    <m/>
    <n v="1700"/>
    <n v="1200"/>
    <n v="1"/>
    <n v="1.7"/>
    <n v="1.2"/>
    <n v="5.8"/>
    <n v="1"/>
    <n v="2.04"/>
    <n v="14"/>
  </r>
  <r>
    <n v="1"/>
    <s v="GROUND"/>
    <s v="EAST"/>
    <s v="dCW03"/>
    <s v="DOCK"/>
    <m/>
    <m/>
    <m/>
    <x v="2"/>
    <x v="1"/>
    <x v="1"/>
    <s v="E-GL2"/>
    <m/>
    <m/>
    <n v="1700"/>
    <n v="1200"/>
    <n v="1"/>
    <n v="1.7"/>
    <n v="1.2"/>
    <n v="5.8"/>
    <n v="1"/>
    <n v="2.04"/>
    <n v="14"/>
  </r>
  <r>
    <n v="1"/>
    <s v="GROUND"/>
    <s v="EAST"/>
    <s v="dCW04"/>
    <s v="DOCK"/>
    <m/>
    <m/>
    <m/>
    <x v="0"/>
    <x v="1"/>
    <x v="0"/>
    <m/>
    <m/>
    <m/>
    <n v="1700"/>
    <n v="2400"/>
    <n v="1"/>
    <n v="1.7"/>
    <n v="2.4"/>
    <n v="8.1999999999999993"/>
    <n v="1"/>
    <n v="4.08"/>
    <n v="20"/>
  </r>
  <r>
    <n v="1"/>
    <s v="GROUND"/>
    <s v="EAST"/>
    <s v="dCW04"/>
    <s v="DOCK"/>
    <m/>
    <m/>
    <m/>
    <x v="1"/>
    <x v="1"/>
    <x v="1"/>
    <s v="E-GL4"/>
    <m/>
    <m/>
    <n v="1700"/>
    <n v="1200"/>
    <n v="1"/>
    <n v="1.7"/>
    <n v="1.2"/>
    <n v="5.8"/>
    <n v="1"/>
    <n v="2.04"/>
    <n v="14"/>
  </r>
  <r>
    <n v="1"/>
    <s v="GROUND"/>
    <s v="EAST"/>
    <s v="dCW04"/>
    <s v="DOCK"/>
    <m/>
    <m/>
    <m/>
    <x v="1"/>
    <x v="1"/>
    <x v="1"/>
    <s v="E-GL4"/>
    <m/>
    <m/>
    <n v="1700"/>
    <n v="1200"/>
    <n v="1"/>
    <n v="1.7"/>
    <n v="1.2"/>
    <n v="5.8"/>
    <n v="1"/>
    <n v="2.04"/>
    <n v="14"/>
  </r>
  <r>
    <n v="1"/>
    <s v="GROUND"/>
    <s v="EAST"/>
    <s v="dCW04"/>
    <s v="DOCK"/>
    <m/>
    <m/>
    <m/>
    <x v="2"/>
    <x v="1"/>
    <x v="1"/>
    <s v="E-GL4"/>
    <m/>
    <m/>
    <n v="1700"/>
    <n v="1200"/>
    <n v="1"/>
    <n v="1.7"/>
    <n v="1.2"/>
    <n v="5.8"/>
    <n v="1"/>
    <n v="2.04"/>
    <n v="14"/>
  </r>
  <r>
    <n v="1"/>
    <s v="GROUND"/>
    <s v="EAST"/>
    <s v="dCW04"/>
    <s v="DOCK"/>
    <m/>
    <m/>
    <m/>
    <x v="2"/>
    <x v="1"/>
    <x v="1"/>
    <s v="E-GL4"/>
    <m/>
    <m/>
    <n v="1700"/>
    <n v="1200"/>
    <n v="1"/>
    <n v="1.7"/>
    <n v="1.2"/>
    <n v="5.8"/>
    <n v="1"/>
    <n v="2.04"/>
    <n v="14"/>
  </r>
  <r>
    <n v="1"/>
    <s v="GROUND"/>
    <s v="SOUTH"/>
    <s v="dCW05"/>
    <s v="DOCK"/>
    <m/>
    <m/>
    <m/>
    <x v="0"/>
    <x v="1"/>
    <x v="0"/>
    <m/>
    <m/>
    <m/>
    <n v="1700"/>
    <n v="2400"/>
    <n v="1"/>
    <n v="1.7"/>
    <n v="2.4"/>
    <n v="8.1999999999999993"/>
    <n v="1"/>
    <n v="4.08"/>
    <n v="20"/>
  </r>
  <r>
    <n v="1"/>
    <s v="GROUND"/>
    <s v="SOUTH"/>
    <s v="dCW05"/>
    <s v="DOCK"/>
    <m/>
    <m/>
    <m/>
    <x v="1"/>
    <x v="1"/>
    <x v="1"/>
    <s v="E-GL4"/>
    <m/>
    <m/>
    <n v="1700"/>
    <n v="1200"/>
    <n v="1"/>
    <n v="1.7"/>
    <n v="1.2"/>
    <n v="5.8"/>
    <n v="1"/>
    <n v="2.04"/>
    <n v="14"/>
  </r>
  <r>
    <n v="1"/>
    <s v="GROUND"/>
    <s v="SOUTH"/>
    <s v="dCW05"/>
    <s v="DOCK"/>
    <m/>
    <m/>
    <m/>
    <x v="1"/>
    <x v="1"/>
    <x v="1"/>
    <s v="E-GL4"/>
    <m/>
    <m/>
    <n v="1700"/>
    <n v="1200"/>
    <n v="1"/>
    <n v="1.7"/>
    <n v="1.2"/>
    <n v="5.8"/>
    <n v="1"/>
    <n v="2.04"/>
    <n v="14"/>
  </r>
  <r>
    <n v="1"/>
    <s v="GROUND"/>
    <s v="SOUTH"/>
    <s v="dCW05"/>
    <s v="DOCK"/>
    <m/>
    <m/>
    <m/>
    <x v="2"/>
    <x v="1"/>
    <x v="1"/>
    <s v="E-GL4"/>
    <m/>
    <m/>
    <n v="1700"/>
    <n v="1200"/>
    <n v="1"/>
    <n v="1.7"/>
    <n v="1.2"/>
    <n v="5.8"/>
    <n v="1"/>
    <n v="2.04"/>
    <n v="14"/>
  </r>
  <r>
    <n v="1"/>
    <s v="GROUND"/>
    <s v="SOUTH"/>
    <s v="dCW05"/>
    <s v="DOCK"/>
    <m/>
    <m/>
    <m/>
    <x v="2"/>
    <x v="1"/>
    <x v="1"/>
    <s v="E-GL4"/>
    <m/>
    <m/>
    <n v="1700"/>
    <n v="1200"/>
    <n v="1"/>
    <n v="1.7"/>
    <n v="1.2"/>
    <n v="5.8"/>
    <n v="1"/>
    <n v="2.04"/>
    <n v="14"/>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r>
    <m/>
    <m/>
    <m/>
    <m/>
    <m/>
    <m/>
    <m/>
    <m/>
    <x v="3"/>
    <x v="2"/>
    <x v="0"/>
    <m/>
    <m/>
    <m/>
    <m/>
    <m/>
    <m/>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000DCC-FF71-48DF-983E-3C993523AF2B}" name="PivotTable9"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2:Y25" firstHeaderRow="1" firstDataRow="1" firstDataCol="1"/>
  <pivotFields count="23">
    <pivotField numFmtId="1" showAll="0"/>
    <pivotField showAll="0"/>
    <pivotField showAll="0"/>
    <pivotField showAll="0"/>
    <pivotField showAll="0"/>
    <pivotField showAll="0"/>
    <pivotField showAll="0"/>
    <pivotField showAll="0"/>
    <pivotField axis="axisRow" showAll="0">
      <items count="5">
        <item x="0"/>
        <item x="2"/>
        <item x="1"/>
        <item x="3"/>
        <item t="default"/>
      </items>
    </pivotField>
    <pivotField axis="axisRow" showAll="0">
      <items count="9">
        <item m="1" x="3"/>
        <item m="1" x="4"/>
        <item m="1" x="5"/>
        <item m="1" x="6"/>
        <item m="1" x="7"/>
        <item x="0"/>
        <item x="1"/>
        <item x="2"/>
        <item t="default"/>
      </items>
    </pivotField>
    <pivotField axis="axisRow" showAll="0">
      <items count="18">
        <item m="1" x="12"/>
        <item m="1" x="14"/>
        <item m="1" x="8"/>
        <item m="1" x="6"/>
        <item m="1" x="10"/>
        <item x="1"/>
        <item m="1" x="15"/>
        <item m="1" x="9"/>
        <item m="1" x="11"/>
        <item m="1" x="7"/>
        <item m="1" x="13"/>
        <item m="1" x="16"/>
        <item x="0"/>
        <item x="2"/>
        <item x="3"/>
        <item x="4"/>
        <item x="5"/>
        <item t="default"/>
      </items>
    </pivotField>
    <pivotField showAll="0"/>
    <pivotField showAll="0"/>
    <pivotField showAll="0"/>
    <pivotField numFmtId="166" showAll="0"/>
    <pivotField numFmtId="166" showAll="0"/>
    <pivotField numFmtId="166" showAll="0"/>
    <pivotField numFmtId="2" showAll="0"/>
    <pivotField numFmtId="2" showAll="0"/>
    <pivotField numFmtId="2" showAll="0"/>
    <pivotField numFmtId="2" showAll="0"/>
    <pivotField dataField="1" numFmtId="2" showAll="0"/>
    <pivotField numFmtId="165" showAll="0"/>
  </pivotFields>
  <rowFields count="3">
    <field x="9"/>
    <field x="8"/>
    <field x="10"/>
  </rowFields>
  <rowItems count="23">
    <i>
      <x v="5"/>
    </i>
    <i r="1">
      <x/>
    </i>
    <i r="2">
      <x v="12"/>
    </i>
    <i r="1">
      <x v="1"/>
    </i>
    <i r="2">
      <x v="5"/>
    </i>
    <i r="2">
      <x v="15"/>
    </i>
    <i r="1">
      <x v="2"/>
    </i>
    <i r="2">
      <x v="5"/>
    </i>
    <i r="2">
      <x v="13"/>
    </i>
    <i r="2">
      <x v="14"/>
    </i>
    <i>
      <x v="6"/>
    </i>
    <i r="1">
      <x/>
    </i>
    <i r="2">
      <x v="12"/>
    </i>
    <i r="1">
      <x v="1"/>
    </i>
    <i r="2">
      <x v="5"/>
    </i>
    <i r="2">
      <x v="16"/>
    </i>
    <i r="1">
      <x v="2"/>
    </i>
    <i r="2">
      <x v="5"/>
    </i>
    <i r="2">
      <x v="16"/>
    </i>
    <i>
      <x v="7"/>
    </i>
    <i r="1">
      <x v="3"/>
    </i>
    <i r="2">
      <x v="12"/>
    </i>
    <i t="grand">
      <x/>
    </i>
  </rowItems>
  <colItems count="1">
    <i/>
  </colItems>
  <dataFields count="1">
    <dataField name="Sum of SQM TOTAL"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70E0F7-1646-4F59-A809-9014B555F461}" name="PivotTable1"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TYPE.">
  <location ref="X1:Z4" firstHeaderRow="0" firstDataRow="1" firstDataCol="1"/>
  <pivotFields count="22">
    <pivotField showAll="0"/>
    <pivotField showAll="0"/>
    <pivotField showAll="0"/>
    <pivotField showAll="0"/>
    <pivotField showAll="0"/>
    <pivotField showAll="0"/>
    <pivotField showAll="0"/>
    <pivotField showAll="0"/>
    <pivotField axis="axisRow" showAll="0">
      <items count="5">
        <item x="0"/>
        <item x="2"/>
        <item x="1"/>
        <item h="1" m="1" x="3"/>
        <item t="default"/>
      </items>
    </pivotField>
    <pivotField showAll="0"/>
    <pivotField showAll="0"/>
    <pivotField showAll="0"/>
    <pivotField showAll="0"/>
    <pivotField showAll="0"/>
    <pivotField showAll="0"/>
    <pivotField showAll="0"/>
    <pivotField showAll="0"/>
    <pivotField numFmtId="2" showAll="0"/>
    <pivotField numFmtId="2" showAll="0"/>
    <pivotField numFmtId="2" showAll="0"/>
    <pivotField dataField="1" numFmtId="2" showAll="0"/>
    <pivotField dataField="1" numFmtId="2" showAll="0"/>
  </pivotFields>
  <rowFields count="1">
    <field x="8"/>
  </rowFields>
  <rowItems count="3">
    <i>
      <x/>
    </i>
    <i>
      <x v="1"/>
    </i>
    <i>
      <x v="2"/>
    </i>
  </rowItems>
  <colFields count="1">
    <field x="-2"/>
  </colFields>
  <colItems count="2">
    <i>
      <x/>
    </i>
    <i i="1">
      <x v="1"/>
    </i>
  </colItems>
  <dataFields count="2">
    <dataField name="QTY." fld="20" baseField="8" baseItem="0"/>
    <dataField name="SQM." fld="21" baseField="8" baseItem="0"/>
  </dataFields>
  <formats count="35">
    <format dxfId="199">
      <pivotArea type="all" dataOnly="0" outline="0" fieldPosition="0"/>
    </format>
    <format dxfId="198">
      <pivotArea outline="0" collapsedLevelsAreSubtotals="1" fieldPosition="0"/>
    </format>
    <format dxfId="197">
      <pivotArea field="8" type="button" dataOnly="0" labelOnly="1" outline="0" axis="axisRow" fieldPosition="0"/>
    </format>
    <format dxfId="196">
      <pivotArea dataOnly="0" labelOnly="1" fieldPosition="0">
        <references count="1">
          <reference field="8" count="0"/>
        </references>
      </pivotArea>
    </format>
    <format dxfId="195">
      <pivotArea dataOnly="0" labelOnly="1" grandRow="1" outline="0" fieldPosition="0"/>
    </format>
    <format dxfId="194">
      <pivotArea dataOnly="0" labelOnly="1" outline="0" fieldPosition="0">
        <references count="1">
          <reference field="4294967294" count="2">
            <x v="0"/>
            <x v="1"/>
          </reference>
        </references>
      </pivotArea>
    </format>
    <format dxfId="193">
      <pivotArea collapsedLevelsAreSubtotals="1" fieldPosition="0">
        <references count="1">
          <reference field="8" count="1">
            <x v="0"/>
          </reference>
        </references>
      </pivotArea>
    </format>
    <format dxfId="192">
      <pivotArea dataOnly="0" labelOnly="1" fieldPosition="0">
        <references count="1">
          <reference field="8" count="1">
            <x v="0"/>
          </reference>
        </references>
      </pivotArea>
    </format>
    <format dxfId="191">
      <pivotArea collapsedLevelsAreSubtotals="1" fieldPosition="0">
        <references count="1">
          <reference field="8" count="1">
            <x v="1"/>
          </reference>
        </references>
      </pivotArea>
    </format>
    <format dxfId="190">
      <pivotArea dataOnly="0" labelOnly="1" fieldPosition="0">
        <references count="1">
          <reference field="8" count="1">
            <x v="1"/>
          </reference>
        </references>
      </pivotArea>
    </format>
    <format dxfId="189">
      <pivotArea collapsedLevelsAreSubtotals="1" fieldPosition="0">
        <references count="1">
          <reference field="8" count="1">
            <x v="1"/>
          </reference>
        </references>
      </pivotArea>
    </format>
    <format dxfId="188">
      <pivotArea dataOnly="0" labelOnly="1" fieldPosition="0">
        <references count="1">
          <reference field="8" count="1">
            <x v="1"/>
          </reference>
        </references>
      </pivotArea>
    </format>
    <format dxfId="187">
      <pivotArea collapsedLevelsAreSubtotals="1" fieldPosition="0">
        <references count="1">
          <reference field="8" count="1">
            <x v="1"/>
          </reference>
        </references>
      </pivotArea>
    </format>
    <format dxfId="186">
      <pivotArea dataOnly="0" labelOnly="1" fieldPosition="0">
        <references count="1">
          <reference field="8" count="1">
            <x v="1"/>
          </reference>
        </references>
      </pivotArea>
    </format>
    <format dxfId="185">
      <pivotArea collapsedLevelsAreSubtotals="1" fieldPosition="0">
        <references count="1">
          <reference field="8" count="1">
            <x v="1"/>
          </reference>
        </references>
      </pivotArea>
    </format>
    <format dxfId="184">
      <pivotArea collapsedLevelsAreSubtotals="1" fieldPosition="0">
        <references count="1">
          <reference field="8" count="1">
            <x v="1"/>
          </reference>
        </references>
      </pivotArea>
    </format>
    <format dxfId="183">
      <pivotArea dataOnly="0" labelOnly="1" fieldPosition="0">
        <references count="1">
          <reference field="8" count="1">
            <x v="1"/>
          </reference>
        </references>
      </pivotArea>
    </format>
    <format dxfId="182">
      <pivotArea collapsedLevelsAreSubtotals="1" fieldPosition="0">
        <references count="1">
          <reference field="8" count="1">
            <x v="1"/>
          </reference>
        </references>
      </pivotArea>
    </format>
    <format dxfId="181">
      <pivotArea dataOnly="0" labelOnly="1" fieldPosition="0">
        <references count="1">
          <reference field="8" count="1">
            <x v="1"/>
          </reference>
        </references>
      </pivotArea>
    </format>
    <format dxfId="180">
      <pivotArea collapsedLevelsAreSubtotals="1" fieldPosition="0">
        <references count="1">
          <reference field="8" count="1">
            <x v="1"/>
          </reference>
        </references>
      </pivotArea>
    </format>
    <format dxfId="179">
      <pivotArea collapsedLevelsAreSubtotals="1" fieldPosition="0">
        <references count="1">
          <reference field="8" count="1">
            <x v="1"/>
          </reference>
        </references>
      </pivotArea>
    </format>
    <format dxfId="178">
      <pivotArea outline="0" collapsedLevelsAreSubtotals="1" fieldPosition="0"/>
    </format>
    <format dxfId="177">
      <pivotArea dataOnly="0" labelOnly="1" fieldPosition="0">
        <references count="1">
          <reference field="8" count="0"/>
        </references>
      </pivotArea>
    </format>
    <format dxfId="176">
      <pivotArea dataOnly="0" labelOnly="1" fieldPosition="0">
        <references count="1">
          <reference field="8" count="0"/>
        </references>
      </pivotArea>
    </format>
    <format dxfId="175">
      <pivotArea outline="0" collapsedLevelsAreSubtotals="1" fieldPosition="0"/>
    </format>
    <format dxfId="174">
      <pivotArea collapsedLevelsAreSubtotals="1" fieldPosition="0">
        <references count="1">
          <reference field="8" count="1">
            <x v="1"/>
          </reference>
        </references>
      </pivotArea>
    </format>
    <format dxfId="173">
      <pivotArea dataOnly="0" labelOnly="1" fieldPosition="0">
        <references count="1">
          <reference field="8" count="1">
            <x v="1"/>
          </reference>
        </references>
      </pivotArea>
    </format>
    <format dxfId="172">
      <pivotArea collapsedLevelsAreSubtotals="1" fieldPosition="0">
        <references count="1">
          <reference field="8" count="1">
            <x v="2"/>
          </reference>
        </references>
      </pivotArea>
    </format>
    <format dxfId="171">
      <pivotArea dataOnly="0" labelOnly="1" fieldPosition="0">
        <references count="1">
          <reference field="8" count="1">
            <x v="2"/>
          </reference>
        </references>
      </pivotArea>
    </format>
    <format dxfId="170">
      <pivotArea field="8" type="button" dataOnly="0" labelOnly="1" outline="0" axis="axisRow" fieldPosition="0"/>
    </format>
    <format dxfId="169">
      <pivotArea dataOnly="0" labelOnly="1" outline="0" fieldPosition="0">
        <references count="1">
          <reference field="4294967294" count="2">
            <x v="0"/>
            <x v="1"/>
          </reference>
        </references>
      </pivotArea>
    </format>
    <format dxfId="168">
      <pivotArea field="8" type="button" dataOnly="0" labelOnly="1" outline="0" axis="axisRow" fieldPosition="0"/>
    </format>
    <format dxfId="167">
      <pivotArea dataOnly="0" labelOnly="1" outline="0" fieldPosition="0">
        <references count="1">
          <reference field="4294967294" count="2">
            <x v="0"/>
            <x v="1"/>
          </reference>
        </references>
      </pivotArea>
    </format>
    <format dxfId="166">
      <pivotArea field="8" type="button" dataOnly="0" labelOnly="1" outline="0" axis="axisRow" fieldPosition="0"/>
    </format>
    <format dxfId="16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2">
  <rv s="0">
    <v>en-AU</v>
    <v>auxj9c</v>
    <v>268435456</v>
    <v>1</v>
    <v>Powered by Refinitiv</v>
    <v>0</v>
    <v>AUD/CNY</v>
    <v>2</v>
    <v>3</v>
    <v>Finance</v>
    <v>4</v>
    <v>4.8531000000000004</v>
    <v>4.4364999999999997</v>
    <v>1.6500000000000001E-2</v>
    <v>3.5399999999999997E-3</v>
    <v>CNY</v>
    <v>AUD</v>
    <v>4.6832000000000003</v>
    <v>Currency Pair</v>
    <v>45079.180497685185</v>
    <v>4.6596000000000002</v>
    <v>Australian Dollar/Chinese Renminbi FX Cross Rate</v>
    <v>4.6597</v>
    <v>4.6604000000000001</v>
    <v>4.6768999999999998</v>
    <v>AUDCNY</v>
    <v>AUD/CNY</v>
  </rv>
  <rv s="1">
    <v>0</v>
  </rv>
  <rv s="0">
    <v>en-AU</v>
    <v>auxr9c</v>
    <v>268435456</v>
    <v>1</v>
    <v>Powered by Refinitiv</v>
    <v>0</v>
    <v>AUD/USD</v>
    <v>2</v>
    <v>5</v>
    <v>Finance</v>
    <v>4</v>
    <v>0.72819999999999996</v>
    <v>0.6169</v>
    <v>4.1000000000000003E-3</v>
    <v>6.2399999999999999E-3</v>
    <v>USD</v>
    <v>AUD</v>
    <v>0.66159999999999997</v>
    <v>Currency Pair</v>
    <v>45079.180497685185</v>
    <v>0.65669999999999995</v>
    <v>Australian Dollar/US Dollar FX Spot Rate</v>
    <v>0.65690000000000004</v>
    <v>0.65700000000000003</v>
    <v>0.66110000000000002</v>
    <v>AUDUSD</v>
    <v>AUD/USD</v>
  </rv>
  <rv s="1">
    <v>2</v>
  </rv>
  <rv s="0">
    <v>en-AU</v>
    <v>auxkbh</v>
    <v>268435456</v>
    <v>1</v>
    <v>Powered by Refinitiv</v>
    <v>0</v>
    <v>AUD/EUR</v>
    <v>2</v>
    <v>6</v>
    <v>Finance</v>
    <v>4</v>
    <v>0.7</v>
    <v>0.59530000000000005</v>
    <v>3.7000000000000002E-3</v>
    <v>6.0619999999999997E-3</v>
    <v>EUR</v>
    <v>AUD</v>
    <v>0.61439999999999995</v>
    <v>Currency Pair</v>
    <v>45079.180543981478</v>
    <v>0.61009999999999998</v>
    <v>Australian Dollar/Euro FX Cross Rate</v>
    <v>0.61029999999999995</v>
    <v>0.61040000000000005</v>
    <v>0.61409999999999998</v>
    <v>AUDEUR</v>
    <v>AUD/EUR</v>
  </rv>
  <rv s="1">
    <v>4</v>
  </rv>
  <rv s="0">
    <v>en-AU</v>
    <v>avykh7</v>
    <v>268435456</v>
    <v>1</v>
    <v>Powered by Refinitiv</v>
    <v>0</v>
    <v>USD/AUD</v>
    <v>2</v>
    <v>7</v>
    <v>Finance</v>
    <v>4</v>
    <v>1.6205000000000001</v>
    <v>1.3727</v>
    <v>-1.01E-2</v>
    <v>-6.6390000000000008E-3</v>
    <v>AUD</v>
    <v>USD</v>
    <v>1.5227999999999999</v>
    <v>Currency Pair</v>
    <v>45079.180497685185</v>
    <v>1.5115000000000001</v>
    <v>US Dollar/Australian Dollar FX Cross Rate</v>
    <v>1.5218</v>
    <v>1.5214000000000001</v>
    <v>1.5113000000000001</v>
    <v>USDAUD</v>
    <v>USD/AUD</v>
  </rv>
  <rv s="1">
    <v>6</v>
  </rv>
  <rv s="0">
    <v>en-AU</v>
    <v>av4uh7</v>
    <v>268435456</v>
    <v>1</v>
    <v>Powered by Refinitiv</v>
    <v>0</v>
    <v>CNY/AUD</v>
    <v>2</v>
    <v>7</v>
    <v>Finance</v>
    <v>4</v>
    <v>0.22520000000000001</v>
    <v>0.2059</v>
    <v>-8.0000000000000004E-4</v>
    <v>-3.7309999999999999E-3</v>
    <v>AUD</v>
    <v>CNY</v>
    <v>0.21460000000000001</v>
    <v>Currency Pair</v>
    <v>45079.180497685185</v>
    <v>0.2135</v>
    <v>Chinese Renminbi/Australian Dollar FX Cross Rate</v>
    <v>0.2145</v>
    <v>0.21440000000000001</v>
    <v>0.21360000000000001</v>
    <v>CNYAUD</v>
    <v>CNY/AUD</v>
  </rv>
  <rv s="1">
    <v>8</v>
  </rv>
  <rv s="0">
    <v>en-AU</v>
    <v>avvtyc</v>
    <v>268435456</v>
    <v>1</v>
    <v>Powered by Refinitiv</v>
    <v>0</v>
    <v>THB/AUD</v>
    <v>2</v>
    <v>7</v>
    <v>Finance</v>
    <v>4</v>
    <v>4.4609999999999997E-2</v>
    <v>3.8830000000000003E-2</v>
    <v>-2.92E-4</v>
    <v>-6.6410000000000002E-3</v>
    <v>AUD</v>
    <v>THB</v>
    <v>4.4010000000000001E-2</v>
    <v>Currency Pair</v>
    <v>45079.180497685185</v>
    <v>4.3700000000000003E-2</v>
    <v>Thai Baht/Australian Dollar FX Cross Rate</v>
    <v>4.3979999999999998E-2</v>
    <v>4.3970000000000002E-2</v>
    <v>4.3679999999999997E-2</v>
    <v>THBAUD</v>
    <v>THB/AUD</v>
  </rv>
  <rv s="1">
    <v>10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8">
    <spb s="0">
      <v>0</v>
      <v>Name</v>
    </spb>
    <spb s="1">
      <v>0</v>
      <v>0</v>
      <v>0</v>
    </spb>
    <spb s="2">
      <v>1</v>
      <v>1</v>
    </spb>
    <spb s="3">
      <v>1</v>
      <v>1</v>
      <v>2</v>
      <v>1</v>
      <v>1</v>
      <v>1</v>
      <v>3</v>
      <v>1</v>
      <v>1</v>
      <v>1</v>
      <v>4</v>
      <v>5</v>
    </spb>
    <spb s="4">
      <v>GMT</v>
    </spb>
    <spb s="3">
      <v>6</v>
      <v>6</v>
      <v>2</v>
      <v>6</v>
      <v>6</v>
      <v>6</v>
      <v>3</v>
      <v>6</v>
      <v>6</v>
      <v>6</v>
      <v>4</v>
      <v>5</v>
    </spb>
    <spb s="3">
      <v>7</v>
      <v>7</v>
      <v>2</v>
      <v>7</v>
      <v>7</v>
      <v>7</v>
      <v>3</v>
      <v>7</v>
      <v>7</v>
      <v>7</v>
      <v>4</v>
      <v>5</v>
    </spb>
    <spb s="3">
      <v>8</v>
      <v>8</v>
      <v>2</v>
      <v>8</v>
      <v>8</v>
      <v>8</v>
      <v>3</v>
      <v>8</v>
      <v>8</v>
      <v>8</v>
      <v>4</v>
      <v>5</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7" formatCode="m/d/yyyy\ h:mm"/>
    </x:dxf>
    <x:dxf>
      <x:numFmt numFmtId="2" formatCode="0.00"/>
    </x:dxf>
  </dxfs>
  <richProperties>
    <rPr n="NumberFormat" t="s"/>
    <rPr n="IsTitleField" t="b"/>
  </richProperties>
  <richStyles>
    <rSty dxfid="0">
      <rpv i="0" xml:space="preserve">_ [$¥-zh-CN]* #,##0.00_ ;_ [$¥-zh-CN]* -#,##0.00_ ;_ [$¥-zh-CN]* "-"??_ ;_ @_ </rpv>
    </rSty>
    <rSty>
      <rpv i="1">1</rpv>
    </rSty>
    <rSty dxfid="1"/>
    <rSty dxfid="2"/>
    <rSty dxfid="3">
      <rpv i="0">0.00</rpv>
    </rSty>
    <rSty dxfid="0">
      <rpv i="0">_([$$-en-US]* #,##0.00_);_([$$-en-US]* (#,##0.00);_([$$-en-US]* "-"??_);_(@_)</rpv>
    </rSty>
    <rSty dxfid="0">
      <rpv i="0">_([$€-x-euro2] * #,##0.00_);_([$€-x-euro2] * (#,##0.00);_([$€-x-euro2] * "-"??_);_(@_)</rpv>
    </rSty>
    <rSty dxfid="0">
      <rpv i="0">_-[$$-en-AU]* #,##0.00_-;-[$$-en-AU]* #,##0.00_-;_-[$$-en-AU]* "-"??_-;_-@_-</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By1" xr10:uid="{C3A968EA-E55D-4F1E-80CC-45AEF36E601E}" sourceName="Price By">
  <extLst>
    <x:ext xmlns:x15="http://schemas.microsoft.com/office/spreadsheetml/2010/11/main" uri="{2F2917AC-EB37-4324-AD4E-5DD8C200BD13}">
      <x15:tableSlicerCache tableId="1"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By 1" xr10:uid="{29340607-505E-403E-8C9F-EF9820E01E04}" cache="Slicer_Price_By1" caption="Price B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06872-5BB6-40F7-9561-CBD173DDC209}" name="BQSUM" displayName="BQSUM" ref="A10:I50" totalsRowShown="0" headerRowDxfId="291" headerRowBorderDxfId="290" tableBorderDxfId="289" totalsRowBorderDxfId="288">
  <autoFilter ref="A10:I50" xr:uid="{19C4578B-CE3B-432F-9704-D33807BC8777}"/>
  <tableColumns count="9">
    <tableColumn id="1" xr3:uid="{DF374677-D861-4A46-AF99-877ED458D32C}" name="CODE" dataDxfId="287"/>
    <tableColumn id="2" xr3:uid="{ED95EDEB-F13D-4E05-9DC4-0256E076E710}" name="DESCRIPTION" dataDxfId="286"/>
    <tableColumn id="3" xr3:uid="{1D6F81BF-BEC8-491A-A29E-794A7A6F7442}" name="QTY1" dataDxfId="285"/>
    <tableColumn id="4" xr3:uid="{71138D75-756E-427B-928B-F0F7734BCD73}" name="UNIT1" dataDxfId="284"/>
    <tableColumn id="5" xr3:uid="{53E14A5F-68D0-44D8-97CD-98B6287821E9}" name="QTY2" dataDxfId="283"/>
    <tableColumn id="6" xr3:uid="{E4D2E96E-6D3D-4FF2-8D0C-8E7397E73C28}" name="UNIT2" dataDxfId="282"/>
    <tableColumn id="7" xr3:uid="{64FAFF74-44BB-4C7C-8157-40CCBB4ED1E2}" name="RATE" dataDxfId="281"/>
    <tableColumn id="8" xr3:uid="{A3959CA1-663F-4E11-A20D-70448F77D3AB}" name="TOTAL" dataDxfId="280">
      <calculatedColumnFormula>IFERROR(IF(ISBLANK(D11),"",C11*G11),G11)</calculatedColumnFormula>
    </tableColumn>
    <tableColumn id="9" xr3:uid="{1B784A55-4E76-4CED-A32B-B045CAC86B81}" name="COMMENTS" dataDxfId="27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05E25A-E576-48A8-8A7F-452CFFA61661}" name="Table4" displayName="Table4" ref="A1:V82" totalsRowShown="0" headerRowDxfId="238" dataDxfId="237">
  <autoFilter ref="A1:V82" xr:uid="{DB813B51-DF68-4A8B-9B45-7D774C532A80}"/>
  <tableColumns count="22">
    <tableColumn id="1" xr3:uid="{E8BDF59D-59DB-43B6-8496-4A57DDA2150E}" name="Code" dataDxfId="236"/>
    <tableColumn id="19" xr3:uid="{221D0412-9137-43FC-90CF-FB3DDFC9120E}" name="Base"/>
    <tableColumn id="13" xr3:uid="{B4C0FEA1-3C0E-4CCE-916C-DB36B3E028C8}" name="Job Sqm?" dataDxfId="235"/>
    <tableColumn id="2" xr3:uid="{6E7F89F9-DD0D-40D6-9D66-12F4E02D12A8}" name="Façade Type" dataDxfId="234"/>
    <tableColumn id="4" xr3:uid="{A631114A-D8A6-4E80-BB7F-45EAC228D7F5}" name="Description" dataDxfId="233"/>
    <tableColumn id="5" xr3:uid="{4AF4C3F0-BAC2-4FDF-973F-026D371B556C}" name="Sqm" dataDxfId="232"/>
    <tableColumn id="23" xr3:uid="{569BA64D-B0F1-4D17-B38B-54E3026A12D7}" name="Cbm" dataDxfId="231"/>
    <tableColumn id="6" xr3:uid="{061DB2F0-B844-4DD7-9A58-E59BAFF22EB6}" name="Count" dataDxfId="230"/>
    <tableColumn id="7" xr3:uid="{256415A4-AB86-4DCF-BE8C-AE72D8987D12}" name="Lm" dataDxfId="229"/>
    <tableColumn id="9" xr3:uid="{5AB7589B-9B40-4110-9960-0530D3639347}" name="Rate" dataDxfId="228"/>
    <tableColumn id="17" xr3:uid="{CECC9197-0470-4DB5-A583-51FFFDA72BF8}" name="Unit" dataDxfId="227"/>
    <tableColumn id="10" xr3:uid="{131E4C66-11DA-4005-9657-F89A6BB6630E}" name="Total" dataDxfId="226">
      <calculatedColumnFormula>IF([5]!Table4[[#This Row],[Unit]]="/Sqm",[5]!Table4[[#This Row],[Sqm]]*[5]!Table4[[#This Row],[Rate]],IF([5]!Table4[[#This Row],[Unit]]="/Count",[5]!Table4[[#This Row],[Count]]*[5]!Table4[[#This Row],[Rate]],IF([5]!Table4[[#This Row],[Unit]]="/Lm",[5]!Table4[[#This Row],[Lm]]*[5]!Table4[[#This Row],[Rate]],IF([5]!Table4[[#This Row],[Unit]]="/Cbm",[5]!Table4[[#This Row],[Cbm]]*[5]!Table4[[#This Row],[Rate]],0))))</calculatedColumnFormula>
    </tableColumn>
    <tableColumn id="14" xr3:uid="{CB5CFBDE-F22A-48DA-BB74-60F059F6FE1C}" name="Install Rate" dataDxfId="225"/>
    <tableColumn id="15" xr3:uid="{747CDF2D-51ED-45D1-8B8E-33E9DCEB5892}" name="Install Unit" dataDxfId="224"/>
    <tableColumn id="18" xr3:uid="{EA47E1EA-0967-4D8E-8441-33B5A23AF174}" name="Install Total" dataDxfId="223">
      <calculatedColumnFormula>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calculatedColumnFormula>
    </tableColumn>
    <tableColumn id="24" xr3:uid="{E287213B-A4CA-4668-83F3-C018043456DD}" name="Site Total" dataDxfId="222">
      <calculatedColumnFormula>IF([5]!Table4[[#This Row],[Job Sqm?]]="Yes",SUM('[5]TENDER SUMMARY'!$F$102:$F$111)/SQM*[5]!Table4[[#This Row],[Sqm]],0)</calculatedColumnFormula>
    </tableColumn>
    <tableColumn id="21" xr3:uid="{697EF756-BD8F-4E53-BD49-AC9B81E3A169}" name="O/H Total" dataDxfId="221">
      <calculatedColumnFormula>IF([5]!Table4[[#This Row],[Job Sqm?]]="Yes",'[5]EXECUTIVE SUMMARY'!$D$26*[5]!Table4[[#This Row],[Sqm]],0)</calculatedColumnFormula>
    </tableColumn>
    <tableColumn id="22" xr3:uid="{F97A8A7E-B6CE-4FDA-8DA3-6036AEBDE57E}" name="Margin Total" dataDxfId="220">
      <calculatedColumnFormula>_xlfn.XLOOKUP([5]!Table4[[#This Row],[Code]],'[5]TENDER SUMMARY'!$A$16:$A$152,'[5]TENDER SUMMARY'!$E$16:$E$152)*([5]!Table4[[#This Row],[Total]]+[5]!Table4[[#This Row],[Install Total]])</calculatedColumnFormula>
    </tableColumn>
    <tableColumn id="20" xr3:uid="{1B59BC74-D208-4D17-A3C9-2E19BB6AB874}" name="Overall Total" dataDxfId="219">
      <calculatedColumnFormula>IFERROR([5]!Table4[[#This Row],[Total]]+[5]!Table4[[#This Row],[Install Total]]+[5]!Table4[[#This Row],[Margin Total]]+[5]!Table4[[#This Row],[O/H Total]]+[5]!Table4[[#This Row],[Site Total]],"")</calculatedColumnFormula>
    </tableColumn>
    <tableColumn id="11" xr3:uid="{F2C5BE10-A5D5-468C-AB74-7C11D816301F}" name="Price By" dataDxfId="218"/>
    <tableColumn id="16" xr3:uid="{E800536B-D90B-4D24-A780-01C55B1D783D}" name="Price Realibility" dataDxfId="217"/>
    <tableColumn id="8" xr3:uid="{546D6121-6E70-40AB-8E8E-D9604C6CD375}" name="TFG Comments" dataDxfId="216"/>
  </tableColumns>
  <tableStyleInfo name="TableStyleLight8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7021853-A75B-45D2-9150-E7E2BB765C81}" name="MBQ" displayName="MBQ" ref="A10:W974" headerRowDxfId="164" dataDxfId="162" headerRowBorderDxfId="163" tableBorderDxfId="161" totalsRowBorderDxfId="160" dataCellStyle="Comma">
  <autoFilter ref="A10:W974" xr:uid="{37021853-A75B-45D2-9150-E7E2BB765C81}">
    <filterColumn colId="8">
      <filters>
        <filter val="PANEL"/>
      </filters>
    </filterColumn>
    <filterColumn colId="9">
      <filters>
        <filter val="F"/>
        <filter val="F/F/F"/>
      </filters>
    </filterColumn>
    <filterColumn colId="10">
      <filters>
        <filter val="CW"/>
      </filters>
    </filterColumn>
  </autoFilter>
  <tableColumns count="23">
    <tableColumn id="1" xr3:uid="{2B4B7C19-CCA0-4E31-8408-644D0DEC5EB7}" name="MULTIPLIER" totalsRowLabel="Total" dataDxfId="159" totalsRowDxfId="158" dataCellStyle="Comma"/>
    <tableColumn id="2" xr3:uid="{F10D0FC5-7821-4E9B-9303-30F0AFAF456A}" name="LEVEL" dataDxfId="157"/>
    <tableColumn id="3" xr3:uid="{962D22B6-4BF5-4D53-B959-F81B6924E556}" name="ELEVATION" dataDxfId="156"/>
    <tableColumn id="4" xr3:uid="{7E625C7A-435C-43C7-92BC-9E1A5EDD3937}" name="TAKEOFF REF" dataDxfId="155"/>
    <tableColumn id="46" xr3:uid="{6FF08357-8A80-4D64-98FB-D0860E143ADC}" name="LOCATION" dataDxfId="154" totalsRowDxfId="153"/>
    <tableColumn id="5" xr3:uid="{7AD845C7-E70C-462F-96E3-ACFBDC856D5B}" name="ACCOUSTIC " dataDxfId="152" totalsRowDxfId="151"/>
    <tableColumn id="6" xr3:uid="{FF0DACDF-D2FF-4677-A55A-D08C853E5D72}" name="UVAL" dataDxfId="150" totalsRowDxfId="149"/>
    <tableColumn id="7" xr3:uid="{F11D2E55-D688-4E70-8813-400568671F1B}" name="SHGC" dataDxfId="148" totalsRowDxfId="147"/>
    <tableColumn id="8" xr3:uid="{54AEDE18-AFC2-4AFD-A7D4-B1CEC318DFBB}" name="MEASURE TYPE" dataDxfId="146" totalsRowDxfId="145"/>
    <tableColumn id="9" xr3:uid="{BA1545B5-CDC5-4E2B-A8F3-112764A21E23}" name="FAÇADE TYPE" dataDxfId="144" totalsRowDxfId="143"/>
    <tableColumn id="10" xr3:uid="{32913CCF-A3B8-4E4B-B744-10443EC53298}" name="INFILL TYPE" dataDxfId="142" totalsRowDxfId="141"/>
    <tableColumn id="11" xr3:uid="{13C35E10-1EE2-4227-997E-9A4C769725CD}" name="GLASS/FILLING" dataDxfId="140" totalsRowDxfId="139"/>
    <tableColumn id="12" xr3:uid="{6424E97E-F996-411A-99E4-8ACF4473E8C8}" name="DESCRIPTION" dataDxfId="138" totalsRowDxfId="137"/>
    <tableColumn id="13" xr3:uid="{999DD320-12C2-4722-A9A7-AC0E67B4B7CA}" name="COMMENTS" dataDxfId="136" totalsRowDxfId="135"/>
    <tableColumn id="14" xr3:uid="{F8C316E4-2877-46FD-AC94-3E9BDC9A7818}" name="HEIGHT (mm)" dataDxfId="134" totalsRowDxfId="133" dataCellStyle="Comma"/>
    <tableColumn id="15" xr3:uid="{7A0D53A8-7E23-4675-BD13-AC3776FD48C6}" name="WIDTH (mm)" dataDxfId="132" totalsRowDxfId="131" dataCellStyle="Comma"/>
    <tableColumn id="18" xr3:uid="{18099A69-9BB4-46AE-9442-077B2477B799}" name="QTY" dataDxfId="130" totalsRowDxfId="129" dataCellStyle="Comma"/>
    <tableColumn id="36" xr3:uid="{69614FA3-E879-468D-B795-80DF4E648ED4}" name="HEIGHT TOTAL (m)" dataDxfId="128" totalsRowDxfId="127" dataCellStyle="Normal 3 2">
      <calculatedColumnFormula>MBQ[[#This Row],[HEIGHT (mm)]]*MBQ[[#This Row],[QTY TOTAL]]/1000</calculatedColumnFormula>
    </tableColumn>
    <tableColumn id="37" xr3:uid="{0CC740D7-FFE8-4C44-BF38-46F75BF12D83}" name="WIDTH TOTAL (m)" dataDxfId="126" totalsRowDxfId="125" dataCellStyle="Normal 3 2">
      <calculatedColumnFormula>MBQ[[#This Row],[WIDTH (mm)]]*MBQ[[#This Row],[QTY TOTAL]]/1000</calculatedColumnFormula>
    </tableColumn>
    <tableColumn id="44" xr3:uid="{84839A70-6901-408D-A706-93C833D1A949}" name="PERIMETER TOTAL (m)" dataDxfId="124" totalsRowDxfId="123" dataCellStyle="Comma">
      <calculatedColumnFormula>(MBQ[[#This Row],[HEIGHT (mm)]]+MBQ[[#This Row],[WIDTH (mm)]])/1000*2*MBQ[[#This Row],[QTY TOTAL]]</calculatedColumnFormula>
    </tableColumn>
    <tableColumn id="40" xr3:uid="{2E4A7A80-1A16-4FBC-9F88-B8F651585660}" name="QTY TOTAL" dataDxfId="122" totalsRowDxfId="121" dataCellStyle="Comma">
      <calculatedColumnFormula>MBQ[[#This Row],[MULTIPLIER]]*MBQ[[#This Row],[QTY]]</calculatedColumnFormula>
    </tableColumn>
    <tableColumn id="42" xr3:uid="{BB3D3DF1-659C-4CD2-9088-BCF9325ADFDF}" name="SQM TOTAL" dataDxfId="120" totalsRowDxfId="119" dataCellStyle="Comma">
      <calculatedColumnFormula>MBQ[[#This Row],[HEIGHT (mm)]]/1000*MBQ[[#This Row],[WIDTH (mm)]]/1000*MBQ[[#This Row],[QTY TOTAL]]</calculatedColumnFormula>
    </tableColumn>
    <tableColumn id="16" xr3:uid="{CC4C8E6F-DE7A-40FC-A971-0CD3C0C48203}" name="Column1" dataDxfId="118" dataCellStyle="Comma">
      <calculatedColumnFormula>ROUNDUP(MBQ[[#This Row],[HEIGHT (mm)]]/450*MBQ[[#This Row],[QTY]]*2,0)+ROUNDUP(MBQ[[#This Row],[WIDTH (mm)]]/450*MBQ[[#This Row],[QTY]]*2,0)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1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5.xml"/><Relationship Id="rId7" Type="http://schemas.openxmlformats.org/officeDocument/2006/relationships/ctrlProp" Target="../ctrlProps/ctrlProp3.xml"/><Relationship Id="rId2" Type="http://schemas.openxmlformats.org/officeDocument/2006/relationships/printerSettings" Target="../printerSettings/printerSettings13.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table" Target="../tables/table3.xml"/><Relationship Id="rId4" Type="http://schemas.openxmlformats.org/officeDocument/2006/relationships/vmlDrawing" Target="../drawings/vmlDrawing3.vml"/><Relationship Id="rId9"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hyperlink" Target="http://aawglobal.com.au/terms-and-condi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134EB-4D8E-44B8-85D8-53817645812B}">
  <sheetPr codeName="Sheet3">
    <tabColor rgb="FFFF0000"/>
    <pageSetUpPr fitToPage="1"/>
  </sheetPr>
  <dimension ref="A1:N41"/>
  <sheetViews>
    <sheetView topLeftCell="A15" workbookViewId="0">
      <selection activeCell="B27" sqref="B27"/>
    </sheetView>
  </sheetViews>
  <sheetFormatPr defaultColWidth="9.140625" defaultRowHeight="12.75"/>
  <cols>
    <col min="1" max="1" width="44.85546875" style="56" customWidth="1"/>
    <col min="2" max="2" width="26.42578125" style="75" customWidth="1"/>
    <col min="3" max="3" width="16" style="52" customWidth="1"/>
    <col min="4" max="4" width="17.85546875" style="52" bestFit="1" customWidth="1"/>
    <col min="5" max="5" width="4.85546875" style="52" customWidth="1"/>
    <col min="6" max="6" width="25.85546875" style="52" customWidth="1"/>
    <col min="7" max="9" width="20.42578125" style="52" customWidth="1"/>
    <col min="10" max="10" width="3.42578125" style="52" customWidth="1"/>
    <col min="11" max="11" width="3" style="74" customWidth="1"/>
    <col min="12" max="13" width="9.140625" style="56" customWidth="1"/>
    <col min="14" max="14" width="9.42578125" style="56" customWidth="1"/>
    <col min="15" max="16384" width="9.140625" style="56"/>
  </cols>
  <sheetData>
    <row r="1" spans="1:14">
      <c r="A1" s="50" t="s">
        <v>0</v>
      </c>
      <c r="B1" s="51" t="str" cm="1">
        <f t="array" aca="1" ref="B1" ca="1">LEFT(MID(CELL("filename"),SEARCH("[",CELL("filename"))+1, SEARCH("]",CELL("filename"))-SEARCH("[",CELL("filename"))-1),5)</f>
        <v>T1112</v>
      </c>
      <c r="F1" s="50" t="s">
        <v>1</v>
      </c>
      <c r="G1" s="53" t="s">
        <v>2</v>
      </c>
      <c r="H1" s="53" t="s">
        <v>2</v>
      </c>
      <c r="I1" s="53" t="s">
        <v>2</v>
      </c>
      <c r="K1" s="54"/>
      <c r="L1" s="55"/>
      <c r="M1" s="55"/>
      <c r="N1" s="55"/>
    </row>
    <row r="2" spans="1:14">
      <c r="A2" s="50" t="s">
        <v>3</v>
      </c>
      <c r="B2" s="57" t="str" cm="1">
        <f t="array" aca="1" ref="B2" ca="1">IFERROR(MID(MID(CELL("filename"),SEARCH("[",CELL("filename"))+1, SEARCH("]",CELL("filename"))-SEARCH("[",CELL("filename"))-1),FIND(" - ",MID(CELL("filename"),SEARCH("[",CELL("filename"))+1, SEARCH("]",CELL("filename"))-SEARCH("[",CELL("filename"))-1))+LEN(" - "),FIND(" - Budget",MID(CELL("filename"),SEARCH("[",CELL("filename"))+1, SEARCH("]",CELL("filename"))-SEARCH("[",CELL("filename"))-1))-FIND(" - ",MID(CELL("filename"),SEARCH("[",CELL("filename"))+1, SEARCH("]",CELL("filename"))-SEARCH("[",CELL("filename"))-1))-LEN(" - ")), "")</f>
        <v/>
      </c>
      <c r="F2" s="58" t="s">
        <v>4</v>
      </c>
      <c r="G2" s="59"/>
      <c r="H2" s="59"/>
      <c r="I2" s="59"/>
      <c r="K2" s="54"/>
      <c r="L2" s="55"/>
      <c r="M2" s="55"/>
      <c r="N2" s="55"/>
    </row>
    <row r="3" spans="1:14">
      <c r="A3" s="50" t="s">
        <v>5</v>
      </c>
      <c r="B3" s="51" t="s">
        <v>6</v>
      </c>
      <c r="F3" s="58" t="s">
        <v>7</v>
      </c>
      <c r="G3" s="60" t="e" vm="1">
        <v>#VALUE!</v>
      </c>
      <c r="H3" s="60" t="e" vm="2">
        <v>#VALUE!</v>
      </c>
      <c r="I3" s="60" t="e" vm="3">
        <v>#VALUE!</v>
      </c>
      <c r="K3" s="54"/>
      <c r="L3" s="55"/>
      <c r="M3" s="55"/>
      <c r="N3" s="55"/>
    </row>
    <row r="4" spans="1:14">
      <c r="A4" s="50" t="s">
        <v>8</v>
      </c>
      <c r="B4" s="51" t="s">
        <v>9</v>
      </c>
      <c r="F4" s="58" t="s">
        <v>10</v>
      </c>
      <c r="G4" s="61">
        <v>4.8</v>
      </c>
      <c r="H4" s="61"/>
      <c r="I4" s="61"/>
      <c r="K4" s="54"/>
      <c r="L4" s="55"/>
      <c r="M4" s="55"/>
      <c r="N4" s="55"/>
    </row>
    <row r="5" spans="1:14">
      <c r="A5" s="55"/>
      <c r="B5" s="55"/>
      <c r="F5" s="58" t="s">
        <v>11</v>
      </c>
      <c r="G5" s="62">
        <f>G2*G4</f>
        <v>0</v>
      </c>
      <c r="H5" s="62">
        <f>H2*H4</f>
        <v>0</v>
      </c>
      <c r="I5" s="62">
        <f>I2*I4</f>
        <v>0</v>
      </c>
      <c r="K5" s="54"/>
      <c r="L5" s="55"/>
      <c r="M5" s="55"/>
      <c r="N5" s="55"/>
    </row>
    <row r="6" spans="1:14">
      <c r="A6" s="50" t="s">
        <v>12</v>
      </c>
      <c r="B6" s="63" t="s">
        <v>13</v>
      </c>
      <c r="K6" s="54"/>
      <c r="L6" s="55"/>
      <c r="M6" s="55"/>
      <c r="N6" s="55"/>
    </row>
    <row r="7" spans="1:14" s="55" customFormat="1">
      <c r="A7" s="50" t="s">
        <v>14</v>
      </c>
      <c r="B7" s="63">
        <v>0</v>
      </c>
      <c r="C7" s="64"/>
      <c r="F7" s="58" t="s">
        <v>15</v>
      </c>
      <c r="G7" s="65">
        <v>44362</v>
      </c>
      <c r="H7" s="65">
        <v>44362</v>
      </c>
      <c r="I7" s="65">
        <v>44362</v>
      </c>
      <c r="K7" s="54"/>
    </row>
    <row r="8" spans="1:14" s="55" customFormat="1">
      <c r="A8" s="50" t="s">
        <v>16</v>
      </c>
      <c r="B8" s="66">
        <v>44838</v>
      </c>
      <c r="F8" s="58" t="s">
        <v>17</v>
      </c>
      <c r="G8" s="61">
        <f t="array" ref="G8">_FV(G3,"Price")</f>
        <v>4.6768999999999998</v>
      </c>
      <c r="H8" s="61">
        <f t="array" ref="H8">_FV(H3,"Price")</f>
        <v>0.66110000000000002</v>
      </c>
      <c r="I8" s="61">
        <f t="array" ref="I8">_FV(I3,"Price")</f>
        <v>0.61409999999999998</v>
      </c>
      <c r="K8" s="54"/>
    </row>
    <row r="9" spans="1:14" s="55" customFormat="1" ht="25.5">
      <c r="B9" s="55" t="str" cm="1">
        <f t="array" aca="1" ref="B9" ca="1">IFERROR(MID(MID(CELL("filename"),SEARCH("[",CELL("filename"))+1, SEARCH("]",CELL("filename"))-SEARCH("[",CELL("filename"))-1),FIND(" - ",MID(CELL("filename"),SEARCH("[",CELL("filename"))+1, SEARCH("]",CELL("filename"))-SEARCH("[",CELL("filename"))-1))+LEN(" - "),FIND(" - ",MID(CELL("filename"),SEARCH("[",CELL("filename"))+1, SEARCH("]",CELL("filename"))-SEARCH("[",CELL("filename"))-1))-FIND(" - ",MID(CELL("filename"),SEARCH("[",CELL("filename"))+1, SEARCH("]",CELL("filename"))-SEARCH("[",CELL("filename"))-1))-LEN(" - ")), "")</f>
        <v/>
      </c>
      <c r="F9" s="58" t="s">
        <v>18</v>
      </c>
      <c r="G9" s="60">
        <f>G5/G8</f>
        <v>0</v>
      </c>
      <c r="H9" s="60">
        <f>H5/H8</f>
        <v>0</v>
      </c>
      <c r="I9" s="60">
        <f>I5/I8</f>
        <v>0</v>
      </c>
      <c r="K9" s="54"/>
    </row>
    <row r="10" spans="1:14" s="55" customFormat="1">
      <c r="F10" s="58" t="s">
        <v>19</v>
      </c>
      <c r="G10" s="60">
        <f>G2-G9</f>
        <v>0</v>
      </c>
      <c r="H10" s="60">
        <f>H2-H9</f>
        <v>0</v>
      </c>
      <c r="I10" s="60">
        <f>I2-I9</f>
        <v>0</v>
      </c>
      <c r="K10" s="54"/>
    </row>
    <row r="11" spans="1:14" s="55" customFormat="1">
      <c r="F11" s="67"/>
      <c r="G11" s="67"/>
      <c r="K11" s="54"/>
    </row>
    <row r="12" spans="1:14" s="55" customFormat="1">
      <c r="A12" s="58" t="s">
        <v>20</v>
      </c>
      <c r="B12" s="68" t="s">
        <v>21</v>
      </c>
      <c r="C12" s="68" t="s">
        <v>22</v>
      </c>
      <c r="D12" s="68" t="s">
        <v>23</v>
      </c>
      <c r="F12" s="58" t="s">
        <v>24</v>
      </c>
      <c r="G12" s="60">
        <f>B27/'TENDER SUMMARY'!G7</f>
        <v>1397.7478892589763</v>
      </c>
      <c r="K12" s="54"/>
    </row>
    <row r="13" spans="1:14" s="55" customFormat="1">
      <c r="A13" s="69" t="s">
        <v>25</v>
      </c>
      <c r="B13" s="70">
        <f>SUMIFS('TENDER SUMMARY'!F:F,'TENDER SUMMARY'!A:A,"1-*")</f>
        <v>0</v>
      </c>
      <c r="C13" s="71">
        <f>IF(B13&gt;0,B13/$B$27,0)</f>
        <v>0</v>
      </c>
      <c r="D13" s="70">
        <f>B13/'TENDER SUMMARY'!$G$7</f>
        <v>0</v>
      </c>
      <c r="E13" s="52"/>
      <c r="F13" s="67"/>
      <c r="G13" s="67"/>
    </row>
    <row r="14" spans="1:14" s="55" customFormat="1">
      <c r="A14" s="69" t="s">
        <v>26</v>
      </c>
      <c r="B14" s="70">
        <f>SUMIFS('TENDER SUMMARY'!F:F,'TENDER SUMMARY'!A:A,"2-*")</f>
        <v>193616.63999999998</v>
      </c>
      <c r="C14" s="71">
        <f t="shared" ref="C14:C25" si="0">IF(B14&gt;0,B14/$B$27,0)</f>
        <v>0.23965472485223252</v>
      </c>
      <c r="D14" s="70">
        <f>B14/'TENDER SUMMARY'!$G$7</f>
        <v>334.97688581314878</v>
      </c>
      <c r="E14" s="52"/>
      <c r="F14" s="409" t="s">
        <v>27</v>
      </c>
      <c r="G14" s="410"/>
      <c r="H14" s="410"/>
      <c r="I14" s="411"/>
    </row>
    <row r="15" spans="1:14" s="55" customFormat="1">
      <c r="A15" s="69" t="s">
        <v>28</v>
      </c>
      <c r="B15" s="70">
        <f>SUMIFS('TENDER SUMMARY'!F:F,'TENDER SUMMARY'!A:A,"3-*")</f>
        <v>7280</v>
      </c>
      <c r="C15" s="71">
        <f t="shared" si="0"/>
        <v>9.0110353992521146E-3</v>
      </c>
      <c r="D15" s="70">
        <f>B15/'TENDER SUMMARY'!$G$7</f>
        <v>12.59515570934256</v>
      </c>
      <c r="E15" s="52"/>
      <c r="F15" s="412"/>
      <c r="G15" s="413"/>
      <c r="H15" s="413"/>
      <c r="I15" s="413"/>
    </row>
    <row r="16" spans="1:14" s="55" customFormat="1">
      <c r="A16" s="69" t="s">
        <v>29</v>
      </c>
      <c r="B16" s="70">
        <f>SUMIFS('TENDER SUMMARY'!F:F,'TENDER SUMMARY'!A:A,"4-*")</f>
        <v>61600</v>
      </c>
      <c r="C16" s="71">
        <f t="shared" si="0"/>
        <v>7.624722260905635E-2</v>
      </c>
      <c r="D16" s="70">
        <f>B16/'TENDER SUMMARY'!$G$7</f>
        <v>106.57439446366782</v>
      </c>
      <c r="E16" s="52"/>
      <c r="F16" s="413"/>
      <c r="G16" s="413"/>
      <c r="H16" s="413"/>
      <c r="I16" s="413"/>
    </row>
    <row r="17" spans="1:11" s="55" customFormat="1">
      <c r="A17" s="69" t="s">
        <v>30</v>
      </c>
      <c r="B17" s="70">
        <f>SUMIFS('TENDER SUMMARY'!F:F,'TENDER SUMMARY'!A:A,"5-*")</f>
        <v>26084.584756363634</v>
      </c>
      <c r="C17" s="71">
        <f t="shared" si="0"/>
        <v>3.2286966567910004E-2</v>
      </c>
      <c r="D17" s="70">
        <f>B17/'TENDER SUMMARY'!$G$7</f>
        <v>45.12903937087134</v>
      </c>
      <c r="E17" s="52"/>
      <c r="F17" s="413"/>
      <c r="G17" s="413"/>
      <c r="H17" s="413"/>
      <c r="I17" s="413"/>
    </row>
    <row r="18" spans="1:11" s="55" customFormat="1">
      <c r="A18" s="69" t="s">
        <v>31</v>
      </c>
      <c r="B18" s="70">
        <f>SUMIFS('TENDER SUMMARY'!F:F,'TENDER SUMMARY'!A:A,"6-*")</f>
        <v>92825.600000000006</v>
      </c>
      <c r="C18" s="71">
        <f t="shared" si="0"/>
        <v>0.11489763290615621</v>
      </c>
      <c r="D18" s="70">
        <f>B18/'TENDER SUMMARY'!$G$7</f>
        <v>160.59792387543254</v>
      </c>
      <c r="E18" s="52"/>
      <c r="F18" s="413"/>
      <c r="G18" s="413"/>
      <c r="H18" s="413"/>
      <c r="I18" s="413"/>
    </row>
    <row r="19" spans="1:11" s="55" customFormat="1">
      <c r="A19" s="69" t="s">
        <v>32</v>
      </c>
      <c r="B19" s="70">
        <f>SUMIFS('TENDER SUMMARY'!F:F,'TENDER SUMMARY'!A:A,"7-*")</f>
        <v>148996.80319999999</v>
      </c>
      <c r="C19" s="71">
        <f t="shared" si="0"/>
        <v>0.1844252016498078</v>
      </c>
      <c r="D19" s="70">
        <f>B19/'TENDER SUMMARY'!$G$7</f>
        <v>257.77993633217994</v>
      </c>
      <c r="E19" s="52"/>
      <c r="F19" s="413"/>
      <c r="G19" s="413"/>
      <c r="H19" s="413"/>
      <c r="I19" s="413"/>
    </row>
    <row r="20" spans="1:11" s="55" customFormat="1">
      <c r="A20" s="69" t="s">
        <v>33</v>
      </c>
      <c r="B20" s="70">
        <f>SUMIFS('TENDER SUMMARY'!F:F,'TENDER SUMMARY'!A:A,"8-*")</f>
        <v>80427.8</v>
      </c>
      <c r="C20" s="71">
        <f t="shared" si="0"/>
        <v>9.9551889132413363E-2</v>
      </c>
      <c r="D20" s="70">
        <f>B20/'TENDER SUMMARY'!$G$7</f>
        <v>139.14844290657439</v>
      </c>
      <c r="E20" s="52"/>
      <c r="F20" s="413"/>
      <c r="G20" s="413"/>
      <c r="H20" s="413"/>
      <c r="I20" s="413"/>
    </row>
    <row r="21" spans="1:11" s="55" customFormat="1">
      <c r="A21" s="69" t="s">
        <v>34</v>
      </c>
      <c r="B21" s="70">
        <f>SUMIFS('TENDER SUMMARY'!F:F,'TENDER SUMMARY'!A:A,"9-*")</f>
        <v>123312</v>
      </c>
      <c r="C21" s="71">
        <f t="shared" si="0"/>
        <v>0.15263307653194735</v>
      </c>
      <c r="D21" s="70">
        <f>B21/'TENDER SUMMARY'!$G$7</f>
        <v>213.34256055363321</v>
      </c>
      <c r="E21" s="52"/>
      <c r="F21" s="413"/>
      <c r="G21" s="413"/>
      <c r="H21" s="413"/>
      <c r="I21" s="413"/>
    </row>
    <row r="22" spans="1:11" s="55" customFormat="1">
      <c r="A22" s="69" t="s">
        <v>35</v>
      </c>
      <c r="B22" s="70">
        <f>SUMIFS('TENDER SUMMARY'!F:F,'TENDER SUMMARY'!A:A,"10-*")</f>
        <v>0</v>
      </c>
      <c r="C22" s="71">
        <f t="shared" si="0"/>
        <v>0</v>
      </c>
      <c r="D22" s="70">
        <f>B22/'TENDER SUMMARY'!$G$7</f>
        <v>0</v>
      </c>
      <c r="E22" s="52"/>
      <c r="F22" s="413"/>
      <c r="G22" s="413"/>
      <c r="H22" s="413"/>
      <c r="I22" s="413"/>
    </row>
    <row r="23" spans="1:11" s="55" customFormat="1">
      <c r="A23" s="69" t="s">
        <v>36</v>
      </c>
      <c r="B23" s="70">
        <f>SUMIFS('TENDER SUMMARY'!F:F,'TENDER SUMMARY'!A:A,"11-*")</f>
        <v>67200</v>
      </c>
      <c r="C23" s="71">
        <f t="shared" si="0"/>
        <v>8.3178788300788759E-2</v>
      </c>
      <c r="D23" s="70">
        <f>B23/'TENDER SUMMARY'!$G$7</f>
        <v>116.26297577854672</v>
      </c>
      <c r="E23" s="52"/>
      <c r="F23" s="413"/>
      <c r="G23" s="413"/>
      <c r="H23" s="413"/>
      <c r="I23" s="413"/>
    </row>
    <row r="24" spans="1:11" s="55" customFormat="1">
      <c r="A24" s="69" t="s">
        <v>37</v>
      </c>
      <c r="B24" s="70">
        <f>SUMIFS('TENDER SUMMARY'!F:F,'TENDER SUMMARY'!A:A,"12-*")</f>
        <v>6554.8520353246749</v>
      </c>
      <c r="C24" s="71">
        <f t="shared" si="0"/>
        <v>8.1134620504354979E-3</v>
      </c>
      <c r="D24" s="70">
        <f>B24/'TENDER SUMMARY'!$G$7</f>
        <v>11.340574455579022</v>
      </c>
      <c r="E24" s="52"/>
      <c r="F24" s="413"/>
      <c r="G24" s="413"/>
      <c r="H24" s="413"/>
      <c r="I24" s="413"/>
    </row>
    <row r="25" spans="1:11" s="55" customFormat="1">
      <c r="A25" s="69" t="s">
        <v>38</v>
      </c>
      <c r="B25" s="70">
        <f>SUMIFS('TENDER SUMMARY'!F:F,'TENDER SUMMARY'!A:A,"13-*")</f>
        <v>0</v>
      </c>
      <c r="C25" s="71">
        <f t="shared" si="0"/>
        <v>0</v>
      </c>
      <c r="D25" s="70">
        <f>B25/'TENDER SUMMARY'!$G$7</f>
        <v>0</v>
      </c>
      <c r="E25" s="52"/>
      <c r="F25" s="413"/>
      <c r="G25" s="413"/>
      <c r="H25" s="413"/>
      <c r="I25" s="413"/>
    </row>
    <row r="26" spans="1:11" s="55" customFormat="1">
      <c r="A26" s="67"/>
      <c r="B26" s="67"/>
      <c r="C26" s="67"/>
      <c r="D26" s="255">
        <f>D13+D14+D15+D20+D22+D23+D24+D25+D16</f>
        <v>720.89842912685936</v>
      </c>
      <c r="E26" s="67"/>
      <c r="F26" s="413"/>
      <c r="G26" s="413"/>
      <c r="H26" s="413"/>
      <c r="I26" s="413"/>
    </row>
    <row r="27" spans="1:11" s="55" customFormat="1">
      <c r="A27" s="69" t="s">
        <v>25</v>
      </c>
      <c r="B27" s="72">
        <f>SUM(B13:B25)</f>
        <v>807898.27999168832</v>
      </c>
      <c r="E27" s="52"/>
      <c r="F27" s="413"/>
      <c r="G27" s="413"/>
      <c r="H27" s="413"/>
      <c r="I27" s="413"/>
    </row>
    <row r="28" spans="1:11" s="55" customFormat="1">
      <c r="A28" s="69" t="s">
        <v>39</v>
      </c>
      <c r="B28" s="70">
        <f>SUM('TENDER SUMMARY'!C16:C152)</f>
        <v>722040.05556779215</v>
      </c>
      <c r="D28" s="67"/>
      <c r="E28" s="52"/>
      <c r="F28" s="413"/>
      <c r="G28" s="413"/>
      <c r="H28" s="413"/>
      <c r="I28" s="413"/>
      <c r="K28" s="54"/>
    </row>
    <row r="29" spans="1:11" s="55" customFormat="1">
      <c r="A29" s="69" t="s">
        <v>40</v>
      </c>
      <c r="B29" s="70">
        <f>B27-B28</f>
        <v>85858.224423896172</v>
      </c>
      <c r="C29" s="73">
        <f>B29/B27</f>
        <v>0.10627355763745343</v>
      </c>
      <c r="E29" s="52"/>
      <c r="F29" s="413"/>
      <c r="G29" s="413"/>
      <c r="H29" s="413"/>
      <c r="I29" s="413"/>
      <c r="K29" s="54"/>
    </row>
    <row r="30" spans="1:11" s="55" customFormat="1">
      <c r="E30" s="52"/>
      <c r="F30" s="413"/>
      <c r="G30" s="413"/>
      <c r="H30" s="413"/>
      <c r="I30" s="413"/>
      <c r="J30" s="64"/>
      <c r="K30" s="54"/>
    </row>
    <row r="31" spans="1:11" s="55" customFormat="1">
      <c r="A31" s="58" t="s">
        <v>41</v>
      </c>
      <c r="B31" s="67"/>
      <c r="C31" s="64"/>
      <c r="D31" s="64"/>
      <c r="E31" s="64"/>
      <c r="F31" s="64"/>
      <c r="G31" s="64"/>
      <c r="H31" s="54"/>
    </row>
    <row r="32" spans="1:11">
      <c r="A32" s="225" t="s">
        <v>42</v>
      </c>
      <c r="B32" s="67"/>
      <c r="H32" s="74"/>
      <c r="I32" s="56"/>
      <c r="J32" s="56"/>
      <c r="K32" s="56"/>
    </row>
    <row r="33" spans="1:5">
      <c r="A33" s="55"/>
      <c r="B33" s="200"/>
      <c r="C33" s="55"/>
      <c r="D33" s="201"/>
      <c r="E33" s="64"/>
    </row>
    <row r="34" spans="1:5">
      <c r="B34" s="52"/>
    </row>
    <row r="35" spans="1:5">
      <c r="B35" s="52"/>
    </row>
    <row r="37" spans="1:5">
      <c r="A37" s="58" t="s">
        <v>43</v>
      </c>
      <c r="B37" s="58" t="s">
        <v>1</v>
      </c>
      <c r="C37" s="58" t="s">
        <v>25</v>
      </c>
      <c r="D37" s="58" t="s">
        <v>44</v>
      </c>
    </row>
    <row r="38" spans="1:5">
      <c r="A38" s="218" t="s">
        <v>42</v>
      </c>
      <c r="B38" s="217" t="str">
        <f>IFERROR(_xlfn.XLOOKUP(A38,#REF!,#REF!),"Base Price")</f>
        <v>Base Price</v>
      </c>
      <c r="C38" s="70">
        <f>IFERROR(SUMIFS(#REF!,#REF!,"Base")+SUMIFS(#REF!,#REF!,A38),0)</f>
        <v>0</v>
      </c>
      <c r="D38" s="70"/>
    </row>
    <row r="39" spans="1:5">
      <c r="A39" s="218" t="s">
        <v>45</v>
      </c>
      <c r="B39" s="217" t="str">
        <f>IFERROR(_xlfn.XLOOKUP(A39,#REF!,#REF!),"Base Price")</f>
        <v>Base Price</v>
      </c>
      <c r="C39" s="70">
        <f>IFERROR(SUMIFS(#REF!,#REF!,"Base")+SUMIFS(#REF!,#REF!,A39),0)</f>
        <v>0</v>
      </c>
      <c r="D39" s="70">
        <f>C39-$C$38</f>
        <v>0</v>
      </c>
    </row>
    <row r="40" spans="1:5">
      <c r="A40" s="218" t="s">
        <v>46</v>
      </c>
      <c r="B40" s="217" t="str">
        <f>IFERROR(_xlfn.XLOOKUP(A40,#REF!,#REF!),"Base Price")</f>
        <v>Base Price</v>
      </c>
      <c r="C40" s="70">
        <f>IFERROR(SUMIFS(#REF!,#REF!,"Base")+SUMIFS(#REF!,#REF!,A40),0)</f>
        <v>0</v>
      </c>
      <c r="D40" s="70">
        <f>C40-$C$38</f>
        <v>0</v>
      </c>
    </row>
    <row r="41" spans="1:5">
      <c r="A41" s="218" t="s">
        <v>47</v>
      </c>
      <c r="B41" s="217" t="str">
        <f>IFERROR(_xlfn.XLOOKUP(A41,#REF!,#REF!),"Base Price")</f>
        <v>Base Price</v>
      </c>
      <c r="C41" s="70">
        <f>IFERROR(SUMIFS(#REF!,#REF!,"Base")+SUMIFS(#REF!,#REF!,A41),0)</f>
        <v>0</v>
      </c>
      <c r="D41" s="70">
        <f>C41-$C$38</f>
        <v>0</v>
      </c>
    </row>
  </sheetData>
  <sheetProtection selectLockedCells="1"/>
  <mergeCells count="2">
    <mergeCell ref="F14:I14"/>
    <mergeCell ref="F15:I30"/>
  </mergeCells>
  <conditionalFormatting sqref="D13:D25 B13:B25">
    <cfRule type="cellIs" dxfId="576" priority="11" operator="lessThan">
      <formula>0</formula>
    </cfRule>
  </conditionalFormatting>
  <conditionalFormatting sqref="B27:D27">
    <cfRule type="cellIs" dxfId="575" priority="10" operator="lessThan">
      <formula>0</formula>
    </cfRule>
  </conditionalFormatting>
  <conditionalFormatting sqref="C28">
    <cfRule type="cellIs" dxfId="574" priority="9" operator="lessThan">
      <formula>0</formula>
    </cfRule>
  </conditionalFormatting>
  <conditionalFormatting sqref="G10:I10">
    <cfRule type="cellIs" dxfId="573" priority="8" operator="greaterThan">
      <formula>0</formula>
    </cfRule>
  </conditionalFormatting>
  <conditionalFormatting sqref="C13:C25">
    <cfRule type="cellIs" dxfId="572" priority="7" operator="lessThan">
      <formula>0</formula>
    </cfRule>
  </conditionalFormatting>
  <conditionalFormatting sqref="G12">
    <cfRule type="cellIs" dxfId="571" priority="6" operator="greaterThan">
      <formula>0</formula>
    </cfRule>
  </conditionalFormatting>
  <conditionalFormatting sqref="B28:B29">
    <cfRule type="cellIs" dxfId="570" priority="5" operator="lessThan">
      <formula>0</formula>
    </cfRule>
  </conditionalFormatting>
  <conditionalFormatting sqref="C29">
    <cfRule type="cellIs" dxfId="569" priority="4" operator="lessThan">
      <formula>0</formula>
    </cfRule>
  </conditionalFormatting>
  <conditionalFormatting sqref="C38:D41">
    <cfRule type="cellIs" dxfId="568" priority="1" operator="lessThan">
      <formula>0</formula>
    </cfRule>
  </conditionalFormatting>
  <dataValidations count="1">
    <dataValidation type="list" allowBlank="1" showInputMessage="1" showErrorMessage="1" sqref="A32 A38:A41" xr:uid="{D8F93B7E-6CD8-4278-9BF8-EE66E90A760E}">
      <formula1>"Default,Option 1,Option 2,Option 3,Option 4,Option 5,Option 6,Option 7,Option 8,Option 9, Option 10"</formula1>
    </dataValidation>
  </dataValidations>
  <printOptions horizontalCentered="1" gridLines="1"/>
  <pageMargins left="0.45" right="0.45" top="0.75" bottom="0.5" header="0.31496062992126" footer="0.31496062992126"/>
  <pageSetup paperSize="8" fitToHeight="0" orientation="landscape" r:id="rId1"/>
  <headerFooter>
    <oddHeader>&amp;C&amp;"-,Bold"&amp;KFF0000- CONFIDENTIAL - INTERNAL USE ONLY -</oddHeader>
    <oddFooter>&amp;LPrinted on: &amp;D&amp;C&amp;F - &amp;A&amp;RPg &amp;P of &amp;N</oddFooter>
  </headerFooter>
  <ignoredErrors>
    <ignoredError sqref="B1:B2" unlockedFormula="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9D73-A7AE-434B-AFC6-CDDA14E734F6}">
  <sheetPr codeName="Sheet4">
    <tabColor rgb="FFFFFF00"/>
    <pageSetUpPr fitToPage="1"/>
  </sheetPr>
  <dimension ref="A1:I152"/>
  <sheetViews>
    <sheetView workbookViewId="0">
      <selection activeCell="G7" sqref="G7"/>
    </sheetView>
  </sheetViews>
  <sheetFormatPr defaultColWidth="9.140625" defaultRowHeight="12.75"/>
  <cols>
    <col min="1" max="1" width="13.85546875" style="56" bestFit="1" customWidth="1"/>
    <col min="2" max="2" width="56.85546875" style="75" customWidth="1"/>
    <col min="3" max="3" width="27.42578125" style="52" customWidth="1"/>
    <col min="4" max="4" width="15.42578125" style="52" customWidth="1"/>
    <col min="5" max="5" width="9.140625" style="115" bestFit="1" customWidth="1"/>
    <col min="6" max="6" width="18" style="115" customWidth="1"/>
    <col min="7" max="7" width="19.140625" style="116" bestFit="1" customWidth="1"/>
    <col min="8" max="8" width="41.85546875" style="77" customWidth="1" collapsed="1"/>
    <col min="9" max="9" width="3.140625" style="56" customWidth="1"/>
    <col min="10" max="10" width="52.85546875" style="56" customWidth="1"/>
    <col min="11" max="11" width="9.140625" style="56" customWidth="1"/>
    <col min="12" max="16384" width="9.140625" style="56"/>
  </cols>
  <sheetData>
    <row r="1" spans="1:8" ht="14.45" customHeight="1">
      <c r="A1" s="50" t="s">
        <v>0</v>
      </c>
      <c r="B1" s="51" t="str">
        <f ca="1">'EXECUTIVE SUMMARY'!B1</f>
        <v>T1112</v>
      </c>
      <c r="E1" s="414" t="s">
        <v>48</v>
      </c>
      <c r="F1" s="415"/>
      <c r="G1" s="76">
        <v>45139</v>
      </c>
      <c r="H1" s="110"/>
    </row>
    <row r="2" spans="1:8" ht="14.45" customHeight="1">
      <c r="A2" s="50" t="s">
        <v>3</v>
      </c>
      <c r="B2" s="51" t="str">
        <f ca="1">'EXECUTIVE SUMMARY'!B2</f>
        <v/>
      </c>
      <c r="E2" s="414" t="s">
        <v>49</v>
      </c>
      <c r="F2" s="415"/>
      <c r="G2" s="76">
        <v>45383</v>
      </c>
      <c r="H2" s="290">
        <f>DATEDIF(G1,G2,"m")</f>
        <v>8</v>
      </c>
    </row>
    <row r="3" spans="1:8" s="55" customFormat="1" ht="14.45" customHeight="1">
      <c r="A3" s="50" t="s">
        <v>5</v>
      </c>
      <c r="B3" s="51" t="str">
        <f>'EXECUTIVE SUMMARY'!B3</f>
        <v>Lendlease</v>
      </c>
      <c r="C3" s="64"/>
      <c r="E3" s="414" t="s">
        <v>50</v>
      </c>
      <c r="F3" s="415"/>
      <c r="G3" s="76">
        <v>45444</v>
      </c>
      <c r="H3" s="291">
        <f>DATEDIF(G2,G3,"m")</f>
        <v>2</v>
      </c>
    </row>
    <row r="4" spans="1:8" s="55" customFormat="1" ht="14.45" customHeight="1">
      <c r="A4" s="50" t="s">
        <v>8</v>
      </c>
      <c r="B4" s="51" t="str">
        <f>'EXECUTIVE SUMMARY'!B4</f>
        <v>BVN</v>
      </c>
      <c r="C4" s="64"/>
      <c r="E4" s="414" t="s">
        <v>51</v>
      </c>
      <c r="F4" s="415"/>
      <c r="G4" s="79">
        <f>ROUNDUP((G3-G1)/30,0)</f>
        <v>11</v>
      </c>
      <c r="H4" s="78"/>
    </row>
    <row r="5" spans="1:8" s="55" customFormat="1">
      <c r="B5" s="80"/>
      <c r="C5" s="64"/>
      <c r="E5" s="81"/>
      <c r="F5" s="82"/>
      <c r="G5" s="83"/>
      <c r="H5" s="78"/>
    </row>
    <row r="6" spans="1:8" s="55" customFormat="1" ht="14.45" customHeight="1">
      <c r="A6" s="50" t="s">
        <v>12</v>
      </c>
      <c r="B6" s="63" t="str">
        <f>'EXECUTIVE SUMMARY'!B6</f>
        <v>Andrew Vatiliotis</v>
      </c>
      <c r="C6" s="64"/>
      <c r="E6" s="414" t="s">
        <v>52</v>
      </c>
      <c r="F6" s="415"/>
      <c r="G6" s="84">
        <v>7</v>
      </c>
      <c r="H6" s="78"/>
    </row>
    <row r="7" spans="1:8" s="55" customFormat="1" ht="14.45" customHeight="1">
      <c r="A7" s="50" t="s">
        <v>14</v>
      </c>
      <c r="B7" s="63">
        <f>'EXECUTIVE SUMMARY'!B7</f>
        <v>0</v>
      </c>
      <c r="C7" s="64"/>
      <c r="E7" s="414" t="s">
        <v>53</v>
      </c>
      <c r="F7" s="415"/>
      <c r="G7" s="79">
        <f>SUMIFS(Table4[Sqm],Table4[Job Sqm?],"Yes")</f>
        <v>578</v>
      </c>
      <c r="H7" s="78"/>
    </row>
    <row r="8" spans="1:8" s="55" customFormat="1">
      <c r="A8" s="50" t="s">
        <v>16</v>
      </c>
      <c r="B8" s="66">
        <f>'EXECUTIVE SUMMARY'!B8</f>
        <v>44838</v>
      </c>
      <c r="C8" s="64"/>
      <c r="D8" s="78"/>
      <c r="E8" s="414" t="s">
        <v>54</v>
      </c>
      <c r="F8" s="415"/>
      <c r="G8" s="228">
        <v>4245</v>
      </c>
      <c r="H8" s="78"/>
    </row>
    <row r="9" spans="1:8" s="55" customFormat="1">
      <c r="B9" s="80"/>
      <c r="C9" s="64"/>
      <c r="D9" s="78"/>
      <c r="E9" s="78"/>
      <c r="F9" s="78"/>
      <c r="G9" s="78"/>
      <c r="H9" s="78"/>
    </row>
    <row r="10" spans="1:8" s="55" customFormat="1">
      <c r="B10" s="85" t="s">
        <v>55</v>
      </c>
      <c r="C10" s="86">
        <f>SUM(C11:C12)</f>
        <v>807898.27999168821</v>
      </c>
      <c r="D10" s="87">
        <f>C10/G7</f>
        <v>1397.7478892589761</v>
      </c>
      <c r="E10" s="88" t="s">
        <v>56</v>
      </c>
      <c r="F10" s="81"/>
      <c r="G10" s="83"/>
      <c r="H10" s="78"/>
    </row>
    <row r="11" spans="1:8" s="55" customFormat="1">
      <c r="B11" s="85" t="s">
        <v>57</v>
      </c>
      <c r="C11" s="86">
        <f>SUMIFS($C$15:$C$1048576,$A$15:$A$1048576,"&lt;&gt;""")</f>
        <v>722040.05556779215</v>
      </c>
      <c r="D11" s="64"/>
      <c r="E11" s="89"/>
      <c r="F11" s="90"/>
      <c r="G11" s="83"/>
      <c r="H11" s="78"/>
    </row>
    <row r="12" spans="1:8" s="55" customFormat="1">
      <c r="B12" s="85" t="s">
        <v>40</v>
      </c>
      <c r="C12" s="86">
        <f>SUMIFS($D$15:$D$1048576,$A$15:$A$1048576,"&lt;&gt;""")</f>
        <v>85858.224423896099</v>
      </c>
      <c r="D12" s="64"/>
      <c r="E12" s="89"/>
      <c r="F12" s="89"/>
      <c r="G12" s="83"/>
      <c r="H12" s="78"/>
    </row>
    <row r="13" spans="1:8" s="55" customFormat="1">
      <c r="B13" s="85" t="s">
        <v>58</v>
      </c>
      <c r="C13" s="91">
        <f>IFERROR(C12/C10,0)</f>
        <v>0.10627355763745334</v>
      </c>
      <c r="D13" s="64"/>
      <c r="E13" s="89">
        <f>E14+1</f>
        <v>1.1200000000000001</v>
      </c>
      <c r="F13" s="89"/>
      <c r="G13" s="83"/>
      <c r="H13" s="78"/>
    </row>
    <row r="14" spans="1:8" s="55" customFormat="1">
      <c r="B14" s="64"/>
      <c r="C14" s="64"/>
      <c r="D14" s="64"/>
      <c r="E14" s="89">
        <v>0.12</v>
      </c>
      <c r="F14" s="89"/>
      <c r="G14" s="83"/>
      <c r="H14" s="78"/>
    </row>
    <row r="15" spans="1:8" s="55" customFormat="1" ht="25.5">
      <c r="A15" s="92" t="s">
        <v>20</v>
      </c>
      <c r="B15" s="68" t="s">
        <v>59</v>
      </c>
      <c r="C15" s="93" t="s">
        <v>60</v>
      </c>
      <c r="D15" s="93" t="s">
        <v>61</v>
      </c>
      <c r="E15" s="94" t="s">
        <v>62</v>
      </c>
      <c r="F15" s="94" t="s">
        <v>63</v>
      </c>
      <c r="G15" s="95" t="s">
        <v>64</v>
      </c>
      <c r="H15" s="95" t="s">
        <v>65</v>
      </c>
    </row>
    <row r="16" spans="1:8" s="55" customFormat="1" ht="15">
      <c r="A16" s="96"/>
      <c r="B16" s="97" t="s">
        <v>25</v>
      </c>
      <c r="C16" s="98"/>
      <c r="D16" s="98"/>
      <c r="E16" s="99"/>
      <c r="F16" s="99"/>
      <c r="G16" s="100"/>
      <c r="H16" s="101"/>
    </row>
    <row r="17" spans="1:8" s="55" customFormat="1">
      <c r="A17" s="102" t="s">
        <v>66</v>
      </c>
      <c r="B17" s="103" t="s">
        <v>25</v>
      </c>
      <c r="C17" s="98"/>
      <c r="D17" s="98"/>
      <c r="E17" s="99"/>
      <c r="F17" s="99"/>
      <c r="G17" s="100"/>
      <c r="H17" s="101"/>
    </row>
    <row r="18" spans="1:8" s="55" customFormat="1">
      <c r="A18" s="102" t="s">
        <v>67</v>
      </c>
      <c r="B18" s="103" t="s">
        <v>68</v>
      </c>
      <c r="C18" s="98"/>
      <c r="D18" s="98"/>
      <c r="E18" s="99"/>
      <c r="F18" s="99"/>
      <c r="G18" s="100"/>
      <c r="H18" s="101"/>
    </row>
    <row r="19" spans="1:8" s="55" customFormat="1">
      <c r="A19" s="102" t="s">
        <v>69</v>
      </c>
      <c r="B19" s="103" t="s">
        <v>70</v>
      </c>
      <c r="C19" s="98"/>
      <c r="D19" s="98"/>
      <c r="E19" s="99"/>
      <c r="F19" s="99"/>
      <c r="G19" s="100"/>
      <c r="H19" s="101"/>
    </row>
    <row r="20" spans="1:8" s="55" customFormat="1">
      <c r="A20" s="102" t="s">
        <v>71</v>
      </c>
      <c r="B20" s="103" t="s">
        <v>72</v>
      </c>
      <c r="C20" s="98"/>
      <c r="D20" s="98"/>
      <c r="E20" s="99"/>
      <c r="F20" s="99"/>
      <c r="G20" s="100"/>
      <c r="H20" s="101"/>
    </row>
    <row r="21" spans="1:8" s="55" customFormat="1">
      <c r="A21" s="102"/>
      <c r="B21" s="103"/>
      <c r="C21" s="98"/>
      <c r="D21" s="98"/>
      <c r="E21" s="99"/>
      <c r="F21" s="99"/>
      <c r="G21" s="100"/>
      <c r="H21" s="101"/>
    </row>
    <row r="22" spans="1:8" s="55" customFormat="1" ht="15">
      <c r="A22" s="96"/>
      <c r="B22" s="97" t="s">
        <v>26</v>
      </c>
      <c r="C22" s="104"/>
      <c r="D22" s="98"/>
      <c r="E22" s="99"/>
      <c r="F22" s="99"/>
      <c r="G22" s="100"/>
      <c r="H22" s="101"/>
    </row>
    <row r="23" spans="1:8" s="55" customFormat="1">
      <c r="A23" s="102" t="s">
        <v>73</v>
      </c>
      <c r="B23" s="103" t="s">
        <v>74</v>
      </c>
      <c r="C23" s="70">
        <f>SUMIFS('STAFF COST FORECAST'!G:G,'STAFF COST FORECAST'!A:A,'TENDER SUMMARY'!A23)</f>
        <v>28908</v>
      </c>
      <c r="D23" s="70">
        <f t="shared" ref="D23:D32" si="0">C23*E23</f>
        <v>3468.96</v>
      </c>
      <c r="E23" s="105">
        <f>$E$14</f>
        <v>0.12</v>
      </c>
      <c r="F23" s="70">
        <f>SUM(C23:D23)</f>
        <v>32376.959999999999</v>
      </c>
      <c r="G23" s="73">
        <f t="shared" ref="G23:G32" si="1">SUM(C23:D23)/$C$10</f>
        <v>4.0075540203320027E-2</v>
      </c>
      <c r="H23" s="106"/>
    </row>
    <row r="24" spans="1:8" s="55" customFormat="1">
      <c r="A24" s="102" t="s">
        <v>75</v>
      </c>
      <c r="B24" s="103" t="s">
        <v>76</v>
      </c>
      <c r="C24" s="70">
        <f>SUMIFS('STAFF COST FORECAST'!G:G,'STAFF COST FORECAST'!A:A,'TENDER SUMMARY'!A24)</f>
        <v>28908</v>
      </c>
      <c r="D24" s="70">
        <f t="shared" si="0"/>
        <v>3468.96</v>
      </c>
      <c r="E24" s="105">
        <f t="shared" ref="E24:E32" si="2">$E$14</f>
        <v>0.12</v>
      </c>
      <c r="F24" s="70">
        <f t="shared" ref="F24:F32" si="3">SUM(C24:D24)</f>
        <v>32376.959999999999</v>
      </c>
      <c r="G24" s="73">
        <f t="shared" si="1"/>
        <v>4.0075540203320027E-2</v>
      </c>
      <c r="H24" s="106"/>
    </row>
    <row r="25" spans="1:8" s="55" customFormat="1">
      <c r="A25" s="102" t="s">
        <v>77</v>
      </c>
      <c r="B25" s="103" t="s">
        <v>78</v>
      </c>
      <c r="C25" s="70">
        <f>SUMIFS('STAFF COST FORECAST'!G:G,'STAFF COST FORECAST'!A:A,'TENDER SUMMARY'!A25)</f>
        <v>89352</v>
      </c>
      <c r="D25" s="70">
        <f t="shared" si="0"/>
        <v>10722.24</v>
      </c>
      <c r="E25" s="105">
        <f t="shared" si="2"/>
        <v>0.12</v>
      </c>
      <c r="F25" s="70">
        <f t="shared" si="3"/>
        <v>100074.24000000001</v>
      </c>
      <c r="G25" s="73">
        <f t="shared" si="1"/>
        <v>0.12386985153753463</v>
      </c>
      <c r="H25" s="106"/>
    </row>
    <row r="26" spans="1:8" s="55" customFormat="1">
      <c r="A26" s="102" t="s">
        <v>79</v>
      </c>
      <c r="B26" s="103" t="s">
        <v>80</v>
      </c>
      <c r="C26" s="70">
        <f>SUMIFS('STAFF COST FORECAST'!G:G,'STAFF COST FORECAST'!A:A,'TENDER SUMMARY'!A26)</f>
        <v>0</v>
      </c>
      <c r="D26" s="70">
        <f t="shared" si="0"/>
        <v>0</v>
      </c>
      <c r="E26" s="105">
        <f t="shared" si="2"/>
        <v>0.12</v>
      </c>
      <c r="F26" s="70">
        <f t="shared" si="3"/>
        <v>0</v>
      </c>
      <c r="G26" s="73" t="s">
        <v>81</v>
      </c>
      <c r="H26" s="106"/>
    </row>
    <row r="27" spans="1:8" s="55" customFormat="1">
      <c r="A27" s="102" t="s">
        <v>82</v>
      </c>
      <c r="B27" s="103" t="s">
        <v>83</v>
      </c>
      <c r="C27" s="70">
        <f>SUMIFS('STAFF COST FORECAST'!G:G,'STAFF COST FORECAST'!A:A,'TENDER SUMMARY'!A27)</f>
        <v>12240</v>
      </c>
      <c r="D27" s="70">
        <f t="shared" si="0"/>
        <v>1468.8</v>
      </c>
      <c r="E27" s="105">
        <f t="shared" si="2"/>
        <v>0.12</v>
      </c>
      <c r="F27" s="70">
        <f t="shared" si="3"/>
        <v>13708.8</v>
      </c>
      <c r="G27" s="73">
        <f t="shared" si="1"/>
        <v>1.6968472813360908E-2</v>
      </c>
      <c r="H27" s="106"/>
    </row>
    <row r="28" spans="1:8" s="55" customFormat="1">
      <c r="A28" s="102" t="s">
        <v>84</v>
      </c>
      <c r="B28" s="103" t="s">
        <v>85</v>
      </c>
      <c r="C28" s="70">
        <f>SUMIFS('STAFF COST FORECAST'!G:G,'STAFF COST FORECAST'!A:A,'TENDER SUMMARY'!A28)</f>
        <v>0</v>
      </c>
      <c r="D28" s="70">
        <f t="shared" si="0"/>
        <v>0</v>
      </c>
      <c r="E28" s="105">
        <f t="shared" si="2"/>
        <v>0.12</v>
      </c>
      <c r="F28" s="70">
        <f t="shared" si="3"/>
        <v>0</v>
      </c>
      <c r="G28" s="73">
        <f t="shared" si="1"/>
        <v>0</v>
      </c>
      <c r="H28" s="106"/>
    </row>
    <row r="29" spans="1:8" s="55" customFormat="1">
      <c r="A29" s="102" t="s">
        <v>86</v>
      </c>
      <c r="B29" s="103" t="s">
        <v>87</v>
      </c>
      <c r="C29" s="70">
        <f>SUMIFS('STAFF COST FORECAST'!G:G,'STAFF COST FORECAST'!A:A,'TENDER SUMMARY'!A29)</f>
        <v>0</v>
      </c>
      <c r="D29" s="70">
        <f t="shared" si="0"/>
        <v>0</v>
      </c>
      <c r="E29" s="105">
        <f t="shared" si="2"/>
        <v>0.12</v>
      </c>
      <c r="F29" s="70">
        <f t="shared" si="3"/>
        <v>0</v>
      </c>
      <c r="G29" s="73">
        <f t="shared" si="1"/>
        <v>0</v>
      </c>
      <c r="H29" s="106"/>
    </row>
    <row r="30" spans="1:8" s="55" customFormat="1">
      <c r="A30" s="102" t="s">
        <v>88</v>
      </c>
      <c r="B30" s="103" t="s">
        <v>89</v>
      </c>
      <c r="C30" s="70">
        <f>SUMIFS('STAFF COST FORECAST'!G:G,'STAFF COST FORECAST'!A:A,'TENDER SUMMARY'!A30)</f>
        <v>13464</v>
      </c>
      <c r="D30" s="70">
        <f t="shared" si="0"/>
        <v>1615.6799999999998</v>
      </c>
      <c r="E30" s="105">
        <f t="shared" si="2"/>
        <v>0.12</v>
      </c>
      <c r="F30" s="70">
        <f t="shared" si="3"/>
        <v>15079.68</v>
      </c>
      <c r="G30" s="73">
        <f t="shared" si="1"/>
        <v>1.8665320094696999E-2</v>
      </c>
      <c r="H30" s="106"/>
    </row>
    <row r="31" spans="1:8" s="55" customFormat="1">
      <c r="A31" s="102" t="s">
        <v>90</v>
      </c>
      <c r="B31" s="103" t="s">
        <v>91</v>
      </c>
      <c r="C31" s="70">
        <f>SUMIFS('STAFF COST FORECAST'!G:G,'STAFF COST FORECAST'!A:A,'TENDER SUMMARY'!A31)</f>
        <v>0</v>
      </c>
      <c r="D31" s="70">
        <f t="shared" si="0"/>
        <v>0</v>
      </c>
      <c r="E31" s="105">
        <f t="shared" si="2"/>
        <v>0.12</v>
      </c>
      <c r="F31" s="70">
        <f t="shared" si="3"/>
        <v>0</v>
      </c>
      <c r="G31" s="73">
        <f t="shared" si="1"/>
        <v>0</v>
      </c>
      <c r="H31" s="106"/>
    </row>
    <row r="32" spans="1:8" s="55" customFormat="1">
      <c r="A32" s="102" t="s">
        <v>92</v>
      </c>
      <c r="B32" s="103" t="s">
        <v>93</v>
      </c>
      <c r="C32" s="70">
        <f>SUMIFS('STAFF COST FORECAST'!G:G,'STAFF COST FORECAST'!A:A,'TENDER SUMMARY'!A32)</f>
        <v>0</v>
      </c>
      <c r="D32" s="70">
        <f t="shared" si="0"/>
        <v>0</v>
      </c>
      <c r="E32" s="105">
        <f t="shared" si="2"/>
        <v>0.12</v>
      </c>
      <c r="F32" s="70">
        <f t="shared" si="3"/>
        <v>0</v>
      </c>
      <c r="G32" s="73">
        <f t="shared" si="1"/>
        <v>0</v>
      </c>
      <c r="H32" s="106"/>
    </row>
    <row r="33" spans="1:9" s="55" customFormat="1">
      <c r="A33" s="102"/>
      <c r="B33" s="103"/>
      <c r="C33" s="70"/>
      <c r="D33" s="70"/>
      <c r="E33" s="71"/>
      <c r="F33" s="71"/>
      <c r="G33" s="73"/>
      <c r="H33" s="106"/>
    </row>
    <row r="34" spans="1:9" s="55" customFormat="1" ht="15">
      <c r="A34" s="107"/>
      <c r="B34" s="108" t="s">
        <v>28</v>
      </c>
      <c r="C34" s="98"/>
      <c r="D34" s="98"/>
      <c r="E34" s="99"/>
      <c r="F34" s="99"/>
      <c r="G34" s="100"/>
      <c r="H34" s="101"/>
    </row>
    <row r="35" spans="1:9" s="55" customFormat="1">
      <c r="A35" s="102" t="s">
        <v>94</v>
      </c>
      <c r="B35" s="103" t="s">
        <v>95</v>
      </c>
      <c r="C35" s="70">
        <f>SUMIFS('PROJECT MANAGEMENT OFFICES'!C:C,'PROJECT MANAGEMENT OFFICES'!A:A,'TENDER SUMMARY'!A35)</f>
        <v>5500</v>
      </c>
      <c r="D35" s="70">
        <f t="shared" ref="D35:D41" si="4">C35*E35</f>
        <v>660</v>
      </c>
      <c r="E35" s="105">
        <f t="shared" ref="E35:E41" si="5">$E$14</f>
        <v>0.12</v>
      </c>
      <c r="F35" s="70">
        <f t="shared" ref="F35:F41" si="6">SUM(C35:D35)</f>
        <v>6160</v>
      </c>
      <c r="G35" s="73">
        <f t="shared" ref="G35:G41" si="7">SUM(C35:D35)/$C$10</f>
        <v>7.6247222609056369E-3</v>
      </c>
      <c r="H35" s="106"/>
    </row>
    <row r="36" spans="1:9" s="55" customFormat="1">
      <c r="A36" s="102" t="s">
        <v>96</v>
      </c>
      <c r="B36" s="103" t="s">
        <v>97</v>
      </c>
      <c r="C36" s="70">
        <f>SUMIFS('PROJECT MANAGEMENT OFFICES'!C:C,'PROJECT MANAGEMENT OFFICES'!A:A,'TENDER SUMMARY'!A36)</f>
        <v>500</v>
      </c>
      <c r="D36" s="70">
        <f t="shared" si="4"/>
        <v>60</v>
      </c>
      <c r="E36" s="105">
        <f t="shared" si="5"/>
        <v>0.12</v>
      </c>
      <c r="F36" s="70">
        <f t="shared" si="6"/>
        <v>560</v>
      </c>
      <c r="G36" s="73">
        <f t="shared" si="7"/>
        <v>6.9315656917323968E-4</v>
      </c>
      <c r="H36" s="106"/>
      <c r="I36" s="55" t="s">
        <v>98</v>
      </c>
    </row>
    <row r="37" spans="1:9" s="55" customFormat="1">
      <c r="A37" s="102" t="s">
        <v>99</v>
      </c>
      <c r="B37" s="103" t="s">
        <v>100</v>
      </c>
      <c r="C37" s="70">
        <f>SUMIFS('PROJECT MANAGEMENT OFFICES'!C:C,'PROJECT MANAGEMENT OFFICES'!A:A,'TENDER SUMMARY'!A37)</f>
        <v>500</v>
      </c>
      <c r="D37" s="70">
        <f t="shared" si="4"/>
        <v>60</v>
      </c>
      <c r="E37" s="105">
        <f t="shared" si="5"/>
        <v>0.12</v>
      </c>
      <c r="F37" s="70">
        <f t="shared" si="6"/>
        <v>560</v>
      </c>
      <c r="G37" s="73">
        <f t="shared" si="7"/>
        <v>6.9315656917323968E-4</v>
      </c>
      <c r="H37" s="106"/>
    </row>
    <row r="38" spans="1:9" s="55" customFormat="1">
      <c r="A38" s="102" t="s">
        <v>101</v>
      </c>
      <c r="B38" s="103" t="s">
        <v>102</v>
      </c>
      <c r="C38" s="70">
        <f>SUMIFS('PROJECT MANAGEMENT OFFICES'!C:C,'PROJECT MANAGEMENT OFFICES'!A:A,'TENDER SUMMARY'!A38)</f>
        <v>0</v>
      </c>
      <c r="D38" s="70">
        <f t="shared" si="4"/>
        <v>0</v>
      </c>
      <c r="E38" s="105">
        <f t="shared" si="5"/>
        <v>0.12</v>
      </c>
      <c r="F38" s="70">
        <f t="shared" si="6"/>
        <v>0</v>
      </c>
      <c r="G38" s="73">
        <f t="shared" si="7"/>
        <v>0</v>
      </c>
      <c r="H38" s="106"/>
    </row>
    <row r="39" spans="1:9" s="55" customFormat="1">
      <c r="A39" s="102" t="s">
        <v>103</v>
      </c>
      <c r="B39" s="103" t="s">
        <v>104</v>
      </c>
      <c r="C39" s="70">
        <f>SUMIFS('PROJECT MANAGEMENT OFFICES'!C:C,'PROJECT MANAGEMENT OFFICES'!A:A,'TENDER SUMMARY'!A39)</f>
        <v>0</v>
      </c>
      <c r="D39" s="70">
        <f t="shared" si="4"/>
        <v>0</v>
      </c>
      <c r="E39" s="105">
        <f t="shared" si="5"/>
        <v>0.12</v>
      </c>
      <c r="F39" s="70">
        <f t="shared" si="6"/>
        <v>0</v>
      </c>
      <c r="G39" s="73">
        <f t="shared" si="7"/>
        <v>0</v>
      </c>
      <c r="H39" s="106"/>
    </row>
    <row r="40" spans="1:9" s="55" customFormat="1">
      <c r="A40" s="102" t="s">
        <v>105</v>
      </c>
      <c r="B40" s="103" t="s">
        <v>106</v>
      </c>
      <c r="C40" s="70">
        <f>SUMIFS('PROJECT MANAGEMENT OFFICES'!C:C,'PROJECT MANAGEMENT OFFICES'!A:A,'TENDER SUMMARY'!A40)</f>
        <v>0</v>
      </c>
      <c r="D40" s="70">
        <f t="shared" si="4"/>
        <v>0</v>
      </c>
      <c r="E40" s="105">
        <f t="shared" si="5"/>
        <v>0.12</v>
      </c>
      <c r="F40" s="70">
        <f t="shared" si="6"/>
        <v>0</v>
      </c>
      <c r="G40" s="73">
        <f t="shared" si="7"/>
        <v>0</v>
      </c>
      <c r="H40" s="106"/>
    </row>
    <row r="41" spans="1:9" s="55" customFormat="1">
      <c r="A41" s="102" t="s">
        <v>107</v>
      </c>
      <c r="B41" s="103" t="s">
        <v>108</v>
      </c>
      <c r="C41" s="70">
        <f>SUMIFS('PROJECT MANAGEMENT OFFICES'!C:C,'PROJECT MANAGEMENT OFFICES'!A:A,'TENDER SUMMARY'!A41)</f>
        <v>0</v>
      </c>
      <c r="D41" s="70">
        <f t="shared" si="4"/>
        <v>0</v>
      </c>
      <c r="E41" s="105">
        <f t="shared" si="5"/>
        <v>0.12</v>
      </c>
      <c r="F41" s="70">
        <f t="shared" si="6"/>
        <v>0</v>
      </c>
      <c r="G41" s="73">
        <f t="shared" si="7"/>
        <v>0</v>
      </c>
      <c r="H41" s="106"/>
    </row>
    <row r="42" spans="1:9" s="55" customFormat="1">
      <c r="A42" s="102"/>
      <c r="B42" s="103"/>
      <c r="C42" s="70"/>
      <c r="D42" s="70"/>
      <c r="E42" s="71"/>
      <c r="F42" s="71"/>
      <c r="G42" s="73"/>
      <c r="H42" s="106"/>
    </row>
    <row r="43" spans="1:9" s="55" customFormat="1" ht="15">
      <c r="A43" s="107"/>
      <c r="B43" s="108" t="s">
        <v>29</v>
      </c>
      <c r="C43" s="98"/>
      <c r="D43" s="98"/>
      <c r="E43" s="99"/>
      <c r="F43" s="99"/>
      <c r="G43" s="100"/>
      <c r="H43" s="101"/>
    </row>
    <row r="44" spans="1:9" s="55" customFormat="1">
      <c r="A44" s="109" t="s">
        <v>109</v>
      </c>
      <c r="B44" s="103" t="s">
        <v>110</v>
      </c>
      <c r="C44" s="70">
        <f>SUMIFS('DESIGN &amp; ENGINEERING'!C:C,'DESIGN &amp; ENGINEERING'!A:A,'TENDER SUMMARY'!A44)</f>
        <v>5000</v>
      </c>
      <c r="D44" s="70">
        <f>C44*E44</f>
        <v>600</v>
      </c>
      <c r="E44" s="105">
        <f>$E$14</f>
        <v>0.12</v>
      </c>
      <c r="F44" s="70">
        <f>SUM(C44:D44)</f>
        <v>5600</v>
      </c>
      <c r="G44" s="73">
        <f>SUM(C44:D44)/$C$10</f>
        <v>6.9315656917323968E-3</v>
      </c>
      <c r="H44" s="106"/>
    </row>
    <row r="45" spans="1:9" s="55" customFormat="1">
      <c r="A45" s="109" t="s">
        <v>111</v>
      </c>
      <c r="B45" s="103" t="s">
        <v>112</v>
      </c>
      <c r="C45" s="70">
        <f>SUMIFS('DESIGN &amp; ENGINEERING'!C:C,'DESIGN &amp; ENGINEERING'!A:A,'TENDER SUMMARY'!A45)</f>
        <v>50000</v>
      </c>
      <c r="D45" s="70">
        <f>C45*E45</f>
        <v>6000</v>
      </c>
      <c r="E45" s="105">
        <f>$E$14</f>
        <v>0.12</v>
      </c>
      <c r="F45" s="70">
        <f>SUM(C45:D45)</f>
        <v>56000</v>
      </c>
      <c r="G45" s="73">
        <f>SUM(C45:D45)/$C$10</f>
        <v>6.931565691732397E-2</v>
      </c>
      <c r="H45" s="106"/>
    </row>
    <row r="46" spans="1:9" s="55" customFormat="1">
      <c r="A46" s="109"/>
      <c r="B46" s="103"/>
      <c r="C46" s="70"/>
      <c r="D46" s="70"/>
      <c r="E46" s="71"/>
      <c r="F46" s="71"/>
      <c r="G46" s="73"/>
      <c r="H46" s="106"/>
    </row>
    <row r="47" spans="1:9" s="55" customFormat="1" ht="15">
      <c r="A47" s="107"/>
      <c r="B47" s="108" t="s">
        <v>30</v>
      </c>
      <c r="C47" s="98"/>
      <c r="D47" s="98"/>
      <c r="E47" s="99"/>
      <c r="F47" s="99"/>
      <c r="G47" s="100"/>
      <c r="H47" s="101"/>
    </row>
    <row r="48" spans="1:9" s="55" customFormat="1">
      <c r="A48" s="102" t="s">
        <v>113</v>
      </c>
      <c r="B48" s="103" t="s">
        <v>114</v>
      </c>
      <c r="C48" s="70">
        <f>SUMIFS('PRODUCTION &amp; PROCUREMENT'!C:C,'PRODUCTION &amp; PROCUREMENT'!A:A,'TENDER SUMMARY'!A48)</f>
        <v>0</v>
      </c>
      <c r="D48" s="70">
        <f t="shared" ref="D48:D74" si="8">C48*E48</f>
        <v>0</v>
      </c>
      <c r="E48" s="105">
        <f t="shared" ref="E48:E74" si="9">$E$14</f>
        <v>0.12</v>
      </c>
      <c r="F48" s="70">
        <f t="shared" ref="F48:F74" si="10">SUM(C48:D48)</f>
        <v>0</v>
      </c>
      <c r="G48" s="73">
        <f t="shared" ref="G48:G74" si="11">SUM(C48:D48)/$C$10</f>
        <v>0</v>
      </c>
      <c r="H48" s="106"/>
    </row>
    <row r="49" spans="1:8" s="55" customFormat="1">
      <c r="A49" s="102" t="s">
        <v>115</v>
      </c>
      <c r="B49" s="103" t="s">
        <v>116</v>
      </c>
      <c r="C49" s="70">
        <f>SUMIFS('PRODUCTION &amp; PROCUREMENT'!C:C,'PRODUCTION &amp; PROCUREMENT'!A:A,'TENDER SUMMARY'!A49)</f>
        <v>0</v>
      </c>
      <c r="D49" s="70">
        <f t="shared" si="8"/>
        <v>0</v>
      </c>
      <c r="E49" s="105">
        <f t="shared" si="9"/>
        <v>0.12</v>
      </c>
      <c r="F49" s="70">
        <f t="shared" si="10"/>
        <v>0</v>
      </c>
      <c r="G49" s="73">
        <f t="shared" si="11"/>
        <v>0</v>
      </c>
      <c r="H49" s="106"/>
    </row>
    <row r="50" spans="1:8" s="55" customFormat="1">
      <c r="A50" s="102" t="s">
        <v>117</v>
      </c>
      <c r="B50" s="103" t="s">
        <v>118</v>
      </c>
      <c r="C50" s="70">
        <f>SUMIFS('PRODUCTION &amp; PROCUREMENT'!C:C,'PRODUCTION &amp; PROCUREMENT'!A:A,'TENDER SUMMARY'!A50)</f>
        <v>0</v>
      </c>
      <c r="D50" s="70">
        <f t="shared" si="8"/>
        <v>0</v>
      </c>
      <c r="E50" s="105">
        <f t="shared" si="9"/>
        <v>0.12</v>
      </c>
      <c r="F50" s="70">
        <f t="shared" si="10"/>
        <v>0</v>
      </c>
      <c r="G50" s="73">
        <f t="shared" si="11"/>
        <v>0</v>
      </c>
      <c r="H50" s="106"/>
    </row>
    <row r="51" spans="1:8" s="55" customFormat="1">
      <c r="A51" s="102" t="s">
        <v>119</v>
      </c>
      <c r="B51" s="103" t="s">
        <v>120</v>
      </c>
      <c r="C51" s="70">
        <f>SUMIFS('PRODUCTION &amp; PROCUREMENT'!C:C,'PRODUCTION &amp; PROCUREMENT'!A:A,'TENDER SUMMARY'!A51)</f>
        <v>0</v>
      </c>
      <c r="D51" s="70">
        <f t="shared" si="8"/>
        <v>0</v>
      </c>
      <c r="E51" s="105">
        <f t="shared" si="9"/>
        <v>0.12</v>
      </c>
      <c r="F51" s="70">
        <f t="shared" si="10"/>
        <v>0</v>
      </c>
      <c r="G51" s="73">
        <f t="shared" si="11"/>
        <v>0</v>
      </c>
      <c r="H51" s="106"/>
    </row>
    <row r="52" spans="1:8" s="55" customFormat="1">
      <c r="A52" s="102" t="s">
        <v>121</v>
      </c>
      <c r="B52" s="103" t="s">
        <v>122</v>
      </c>
      <c r="C52" s="70">
        <f>SUMIFS('PRODUCTION &amp; PROCUREMENT'!C:C,'PRODUCTION &amp; PROCUREMENT'!A:A,'TENDER SUMMARY'!A52)</f>
        <v>0</v>
      </c>
      <c r="D52" s="70">
        <f t="shared" si="8"/>
        <v>0</v>
      </c>
      <c r="E52" s="105">
        <f t="shared" si="9"/>
        <v>0.12</v>
      </c>
      <c r="F52" s="70">
        <f t="shared" si="10"/>
        <v>0</v>
      </c>
      <c r="G52" s="73">
        <f t="shared" si="11"/>
        <v>0</v>
      </c>
      <c r="H52" s="106"/>
    </row>
    <row r="53" spans="1:8" s="55" customFormat="1">
      <c r="A53" s="102" t="s">
        <v>123</v>
      </c>
      <c r="B53" s="103" t="s">
        <v>124</v>
      </c>
      <c r="C53" s="70">
        <f>SUMIFS('PRODUCTION &amp; PROCUREMENT'!C:C,'PRODUCTION &amp; PROCUREMENT'!A:A,'TENDER SUMMARY'!A53)</f>
        <v>0</v>
      </c>
      <c r="D53" s="70">
        <f t="shared" si="8"/>
        <v>0</v>
      </c>
      <c r="E53" s="105">
        <f t="shared" si="9"/>
        <v>0.12</v>
      </c>
      <c r="F53" s="70">
        <f t="shared" si="10"/>
        <v>0</v>
      </c>
      <c r="G53" s="73">
        <f t="shared" si="11"/>
        <v>0</v>
      </c>
      <c r="H53" s="106"/>
    </row>
    <row r="54" spans="1:8" s="55" customFormat="1">
      <c r="A54" s="102" t="s">
        <v>125</v>
      </c>
      <c r="B54" s="103" t="s">
        <v>126</v>
      </c>
      <c r="C54" s="70">
        <f>SUMIFS('PRODUCTION &amp; PROCUREMENT'!C:C,'PRODUCTION &amp; PROCUREMENT'!A:A,'TENDER SUMMARY'!A54)</f>
        <v>0</v>
      </c>
      <c r="D54" s="70">
        <f t="shared" si="8"/>
        <v>0</v>
      </c>
      <c r="E54" s="105">
        <f t="shared" si="9"/>
        <v>0.12</v>
      </c>
      <c r="F54" s="70">
        <f t="shared" si="10"/>
        <v>0</v>
      </c>
      <c r="G54" s="73">
        <f t="shared" si="11"/>
        <v>0</v>
      </c>
      <c r="H54" s="106"/>
    </row>
    <row r="55" spans="1:8" s="55" customFormat="1">
      <c r="A55" s="102" t="s">
        <v>127</v>
      </c>
      <c r="B55" s="103" t="s">
        <v>128</v>
      </c>
      <c r="C55" s="70">
        <f>SUMIFS('PRODUCTION &amp; PROCUREMENT'!C:C,'PRODUCTION &amp; PROCUREMENT'!A:A,'TENDER SUMMARY'!A55)</f>
        <v>0</v>
      </c>
      <c r="D55" s="70">
        <f t="shared" si="8"/>
        <v>0</v>
      </c>
      <c r="E55" s="105">
        <f t="shared" si="9"/>
        <v>0.12</v>
      </c>
      <c r="F55" s="70">
        <f t="shared" si="10"/>
        <v>0</v>
      </c>
      <c r="G55" s="73">
        <f t="shared" si="11"/>
        <v>0</v>
      </c>
      <c r="H55" s="106"/>
    </row>
    <row r="56" spans="1:8" s="55" customFormat="1">
      <c r="A56" s="102" t="s">
        <v>129</v>
      </c>
      <c r="B56" s="103" t="s">
        <v>130</v>
      </c>
      <c r="C56" s="70">
        <f>SUMIFS('PRODUCTION &amp; PROCUREMENT'!C:C,'PRODUCTION &amp; PROCUREMENT'!A:A,'TENDER SUMMARY'!A56)</f>
        <v>0</v>
      </c>
      <c r="D56" s="70">
        <f t="shared" si="8"/>
        <v>0</v>
      </c>
      <c r="E56" s="105">
        <f t="shared" si="9"/>
        <v>0.12</v>
      </c>
      <c r="F56" s="70">
        <f t="shared" si="10"/>
        <v>0</v>
      </c>
      <c r="G56" s="73">
        <f t="shared" si="11"/>
        <v>0</v>
      </c>
      <c r="H56" s="106"/>
    </row>
    <row r="57" spans="1:8" s="55" customFormat="1">
      <c r="A57" s="102" t="s">
        <v>131</v>
      </c>
      <c r="B57" s="103" t="s">
        <v>132</v>
      </c>
      <c r="C57" s="70">
        <f>SUMIFS('PRODUCTION &amp; PROCUREMENT'!C:C,'PRODUCTION &amp; PROCUREMENT'!A:A,'TENDER SUMMARY'!A57)</f>
        <v>73.377818181818171</v>
      </c>
      <c r="D57" s="70">
        <f t="shared" si="8"/>
        <v>8.8053381818181808</v>
      </c>
      <c r="E57" s="105">
        <f t="shared" si="9"/>
        <v>0.12</v>
      </c>
      <c r="F57" s="70">
        <f t="shared" si="10"/>
        <v>82.183156363636357</v>
      </c>
      <c r="G57" s="73">
        <f t="shared" si="11"/>
        <v>1.0172463340865371E-4</v>
      </c>
      <c r="H57" s="106"/>
    </row>
    <row r="58" spans="1:8" s="55" customFormat="1">
      <c r="A58" s="102" t="s">
        <v>133</v>
      </c>
      <c r="B58" s="103" t="s">
        <v>134</v>
      </c>
      <c r="C58" s="70">
        <f>SUMIFS('PRODUCTION &amp; PROCUREMENT'!C:C,'PRODUCTION &amp; PROCUREMENT'!A:A,'TENDER SUMMARY'!A58)</f>
        <v>0</v>
      </c>
      <c r="D58" s="70">
        <f t="shared" si="8"/>
        <v>0</v>
      </c>
      <c r="E58" s="105">
        <f t="shared" si="9"/>
        <v>0.12</v>
      </c>
      <c r="F58" s="70">
        <f t="shared" si="10"/>
        <v>0</v>
      </c>
      <c r="G58" s="73">
        <f t="shared" si="11"/>
        <v>0</v>
      </c>
      <c r="H58" s="106"/>
    </row>
    <row r="59" spans="1:8" s="55" customFormat="1">
      <c r="A59" s="102" t="s">
        <v>135</v>
      </c>
      <c r="B59" s="103" t="s">
        <v>136</v>
      </c>
      <c r="C59" s="70">
        <f>SUMIFS('PRODUCTION &amp; PROCUREMENT'!C:C,'PRODUCTION &amp; PROCUREMENT'!A:A,'TENDER SUMMARY'!A59)</f>
        <v>1410</v>
      </c>
      <c r="D59" s="70">
        <f t="shared" si="8"/>
        <v>169.2</v>
      </c>
      <c r="E59" s="105">
        <f t="shared" si="9"/>
        <v>0.12</v>
      </c>
      <c r="F59" s="70">
        <f t="shared" si="10"/>
        <v>1579.2</v>
      </c>
      <c r="G59" s="73">
        <f t="shared" si="11"/>
        <v>1.9547015250685361E-3</v>
      </c>
      <c r="H59" s="106"/>
    </row>
    <row r="60" spans="1:8" s="55" customFormat="1">
      <c r="A60" s="102" t="s">
        <v>137</v>
      </c>
      <c r="B60" s="103" t="s">
        <v>138</v>
      </c>
      <c r="C60" s="70">
        <f>SUMIFS('PRODUCTION &amp; PROCUREMENT'!C:C,'PRODUCTION &amp; PROCUREMENT'!A:A,'TENDER SUMMARY'!A60)</f>
        <v>0</v>
      </c>
      <c r="D60" s="70">
        <f t="shared" si="8"/>
        <v>0</v>
      </c>
      <c r="E60" s="105">
        <f t="shared" si="9"/>
        <v>0.12</v>
      </c>
      <c r="F60" s="70">
        <f t="shared" si="10"/>
        <v>0</v>
      </c>
      <c r="G60" s="73">
        <f t="shared" si="11"/>
        <v>0</v>
      </c>
      <c r="H60" s="106"/>
    </row>
    <row r="61" spans="1:8" s="55" customFormat="1">
      <c r="A61" s="102" t="s">
        <v>139</v>
      </c>
      <c r="B61" s="103" t="s">
        <v>140</v>
      </c>
      <c r="C61" s="70">
        <f>SUMIFS('PRODUCTION &amp; PROCUREMENT'!C:C,'PRODUCTION &amp; PROCUREMENT'!A:A,'TENDER SUMMARY'!A61)</f>
        <v>9540</v>
      </c>
      <c r="D61" s="70">
        <f t="shared" si="8"/>
        <v>1144.8</v>
      </c>
      <c r="E61" s="105">
        <f t="shared" si="9"/>
        <v>0.12</v>
      </c>
      <c r="F61" s="70">
        <f t="shared" si="10"/>
        <v>10684.8</v>
      </c>
      <c r="G61" s="73">
        <f t="shared" si="11"/>
        <v>1.3225427339825412E-2</v>
      </c>
      <c r="H61" s="106"/>
    </row>
    <row r="62" spans="1:8" s="55" customFormat="1">
      <c r="A62" s="102" t="s">
        <v>141</v>
      </c>
      <c r="B62" s="103" t="s">
        <v>142</v>
      </c>
      <c r="C62" s="70">
        <f>SUMIFS('PRODUCTION &amp; PROCUREMENT'!C:C,'PRODUCTION &amp; PROCUREMENT'!A:A,'TENDER SUMMARY'!A62)</f>
        <v>0</v>
      </c>
      <c r="D62" s="70">
        <f t="shared" si="8"/>
        <v>0</v>
      </c>
      <c r="E62" s="105">
        <f t="shared" si="9"/>
        <v>0.12</v>
      </c>
      <c r="F62" s="70">
        <f t="shared" si="10"/>
        <v>0</v>
      </c>
      <c r="G62" s="73">
        <f t="shared" si="11"/>
        <v>0</v>
      </c>
      <c r="H62" s="106"/>
    </row>
    <row r="63" spans="1:8" s="55" customFormat="1">
      <c r="A63" s="102" t="s">
        <v>143</v>
      </c>
      <c r="B63" s="103" t="s">
        <v>144</v>
      </c>
      <c r="C63" s="70">
        <f>SUMIFS('PRODUCTION &amp; PROCUREMENT'!C:C,'PRODUCTION &amp; PROCUREMENT'!A:A,'TENDER SUMMARY'!A63)</f>
        <v>0</v>
      </c>
      <c r="D63" s="70">
        <f t="shared" si="8"/>
        <v>0</v>
      </c>
      <c r="E63" s="105">
        <f t="shared" si="9"/>
        <v>0.12</v>
      </c>
      <c r="F63" s="70">
        <f t="shared" si="10"/>
        <v>0</v>
      </c>
      <c r="G63" s="73">
        <f t="shared" si="11"/>
        <v>0</v>
      </c>
      <c r="H63" s="106"/>
    </row>
    <row r="64" spans="1:8" s="55" customFormat="1">
      <c r="A64" s="102" t="s">
        <v>145</v>
      </c>
      <c r="B64" s="103" t="s">
        <v>146</v>
      </c>
      <c r="C64" s="70">
        <f>SUMIFS('PRODUCTION &amp; PROCUREMENT'!C:C,'PRODUCTION &amp; PROCUREMENT'!A:A,'TENDER SUMMARY'!A64)</f>
        <v>0</v>
      </c>
      <c r="D64" s="70">
        <f t="shared" si="8"/>
        <v>0</v>
      </c>
      <c r="E64" s="105">
        <f t="shared" si="9"/>
        <v>0.12</v>
      </c>
      <c r="F64" s="70">
        <f t="shared" si="10"/>
        <v>0</v>
      </c>
      <c r="G64" s="73">
        <f t="shared" si="11"/>
        <v>0</v>
      </c>
      <c r="H64" s="106"/>
    </row>
    <row r="65" spans="1:8" s="55" customFormat="1">
      <c r="A65" s="102" t="s">
        <v>147</v>
      </c>
      <c r="B65" s="103" t="s">
        <v>148</v>
      </c>
      <c r="C65" s="70">
        <f>SUMIFS('PRODUCTION &amp; PROCUREMENT'!C:C,'PRODUCTION &amp; PROCUREMENT'!A:A,'TENDER SUMMARY'!A65)</f>
        <v>12266.43</v>
      </c>
      <c r="D65" s="70">
        <f t="shared" si="8"/>
        <v>1471.9716000000001</v>
      </c>
      <c r="E65" s="105">
        <f t="shared" si="9"/>
        <v>0.12</v>
      </c>
      <c r="F65" s="70">
        <f t="shared" si="10"/>
        <v>13738.401600000001</v>
      </c>
      <c r="G65" s="73">
        <f t="shared" si="11"/>
        <v>1.7005113069607405E-2</v>
      </c>
      <c r="H65" s="106"/>
    </row>
    <row r="66" spans="1:8" s="55" customFormat="1">
      <c r="A66" s="102" t="s">
        <v>149</v>
      </c>
      <c r="B66" s="103" t="s">
        <v>150</v>
      </c>
      <c r="C66" s="70">
        <f>SUMIFS('PRODUCTION &amp; PROCUREMENT'!C:C,'PRODUCTION &amp; PROCUREMENT'!A:A,'TENDER SUMMARY'!A66)</f>
        <v>0</v>
      </c>
      <c r="D66" s="70">
        <f t="shared" si="8"/>
        <v>0</v>
      </c>
      <c r="E66" s="105">
        <f t="shared" si="9"/>
        <v>0.12</v>
      </c>
      <c r="F66" s="70">
        <f t="shared" si="10"/>
        <v>0</v>
      </c>
      <c r="G66" s="73">
        <f t="shared" si="11"/>
        <v>0</v>
      </c>
      <c r="H66" s="106"/>
    </row>
    <row r="67" spans="1:8" s="55" customFormat="1">
      <c r="A67" s="102" t="s">
        <v>151</v>
      </c>
      <c r="B67" s="103" t="s">
        <v>152</v>
      </c>
      <c r="C67" s="70">
        <f>SUMIFS('PRODUCTION &amp; PROCUREMENT'!C:C,'PRODUCTION &amp; PROCUREMENT'!A:A,'TENDER SUMMARY'!A67)</f>
        <v>0</v>
      </c>
      <c r="D67" s="70">
        <f t="shared" si="8"/>
        <v>0</v>
      </c>
      <c r="E67" s="105">
        <f t="shared" si="9"/>
        <v>0.12</v>
      </c>
      <c r="F67" s="70">
        <f t="shared" si="10"/>
        <v>0</v>
      </c>
      <c r="G67" s="73">
        <f t="shared" si="11"/>
        <v>0</v>
      </c>
      <c r="H67" s="106"/>
    </row>
    <row r="68" spans="1:8" s="55" customFormat="1">
      <c r="A68" s="102" t="s">
        <v>153</v>
      </c>
      <c r="B68" s="103" t="s">
        <v>154</v>
      </c>
      <c r="C68" s="70">
        <f>SUMIFS('PRODUCTION &amp; PROCUREMENT'!C:C,'PRODUCTION &amp; PROCUREMENT'!A:A,'TENDER SUMMARY'!A68)</f>
        <v>0</v>
      </c>
      <c r="D68" s="70">
        <f t="shared" si="8"/>
        <v>0</v>
      </c>
      <c r="E68" s="105">
        <f t="shared" si="9"/>
        <v>0.12</v>
      </c>
      <c r="F68" s="70">
        <f t="shared" si="10"/>
        <v>0</v>
      </c>
      <c r="G68" s="73">
        <f t="shared" si="11"/>
        <v>0</v>
      </c>
      <c r="H68" s="106"/>
    </row>
    <row r="69" spans="1:8" s="55" customFormat="1">
      <c r="A69" s="102" t="s">
        <v>155</v>
      </c>
      <c r="B69" s="103" t="s">
        <v>156</v>
      </c>
      <c r="C69" s="70">
        <f>SUMIFS('PRODUCTION &amp; PROCUREMENT'!C:C,'PRODUCTION &amp; PROCUREMENT'!A:A,'TENDER SUMMARY'!A69)</f>
        <v>0</v>
      </c>
      <c r="D69" s="70">
        <f t="shared" si="8"/>
        <v>0</v>
      </c>
      <c r="E69" s="105">
        <f t="shared" si="9"/>
        <v>0.12</v>
      </c>
      <c r="F69" s="70">
        <f t="shared" si="10"/>
        <v>0</v>
      </c>
      <c r="G69" s="73">
        <f t="shared" si="11"/>
        <v>0</v>
      </c>
      <c r="H69" s="106"/>
    </row>
    <row r="70" spans="1:8" s="55" customFormat="1">
      <c r="A70" s="102" t="s">
        <v>157</v>
      </c>
      <c r="B70" s="103" t="s">
        <v>158</v>
      </c>
      <c r="C70" s="70">
        <f>SUMIFS('PRODUCTION &amp; PROCUREMENT'!C:C,'PRODUCTION &amp; PROCUREMENT'!A:A,'TENDER SUMMARY'!A70)</f>
        <v>0</v>
      </c>
      <c r="D70" s="70">
        <f t="shared" si="8"/>
        <v>0</v>
      </c>
      <c r="E70" s="105">
        <f t="shared" si="9"/>
        <v>0.12</v>
      </c>
      <c r="F70" s="70">
        <f t="shared" si="10"/>
        <v>0</v>
      </c>
      <c r="G70" s="73">
        <f t="shared" si="11"/>
        <v>0</v>
      </c>
      <c r="H70" s="106"/>
    </row>
    <row r="71" spans="1:8" s="55" customFormat="1">
      <c r="A71" s="102" t="s">
        <v>159</v>
      </c>
      <c r="B71" s="103" t="s">
        <v>160</v>
      </c>
      <c r="C71" s="70">
        <f>SUMIFS('PRODUCTION &amp; PROCUREMENT'!C:C,'PRODUCTION &amp; PROCUREMENT'!A:A,'TENDER SUMMARY'!A71)</f>
        <v>0</v>
      </c>
      <c r="D71" s="70">
        <f t="shared" si="8"/>
        <v>0</v>
      </c>
      <c r="E71" s="105">
        <f t="shared" si="9"/>
        <v>0.12</v>
      </c>
      <c r="F71" s="70">
        <f t="shared" si="10"/>
        <v>0</v>
      </c>
      <c r="G71" s="73">
        <f t="shared" si="11"/>
        <v>0</v>
      </c>
      <c r="H71" s="106"/>
    </row>
    <row r="72" spans="1:8" s="55" customFormat="1">
      <c r="A72" s="102" t="s">
        <v>161</v>
      </c>
      <c r="B72" s="103" t="s">
        <v>162</v>
      </c>
      <c r="C72" s="70">
        <f>SUMIFS('PRODUCTION &amp; PROCUREMENT'!C:C,'PRODUCTION &amp; PROCUREMENT'!A:A,'TENDER SUMMARY'!A72)</f>
        <v>0</v>
      </c>
      <c r="D72" s="70">
        <f t="shared" si="8"/>
        <v>0</v>
      </c>
      <c r="E72" s="105">
        <f t="shared" si="9"/>
        <v>0.12</v>
      </c>
      <c r="F72" s="70">
        <f t="shared" si="10"/>
        <v>0</v>
      </c>
      <c r="G72" s="73">
        <f t="shared" si="11"/>
        <v>0</v>
      </c>
      <c r="H72" s="106"/>
    </row>
    <row r="73" spans="1:8" s="55" customFormat="1">
      <c r="A73" s="102" t="s">
        <v>163</v>
      </c>
      <c r="B73" s="103" t="s">
        <v>164</v>
      </c>
      <c r="C73" s="70">
        <f>SUMIFS('PRODUCTION &amp; PROCUREMENT'!C:C,'PRODUCTION &amp; PROCUREMENT'!A:A,'TENDER SUMMARY'!A73)</f>
        <v>0</v>
      </c>
      <c r="D73" s="70">
        <f t="shared" si="8"/>
        <v>0</v>
      </c>
      <c r="E73" s="105">
        <f t="shared" si="9"/>
        <v>0.12</v>
      </c>
      <c r="F73" s="70">
        <f t="shared" si="10"/>
        <v>0</v>
      </c>
      <c r="G73" s="73">
        <f t="shared" si="11"/>
        <v>0</v>
      </c>
      <c r="H73" s="106"/>
    </row>
    <row r="74" spans="1:8" s="55" customFormat="1">
      <c r="A74" s="102" t="s">
        <v>165</v>
      </c>
      <c r="B74" s="103" t="s">
        <v>166</v>
      </c>
      <c r="C74" s="70">
        <f>SUMIFS('PRODUCTION &amp; PROCUREMENT'!C:C,'PRODUCTION &amp; PROCUREMENT'!A:A,'TENDER SUMMARY'!A74)</f>
        <v>0</v>
      </c>
      <c r="D74" s="70">
        <f t="shared" si="8"/>
        <v>0</v>
      </c>
      <c r="E74" s="105">
        <f t="shared" si="9"/>
        <v>0.12</v>
      </c>
      <c r="F74" s="70">
        <f t="shared" si="10"/>
        <v>0</v>
      </c>
      <c r="G74" s="73">
        <f t="shared" si="11"/>
        <v>0</v>
      </c>
      <c r="H74" s="106"/>
    </row>
    <row r="75" spans="1:8" s="55" customFormat="1">
      <c r="A75" s="102"/>
      <c r="B75" s="103"/>
      <c r="C75" s="70"/>
      <c r="D75" s="70"/>
      <c r="E75" s="71"/>
      <c r="F75" s="71"/>
      <c r="G75" s="73"/>
      <c r="H75" s="106"/>
    </row>
    <row r="76" spans="1:8" s="55" customFormat="1" ht="15">
      <c r="A76" s="107"/>
      <c r="B76" s="108" t="s">
        <v>31</v>
      </c>
      <c r="C76" s="98"/>
      <c r="D76" s="98"/>
      <c r="E76" s="99"/>
      <c r="F76" s="99"/>
      <c r="G76" s="100"/>
      <c r="H76" s="101"/>
    </row>
    <row r="77" spans="1:8" s="55" customFormat="1">
      <c r="A77" s="102" t="s">
        <v>167</v>
      </c>
      <c r="B77" s="103" t="s">
        <v>168</v>
      </c>
      <c r="C77" s="70">
        <f>SUMIFS('PRODUCTION &amp; PROCUREMENT'!C:C,'PRODUCTION &amp; PROCUREMENT'!A:A,'TENDER SUMMARY'!A77)</f>
        <v>81480</v>
      </c>
      <c r="D77" s="70">
        <f t="shared" ref="D77:D83" si="12">C77*E77</f>
        <v>9777.6</v>
      </c>
      <c r="E77" s="231">
        <f t="shared" ref="E77:E83" si="13">$E$14</f>
        <v>0.12</v>
      </c>
      <c r="F77" s="70">
        <f t="shared" ref="F77:F83" si="14">SUM(C77:D77)</f>
        <v>91257.600000000006</v>
      </c>
      <c r="G77" s="73">
        <f t="shared" ref="G77:G83" si="15">SUM(C77:D77)/$C$10</f>
        <v>0.11295679451247115</v>
      </c>
      <c r="H77" s="106"/>
    </row>
    <row r="78" spans="1:8" s="55" customFormat="1">
      <c r="A78" s="102" t="s">
        <v>169</v>
      </c>
      <c r="B78" s="103" t="s">
        <v>170</v>
      </c>
      <c r="C78" s="70">
        <f>SUMIFS('PRODUCTION &amp; PROCUREMENT'!C:C,'PRODUCTION &amp; PROCUREMENT'!A:A,'TENDER SUMMARY'!A78)</f>
        <v>1400</v>
      </c>
      <c r="D78" s="70">
        <f t="shared" si="12"/>
        <v>168</v>
      </c>
      <c r="E78" s="231">
        <f t="shared" si="13"/>
        <v>0.12</v>
      </c>
      <c r="F78" s="70">
        <f t="shared" si="14"/>
        <v>1568</v>
      </c>
      <c r="G78" s="73">
        <f t="shared" si="15"/>
        <v>1.9408383936850712E-3</v>
      </c>
      <c r="H78" s="106"/>
    </row>
    <row r="79" spans="1:8" s="55" customFormat="1">
      <c r="A79" s="102" t="s">
        <v>171</v>
      </c>
      <c r="B79" s="103" t="s">
        <v>172</v>
      </c>
      <c r="C79" s="70">
        <f>SUMIFS('PRODUCTION &amp; PROCUREMENT'!C:C,'PRODUCTION &amp; PROCUREMENT'!A:A,'TENDER SUMMARY'!A79)</f>
        <v>0</v>
      </c>
      <c r="D79" s="70">
        <f t="shared" si="12"/>
        <v>0</v>
      </c>
      <c r="E79" s="231">
        <f t="shared" si="13"/>
        <v>0.12</v>
      </c>
      <c r="F79" s="70">
        <f t="shared" si="14"/>
        <v>0</v>
      </c>
      <c r="G79" s="73">
        <f t="shared" si="15"/>
        <v>0</v>
      </c>
      <c r="H79" s="106" t="s">
        <v>173</v>
      </c>
    </row>
    <row r="80" spans="1:8" s="55" customFormat="1">
      <c r="A80" s="102" t="s">
        <v>174</v>
      </c>
      <c r="B80" s="103" t="s">
        <v>175</v>
      </c>
      <c r="C80" s="70">
        <f>SUMIFS('PRODUCTION &amp; PROCUREMENT'!C:C,'PRODUCTION &amp; PROCUREMENT'!A:A,'TENDER SUMMARY'!A80)</f>
        <v>0</v>
      </c>
      <c r="D80" s="70">
        <f t="shared" si="12"/>
        <v>0</v>
      </c>
      <c r="E80" s="231">
        <f t="shared" si="13"/>
        <v>0.12</v>
      </c>
      <c r="F80" s="70">
        <f t="shared" si="14"/>
        <v>0</v>
      </c>
      <c r="G80" s="73">
        <f t="shared" si="15"/>
        <v>0</v>
      </c>
      <c r="H80" s="106"/>
    </row>
    <row r="81" spans="1:8" s="55" customFormat="1">
      <c r="A81" s="102" t="s">
        <v>176</v>
      </c>
      <c r="B81" s="103" t="s">
        <v>177</v>
      </c>
      <c r="C81" s="70">
        <f>SUMIFS('PRODUCTION &amp; PROCUREMENT'!C:C,'PRODUCTION &amp; PROCUREMENT'!A:A,'TENDER SUMMARY'!A81)</f>
        <v>0</v>
      </c>
      <c r="D81" s="70">
        <f t="shared" si="12"/>
        <v>0</v>
      </c>
      <c r="E81" s="231">
        <f t="shared" si="13"/>
        <v>0.12</v>
      </c>
      <c r="F81" s="70">
        <f t="shared" si="14"/>
        <v>0</v>
      </c>
      <c r="G81" s="73">
        <f t="shared" si="15"/>
        <v>0</v>
      </c>
      <c r="H81" s="106"/>
    </row>
    <row r="82" spans="1:8" s="55" customFormat="1">
      <c r="A82" s="102" t="s">
        <v>178</v>
      </c>
      <c r="B82" s="103" t="s">
        <v>179</v>
      </c>
      <c r="C82" s="70">
        <f>SUMIFS('PRODUCTION &amp; PROCUREMENT'!C:C,'PRODUCTION &amp; PROCUREMENT'!A:A,'TENDER SUMMARY'!A82)</f>
        <v>0</v>
      </c>
      <c r="D82" s="70">
        <f t="shared" si="12"/>
        <v>0</v>
      </c>
      <c r="E82" s="231">
        <f t="shared" si="13"/>
        <v>0.12</v>
      </c>
      <c r="F82" s="70">
        <f t="shared" si="14"/>
        <v>0</v>
      </c>
      <c r="G82" s="73">
        <f t="shared" si="15"/>
        <v>0</v>
      </c>
      <c r="H82" s="106"/>
    </row>
    <row r="83" spans="1:8" s="55" customFormat="1">
      <c r="A83" s="102" t="s">
        <v>180</v>
      </c>
      <c r="B83" s="103" t="s">
        <v>181</v>
      </c>
      <c r="C83" s="70">
        <f>SUMIFS('PRODUCTION &amp; PROCUREMENT'!C:C,'PRODUCTION &amp; PROCUREMENT'!A:A,'TENDER SUMMARY'!A83)</f>
        <v>0</v>
      </c>
      <c r="D83" s="70">
        <f t="shared" si="12"/>
        <v>0</v>
      </c>
      <c r="E83" s="231">
        <f t="shared" si="13"/>
        <v>0.12</v>
      </c>
      <c r="F83" s="70">
        <f t="shared" si="14"/>
        <v>0</v>
      </c>
      <c r="G83" s="73">
        <f t="shared" si="15"/>
        <v>0</v>
      </c>
      <c r="H83" s="106"/>
    </row>
    <row r="84" spans="1:8" s="55" customFormat="1">
      <c r="A84" s="102"/>
      <c r="B84" s="103"/>
      <c r="C84" s="70"/>
      <c r="D84" s="70"/>
      <c r="E84" s="230"/>
      <c r="F84" s="71"/>
      <c r="G84" s="73"/>
      <c r="H84" s="106"/>
    </row>
    <row r="85" spans="1:8" s="55" customFormat="1" ht="15">
      <c r="A85" s="107"/>
      <c r="B85" s="108" t="s">
        <v>32</v>
      </c>
      <c r="C85" s="98"/>
      <c r="D85" s="98"/>
      <c r="E85" s="99"/>
      <c r="F85" s="99"/>
      <c r="G85" s="100"/>
      <c r="H85" s="101"/>
    </row>
    <row r="86" spans="1:8" s="55" customFormat="1">
      <c r="A86" s="102" t="s">
        <v>182</v>
      </c>
      <c r="B86" s="103" t="s">
        <v>183</v>
      </c>
      <c r="C86" s="70">
        <f>SUMIFS('PRODUCTION &amp; PROCUREMENT'!C:C,'PRODUCTION &amp; PROCUREMENT'!A:A,'TENDER SUMMARY'!A86)</f>
        <v>0</v>
      </c>
      <c r="D86" s="70">
        <f t="shared" ref="D86:D92" si="16">C86*E86</f>
        <v>0</v>
      </c>
      <c r="E86" s="229">
        <f t="shared" ref="E86:E92" si="17">$E$14</f>
        <v>0.12</v>
      </c>
      <c r="F86" s="70">
        <f t="shared" ref="F86:F92" si="18">SUM(C86:D86)</f>
        <v>0</v>
      </c>
      <c r="G86" s="73">
        <f t="shared" ref="G86:G92" si="19">SUM(C86:D86)/$C$10</f>
        <v>0</v>
      </c>
      <c r="H86" s="106"/>
    </row>
    <row r="87" spans="1:8" s="55" customFormat="1">
      <c r="A87" s="102" t="s">
        <v>184</v>
      </c>
      <c r="B87" s="103" t="s">
        <v>185</v>
      </c>
      <c r="C87" s="70">
        <f>SUMIFS('PRODUCTION &amp; PROCUREMENT'!C:C,'PRODUCTION &amp; PROCUREMENT'!A:A,'TENDER SUMMARY'!A87)</f>
        <v>0</v>
      </c>
      <c r="D87" s="70">
        <f t="shared" si="16"/>
        <v>0</v>
      </c>
      <c r="E87" s="229">
        <f t="shared" si="17"/>
        <v>0.12</v>
      </c>
      <c r="F87" s="70">
        <f t="shared" si="18"/>
        <v>0</v>
      </c>
      <c r="G87" s="73">
        <f t="shared" si="19"/>
        <v>0</v>
      </c>
      <c r="H87" s="106"/>
    </row>
    <row r="88" spans="1:8" s="55" customFormat="1">
      <c r="A88" s="102" t="s">
        <v>186</v>
      </c>
      <c r="B88" s="103" t="s">
        <v>187</v>
      </c>
      <c r="C88" s="70">
        <f>SUMIFS('PRODUCTION &amp; PROCUREMENT'!C:C,'PRODUCTION &amp; PROCUREMENT'!A:A,'TENDER SUMMARY'!A88)</f>
        <v>125332.86</v>
      </c>
      <c r="D88" s="70">
        <f t="shared" si="16"/>
        <v>15039.9432</v>
      </c>
      <c r="E88" s="229">
        <f t="shared" si="17"/>
        <v>0.12</v>
      </c>
      <c r="F88" s="70">
        <f t="shared" si="18"/>
        <v>140372.80319999999</v>
      </c>
      <c r="G88" s="73">
        <f t="shared" si="19"/>
        <v>0.17375059048453992</v>
      </c>
      <c r="H88" s="106"/>
    </row>
    <row r="89" spans="1:8" s="55" customFormat="1">
      <c r="A89" s="102" t="s">
        <v>188</v>
      </c>
      <c r="B89" s="103" t="s">
        <v>189</v>
      </c>
      <c r="C89" s="70">
        <f>SUMIFS('PRODUCTION &amp; PROCUREMENT'!C:C,'PRODUCTION &amp; PROCUREMENT'!A:A,'TENDER SUMMARY'!A89)</f>
        <v>0</v>
      </c>
      <c r="D89" s="70">
        <f t="shared" si="16"/>
        <v>0</v>
      </c>
      <c r="E89" s="231">
        <f>$E$14</f>
        <v>0.12</v>
      </c>
      <c r="F89" s="70">
        <f t="shared" si="18"/>
        <v>0</v>
      </c>
      <c r="G89" s="73">
        <f t="shared" si="19"/>
        <v>0</v>
      </c>
      <c r="H89" s="106"/>
    </row>
    <row r="90" spans="1:8" s="55" customFormat="1">
      <c r="A90" s="102" t="s">
        <v>190</v>
      </c>
      <c r="B90" s="103" t="s">
        <v>191</v>
      </c>
      <c r="C90" s="70">
        <f>SUMIFS('PRODUCTION &amp; PROCUREMENT'!C:C,'PRODUCTION &amp; PROCUREMENT'!A:A,'TENDER SUMMARY'!A90)</f>
        <v>0</v>
      </c>
      <c r="D90" s="70">
        <f t="shared" si="16"/>
        <v>0</v>
      </c>
      <c r="E90" s="229">
        <f t="shared" si="17"/>
        <v>0.12</v>
      </c>
      <c r="F90" s="70">
        <f t="shared" si="18"/>
        <v>0</v>
      </c>
      <c r="G90" s="73">
        <f t="shared" si="19"/>
        <v>0</v>
      </c>
      <c r="H90" s="106"/>
    </row>
    <row r="91" spans="1:8" s="55" customFormat="1">
      <c r="A91" s="102" t="s">
        <v>192</v>
      </c>
      <c r="B91" s="103" t="s">
        <v>193</v>
      </c>
      <c r="C91" s="70">
        <f>SUMIFS('PRODUCTION &amp; PROCUREMENT'!C:C,'PRODUCTION &amp; PROCUREMENT'!A:A,'TENDER SUMMARY'!A91)</f>
        <v>7700</v>
      </c>
      <c r="D91" s="70">
        <f t="shared" si="16"/>
        <v>924</v>
      </c>
      <c r="E91" s="229">
        <f t="shared" si="17"/>
        <v>0.12</v>
      </c>
      <c r="F91" s="70">
        <f t="shared" si="18"/>
        <v>8624</v>
      </c>
      <c r="G91" s="73">
        <f t="shared" si="19"/>
        <v>1.0674611165267892E-2</v>
      </c>
      <c r="H91" s="106"/>
    </row>
    <row r="92" spans="1:8" s="55" customFormat="1">
      <c r="A92" s="102" t="s">
        <v>194</v>
      </c>
      <c r="B92" s="103" t="s">
        <v>195</v>
      </c>
      <c r="C92" s="70">
        <f>SUMIFS('PRODUCTION &amp; PROCUREMENT'!C:C,'PRODUCTION &amp; PROCUREMENT'!A:A,'TENDER SUMMARY'!A92)</f>
        <v>0</v>
      </c>
      <c r="D92" s="70">
        <f t="shared" si="16"/>
        <v>0</v>
      </c>
      <c r="E92" s="229">
        <f t="shared" si="17"/>
        <v>0.12</v>
      </c>
      <c r="F92" s="70">
        <f t="shared" si="18"/>
        <v>0</v>
      </c>
      <c r="G92" s="73">
        <f t="shared" si="19"/>
        <v>0</v>
      </c>
      <c r="H92" s="106"/>
    </row>
    <row r="93" spans="1:8" s="55" customFormat="1">
      <c r="A93" s="102"/>
      <c r="B93" s="103"/>
      <c r="C93" s="70"/>
      <c r="D93" s="70"/>
      <c r="E93" s="71"/>
      <c r="F93" s="71"/>
      <c r="G93" s="73"/>
      <c r="H93" s="106"/>
    </row>
    <row r="94" spans="1:8" s="55" customFormat="1" ht="15">
      <c r="A94" s="107"/>
      <c r="B94" s="108" t="s">
        <v>33</v>
      </c>
      <c r="C94" s="98"/>
      <c r="D94" s="98"/>
      <c r="E94" s="99"/>
      <c r="F94" s="99"/>
      <c r="G94" s="100"/>
      <c r="H94" s="101"/>
    </row>
    <row r="95" spans="1:8" s="55" customFormat="1">
      <c r="A95" s="102" t="s">
        <v>196</v>
      </c>
      <c r="B95" s="103" t="s">
        <v>197</v>
      </c>
      <c r="C95" s="70">
        <f>SUMIFS('TRANSPORT &amp; LOGISTICS'!C:C,'TRANSPORT &amp; LOGISTICS'!A:A,'TENDER SUMMARY'!A95)</f>
        <v>58485</v>
      </c>
      <c r="D95" s="70">
        <f>C95*E95</f>
        <v>7018.2</v>
      </c>
      <c r="E95" s="105">
        <f>$E$14</f>
        <v>0.12</v>
      </c>
      <c r="F95" s="70">
        <f>SUM(C95:D95)</f>
        <v>65503.199999999997</v>
      </c>
      <c r="G95" s="73">
        <f>SUM(C95:D95)/$C$10</f>
        <v>8.1078523896193841E-2</v>
      </c>
      <c r="H95" s="106"/>
    </row>
    <row r="96" spans="1:8" s="55" customFormat="1">
      <c r="A96" s="102" t="s">
        <v>198</v>
      </c>
      <c r="B96" s="103" t="s">
        <v>199</v>
      </c>
      <c r="C96" s="70">
        <f>SUMIFS('TRANSPORT &amp; LOGISTICS'!C:C,'TRANSPORT &amp; LOGISTICS'!A:A,'TENDER SUMMARY'!A96)</f>
        <v>8782.6785714285725</v>
      </c>
      <c r="D96" s="70">
        <f>C96*E96</f>
        <v>1053.9214285714286</v>
      </c>
      <c r="E96" s="105">
        <f>$E$14</f>
        <v>0.12</v>
      </c>
      <c r="F96" s="70">
        <f>SUM(C96:D96)</f>
        <v>9836.6</v>
      </c>
      <c r="G96" s="73">
        <f>SUM(C96:D96)/$C$10</f>
        <v>1.2175542693445517E-2</v>
      </c>
      <c r="H96" s="106"/>
    </row>
    <row r="97" spans="1:8" s="55" customFormat="1">
      <c r="A97" s="102" t="s">
        <v>200</v>
      </c>
      <c r="B97" s="103" t="s">
        <v>201</v>
      </c>
      <c r="C97" s="70">
        <f>SUMIFS('TRANSPORT &amp; LOGISTICS'!C:C,'TRANSPORT &amp; LOGISTICS'!A:A,'TENDER SUMMARY'!A97)</f>
        <v>4542.8571428571431</v>
      </c>
      <c r="D97" s="70">
        <f>C97*E97</f>
        <v>545.14285714285711</v>
      </c>
      <c r="E97" s="105">
        <f>$E$14</f>
        <v>0.12</v>
      </c>
      <c r="F97" s="70">
        <f>SUM(C97:D97)</f>
        <v>5088</v>
      </c>
      <c r="G97" s="73">
        <f>SUM(C97:D97)/$C$10</f>
        <v>6.2978225427740061E-3</v>
      </c>
      <c r="H97" s="106"/>
    </row>
    <row r="98" spans="1:8" s="55" customFormat="1">
      <c r="A98" s="102" t="s">
        <v>202</v>
      </c>
      <c r="B98" s="103" t="s">
        <v>203</v>
      </c>
      <c r="C98" s="70">
        <f>SUMIFS('TRANSPORT &amp; LOGISTICS'!C:C,'TRANSPORT &amp; LOGISTICS'!A:A,'TENDER SUMMARY'!A98)</f>
        <v>0</v>
      </c>
      <c r="D98" s="70">
        <f>C98*E98</f>
        <v>0</v>
      </c>
      <c r="E98" s="105">
        <f>$E$14</f>
        <v>0.12</v>
      </c>
      <c r="F98" s="70">
        <f>SUM(C98:D98)</f>
        <v>0</v>
      </c>
      <c r="G98" s="73">
        <f>SUM(C98:D98)/$C$10</f>
        <v>0</v>
      </c>
      <c r="H98" s="106"/>
    </row>
    <row r="99" spans="1:8" s="55" customFormat="1">
      <c r="A99" s="102"/>
      <c r="B99" s="103"/>
      <c r="C99" s="70"/>
      <c r="D99" s="70"/>
      <c r="E99" s="71"/>
      <c r="F99" s="71"/>
      <c r="G99" s="73"/>
      <c r="H99" s="106"/>
    </row>
    <row r="100" spans="1:8" s="55" customFormat="1" ht="15">
      <c r="A100" s="107"/>
      <c r="B100" s="108" t="s">
        <v>34</v>
      </c>
      <c r="C100" s="98"/>
      <c r="D100" s="98"/>
      <c r="E100" s="99"/>
      <c r="F100" s="99"/>
      <c r="G100" s="100"/>
      <c r="H100" s="101"/>
    </row>
    <row r="101" spans="1:8" s="55" customFormat="1">
      <c r="A101" s="102" t="s">
        <v>204</v>
      </c>
      <c r="B101" s="103" t="s">
        <v>205</v>
      </c>
      <c r="C101" s="70">
        <f>SUMIFS('SITE COSTS'!C:C,'SITE COSTS'!A:A,'TENDER SUMMARY'!A101)+SUMIFS('PRODUCTION &amp; PROCUREMENT'!C:C,'PRODUCTION &amp; PROCUREMENT'!A:A,'TENDER SUMMARY'!A101)</f>
        <v>96600</v>
      </c>
      <c r="D101" s="70">
        <f>C101*E101</f>
        <v>11592</v>
      </c>
      <c r="E101" s="105">
        <f t="shared" ref="E101:E111" si="20">$E$14</f>
        <v>0.12</v>
      </c>
      <c r="F101" s="70">
        <f t="shared" ref="F101:F111" si="21">SUM(C101:D101)</f>
        <v>108192</v>
      </c>
      <c r="G101" s="73">
        <f>SUM(C101:D101)/$C$10</f>
        <v>0.13391784916426991</v>
      </c>
      <c r="H101" s="106"/>
    </row>
    <row r="102" spans="1:8" s="55" customFormat="1">
      <c r="A102" s="102" t="s">
        <v>206</v>
      </c>
      <c r="B102" s="103" t="s">
        <v>207</v>
      </c>
      <c r="C102" s="70">
        <f>SUMIFS('SITE COSTS'!C:C,'SITE COSTS'!A:A,'TENDER SUMMARY'!A102)</f>
        <v>0</v>
      </c>
      <c r="D102" s="70">
        <f t="shared" ref="D102:D107" si="22">C102*E102</f>
        <v>0</v>
      </c>
      <c r="E102" s="105">
        <f t="shared" si="20"/>
        <v>0.12</v>
      </c>
      <c r="F102" s="70">
        <f t="shared" si="21"/>
        <v>0</v>
      </c>
      <c r="G102" s="73">
        <f t="shared" ref="G102:G107" si="23">SUM(C102:D102)/$C$10</f>
        <v>0</v>
      </c>
      <c r="H102" s="106"/>
    </row>
    <row r="103" spans="1:8" s="55" customFormat="1">
      <c r="A103" s="102" t="s">
        <v>208</v>
      </c>
      <c r="B103" s="103" t="s">
        <v>209</v>
      </c>
      <c r="C103" s="70">
        <f>SUMIFS('SITE COSTS'!C:C,'SITE COSTS'!A:A,'TENDER SUMMARY'!A103)</f>
        <v>3500</v>
      </c>
      <c r="D103" s="70">
        <f t="shared" si="22"/>
        <v>420</v>
      </c>
      <c r="E103" s="105">
        <f t="shared" si="20"/>
        <v>0.12</v>
      </c>
      <c r="F103" s="70">
        <f t="shared" si="21"/>
        <v>3920</v>
      </c>
      <c r="G103" s="73">
        <f t="shared" si="23"/>
        <v>4.8520959842126782E-3</v>
      </c>
      <c r="H103" s="106"/>
    </row>
    <row r="104" spans="1:8" s="55" customFormat="1">
      <c r="A104" s="102" t="s">
        <v>210</v>
      </c>
      <c r="B104" s="103" t="s">
        <v>211</v>
      </c>
      <c r="C104" s="70">
        <f>SUMIFS('SITE COSTS'!C:C,'SITE COSTS'!A:A,'TENDER SUMMARY'!A104)</f>
        <v>0</v>
      </c>
      <c r="D104" s="70">
        <f t="shared" si="22"/>
        <v>0</v>
      </c>
      <c r="E104" s="105">
        <f t="shared" si="20"/>
        <v>0.12</v>
      </c>
      <c r="F104" s="70">
        <f t="shared" si="21"/>
        <v>0</v>
      </c>
      <c r="G104" s="73">
        <f t="shared" si="23"/>
        <v>0</v>
      </c>
      <c r="H104" s="106"/>
    </row>
    <row r="105" spans="1:8" s="55" customFormat="1">
      <c r="A105" s="102" t="s">
        <v>212</v>
      </c>
      <c r="B105" s="103" t="s">
        <v>213</v>
      </c>
      <c r="C105" s="70">
        <f>SUMIFS('SITE COSTS'!C:C,'SITE COSTS'!A:A,'TENDER SUMMARY'!A105)</f>
        <v>5000</v>
      </c>
      <c r="D105" s="70">
        <f t="shared" si="22"/>
        <v>600</v>
      </c>
      <c r="E105" s="105">
        <f t="shared" si="20"/>
        <v>0.12</v>
      </c>
      <c r="F105" s="70">
        <f t="shared" si="21"/>
        <v>5600</v>
      </c>
      <c r="G105" s="73">
        <f t="shared" si="23"/>
        <v>6.9315656917323968E-3</v>
      </c>
      <c r="H105" s="106"/>
    </row>
    <row r="106" spans="1:8" s="55" customFormat="1">
      <c r="A106" s="102" t="s">
        <v>214</v>
      </c>
      <c r="B106" s="103" t="s">
        <v>215</v>
      </c>
      <c r="C106" s="70">
        <f>SUMIFS('SITE COSTS'!C:C,'SITE COSTS'!A:A,'TENDER SUMMARY'!A106)</f>
        <v>0</v>
      </c>
      <c r="D106" s="70">
        <f t="shared" si="22"/>
        <v>0</v>
      </c>
      <c r="E106" s="105">
        <f t="shared" si="20"/>
        <v>0.12</v>
      </c>
      <c r="F106" s="70">
        <f t="shared" si="21"/>
        <v>0</v>
      </c>
      <c r="G106" s="73">
        <f t="shared" si="23"/>
        <v>0</v>
      </c>
      <c r="H106" s="106"/>
    </row>
    <row r="107" spans="1:8" s="55" customFormat="1">
      <c r="A107" s="102" t="s">
        <v>216</v>
      </c>
      <c r="B107" s="103" t="s">
        <v>217</v>
      </c>
      <c r="C107" s="70">
        <f>SUMIFS('SITE COSTS'!C:C,'SITE COSTS'!A:A,'TENDER SUMMARY'!A107)</f>
        <v>2000</v>
      </c>
      <c r="D107" s="70">
        <f t="shared" si="22"/>
        <v>240</v>
      </c>
      <c r="E107" s="105">
        <f t="shared" si="20"/>
        <v>0.12</v>
      </c>
      <c r="F107" s="70">
        <f t="shared" si="21"/>
        <v>2240</v>
      </c>
      <c r="G107" s="73">
        <f t="shared" si="23"/>
        <v>2.7726262766929587E-3</v>
      </c>
      <c r="H107" s="106"/>
    </row>
    <row r="108" spans="1:8" s="55" customFormat="1">
      <c r="A108" s="102" t="s">
        <v>218</v>
      </c>
      <c r="B108" s="103" t="s">
        <v>219</v>
      </c>
      <c r="C108" s="70">
        <f>SUMIFS('SITE COSTS'!C:C,'SITE COSTS'!A:A,'TENDER SUMMARY'!A108)</f>
        <v>0</v>
      </c>
      <c r="D108" s="70">
        <f>C108*E108</f>
        <v>0</v>
      </c>
      <c r="E108" s="105">
        <f t="shared" si="20"/>
        <v>0.12</v>
      </c>
      <c r="F108" s="70">
        <f t="shared" si="21"/>
        <v>0</v>
      </c>
      <c r="G108" s="73">
        <f>SUM(C108:D108)/$C$10</f>
        <v>0</v>
      </c>
      <c r="H108" s="106"/>
    </row>
    <row r="109" spans="1:8" s="55" customFormat="1">
      <c r="A109" s="102" t="s">
        <v>220</v>
      </c>
      <c r="B109" s="103" t="s">
        <v>221</v>
      </c>
      <c r="C109" s="70">
        <f>SUMIFS('SITE COSTS'!C:C,'SITE COSTS'!A:A,'TENDER SUMMARY'!A109)</f>
        <v>3000</v>
      </c>
      <c r="D109" s="70">
        <f>C109*E109</f>
        <v>360</v>
      </c>
      <c r="E109" s="105">
        <f t="shared" si="20"/>
        <v>0.12</v>
      </c>
      <c r="F109" s="70">
        <f t="shared" si="21"/>
        <v>3360</v>
      </c>
      <c r="G109" s="73">
        <f>SUM(C109:D109)/$C$10</f>
        <v>4.1589394150394381E-3</v>
      </c>
      <c r="H109" s="106"/>
    </row>
    <row r="110" spans="1:8" s="55" customFormat="1">
      <c r="A110" s="102" t="s">
        <v>222</v>
      </c>
      <c r="B110" s="103" t="s">
        <v>223</v>
      </c>
      <c r="C110" s="70">
        <f>SUMIFS('SITE COSTS'!C:C,'SITE COSTS'!A:A,'TENDER SUMMARY'!A110)</f>
        <v>0</v>
      </c>
      <c r="D110" s="70">
        <f>C110*E110</f>
        <v>0</v>
      </c>
      <c r="E110" s="105">
        <f t="shared" si="20"/>
        <v>0.12</v>
      </c>
      <c r="F110" s="70">
        <f t="shared" si="21"/>
        <v>0</v>
      </c>
      <c r="G110" s="73">
        <f>SUM(C110:D110)/$C$10</f>
        <v>0</v>
      </c>
      <c r="H110" s="106"/>
    </row>
    <row r="111" spans="1:8" s="55" customFormat="1">
      <c r="A111" s="102" t="s">
        <v>224</v>
      </c>
      <c r="B111" s="103" t="s">
        <v>225</v>
      </c>
      <c r="C111" s="70">
        <f>SUMIFS('SITE COSTS'!C:C,'SITE COSTS'!A:A,'TENDER SUMMARY'!A111)</f>
        <v>0</v>
      </c>
      <c r="D111" s="70">
        <f>C111*E111</f>
        <v>0</v>
      </c>
      <c r="E111" s="105">
        <f t="shared" si="20"/>
        <v>0.12</v>
      </c>
      <c r="F111" s="70">
        <f t="shared" si="21"/>
        <v>0</v>
      </c>
      <c r="G111" s="73">
        <f>SUM(C111:D111)/$C$10</f>
        <v>0</v>
      </c>
      <c r="H111" s="106"/>
    </row>
    <row r="112" spans="1:8" s="55" customFormat="1">
      <c r="A112" s="102"/>
      <c r="B112" s="103"/>
      <c r="C112" s="70"/>
      <c r="D112" s="70"/>
      <c r="E112" s="71"/>
      <c r="F112" s="71"/>
      <c r="G112" s="73"/>
      <c r="H112" s="106"/>
    </row>
    <row r="113" spans="1:8" s="55" customFormat="1" ht="15">
      <c r="A113" s="107"/>
      <c r="B113" s="108" t="s">
        <v>226</v>
      </c>
      <c r="C113" s="98"/>
      <c r="D113" s="98"/>
      <c r="E113" s="99"/>
      <c r="F113" s="99"/>
      <c r="G113" s="100"/>
      <c r="H113" s="101"/>
    </row>
    <row r="114" spans="1:8" s="55" customFormat="1">
      <c r="A114" s="102" t="s">
        <v>227</v>
      </c>
      <c r="B114" s="103" t="s">
        <v>228</v>
      </c>
      <c r="C114" s="70">
        <f>SUMIFS('MOCKUP &amp; TESTING'!C:C,'MOCKUP &amp; TESTING'!A:A,'TENDER SUMMARY'!A114)</f>
        <v>0</v>
      </c>
      <c r="D114" s="70">
        <f t="shared" ref="D114:D122" si="24">C114*E114</f>
        <v>0</v>
      </c>
      <c r="E114" s="105">
        <f t="shared" ref="E114:E122" si="25">$E$14</f>
        <v>0.12</v>
      </c>
      <c r="F114" s="70">
        <f t="shared" ref="F114:F122" si="26">SUM(C114:D114)</f>
        <v>0</v>
      </c>
      <c r="G114" s="73">
        <f t="shared" ref="G114:G122" si="27">SUM(C114:D114)/$C$10</f>
        <v>0</v>
      </c>
      <c r="H114" s="106"/>
    </row>
    <row r="115" spans="1:8" s="55" customFormat="1">
      <c r="A115" s="102" t="s">
        <v>229</v>
      </c>
      <c r="B115" s="103" t="s">
        <v>230</v>
      </c>
      <c r="C115" s="70">
        <f>SUMIFS('MOCKUP &amp; TESTING'!C:C,'MOCKUP &amp; TESTING'!A:A,'TENDER SUMMARY'!A115)</f>
        <v>0</v>
      </c>
      <c r="D115" s="70">
        <f t="shared" si="24"/>
        <v>0</v>
      </c>
      <c r="E115" s="105">
        <f t="shared" si="25"/>
        <v>0.12</v>
      </c>
      <c r="F115" s="70">
        <f t="shared" si="26"/>
        <v>0</v>
      </c>
      <c r="G115" s="73">
        <f t="shared" si="27"/>
        <v>0</v>
      </c>
      <c r="H115" s="106"/>
    </row>
    <row r="116" spans="1:8" s="55" customFormat="1">
      <c r="A116" s="102" t="s">
        <v>231</v>
      </c>
      <c r="B116" s="103" t="s">
        <v>232</v>
      </c>
      <c r="C116" s="70">
        <f>SUMIFS('MOCKUP &amp; TESTING'!C:C,'MOCKUP &amp; TESTING'!A:A,'TENDER SUMMARY'!A116)</f>
        <v>0</v>
      </c>
      <c r="D116" s="70">
        <f t="shared" si="24"/>
        <v>0</v>
      </c>
      <c r="E116" s="105">
        <f t="shared" si="25"/>
        <v>0.12</v>
      </c>
      <c r="F116" s="70">
        <f t="shared" si="26"/>
        <v>0</v>
      </c>
      <c r="G116" s="73">
        <f t="shared" si="27"/>
        <v>0</v>
      </c>
      <c r="H116" s="106"/>
    </row>
    <row r="117" spans="1:8" s="55" customFormat="1">
      <c r="A117" s="102" t="s">
        <v>233</v>
      </c>
      <c r="B117" s="103" t="s">
        <v>234</v>
      </c>
      <c r="C117" s="70">
        <f>SUMIFS('MOCKUP &amp; TESTING'!C:C,'MOCKUP &amp; TESTING'!A:A,'TENDER SUMMARY'!A117)</f>
        <v>0</v>
      </c>
      <c r="D117" s="70">
        <f t="shared" si="24"/>
        <v>0</v>
      </c>
      <c r="E117" s="105">
        <f t="shared" si="25"/>
        <v>0.12</v>
      </c>
      <c r="F117" s="70">
        <f t="shared" si="26"/>
        <v>0</v>
      </c>
      <c r="G117" s="73">
        <f t="shared" si="27"/>
        <v>0</v>
      </c>
      <c r="H117" s="106"/>
    </row>
    <row r="118" spans="1:8" s="55" customFormat="1">
      <c r="A118" s="102" t="s">
        <v>235</v>
      </c>
      <c r="B118" s="103" t="s">
        <v>236</v>
      </c>
      <c r="C118" s="70">
        <f>SUMIFS('MOCKUP &amp; TESTING'!C:C,'MOCKUP &amp; TESTING'!A:A,'TENDER SUMMARY'!A118)</f>
        <v>0</v>
      </c>
      <c r="D118" s="70">
        <f t="shared" si="24"/>
        <v>0</v>
      </c>
      <c r="E118" s="105">
        <f t="shared" si="25"/>
        <v>0.12</v>
      </c>
      <c r="F118" s="70">
        <f t="shared" si="26"/>
        <v>0</v>
      </c>
      <c r="G118" s="73">
        <f t="shared" si="27"/>
        <v>0</v>
      </c>
      <c r="H118" s="106"/>
    </row>
    <row r="119" spans="1:8" s="55" customFormat="1">
      <c r="A119" s="102" t="s">
        <v>237</v>
      </c>
      <c r="B119" s="103" t="s">
        <v>238</v>
      </c>
      <c r="C119" s="70">
        <f>SUMIFS('MOCKUP &amp; TESTING'!C:C,'MOCKUP &amp; TESTING'!A:A,'TENDER SUMMARY'!A119)</f>
        <v>0</v>
      </c>
      <c r="D119" s="70">
        <f t="shared" si="24"/>
        <v>0</v>
      </c>
      <c r="E119" s="105">
        <f t="shared" si="25"/>
        <v>0.12</v>
      </c>
      <c r="F119" s="70">
        <f t="shared" si="26"/>
        <v>0</v>
      </c>
      <c r="G119" s="73">
        <f t="shared" si="27"/>
        <v>0</v>
      </c>
      <c r="H119" s="106"/>
    </row>
    <row r="120" spans="1:8" s="55" customFormat="1">
      <c r="A120" s="102" t="s">
        <v>239</v>
      </c>
      <c r="B120" s="103" t="s">
        <v>240</v>
      </c>
      <c r="C120" s="70">
        <f>SUMIFS('MOCKUP &amp; TESTING'!C:C,'MOCKUP &amp; TESTING'!A:A,'TENDER SUMMARY'!A120)</f>
        <v>0</v>
      </c>
      <c r="D120" s="70">
        <f t="shared" si="24"/>
        <v>0</v>
      </c>
      <c r="E120" s="105">
        <f t="shared" si="25"/>
        <v>0.12</v>
      </c>
      <c r="F120" s="70">
        <f t="shared" si="26"/>
        <v>0</v>
      </c>
      <c r="G120" s="73">
        <f t="shared" si="27"/>
        <v>0</v>
      </c>
      <c r="H120" s="106"/>
    </row>
    <row r="121" spans="1:8" s="55" customFormat="1">
      <c r="A121" s="102" t="s">
        <v>241</v>
      </c>
      <c r="B121" s="103" t="s">
        <v>242</v>
      </c>
      <c r="C121" s="70">
        <f>SUMIFS('MOCKUP &amp; TESTING'!C:C,'MOCKUP &amp; TESTING'!A:A,'TENDER SUMMARY'!A121)</f>
        <v>0</v>
      </c>
      <c r="D121" s="70">
        <f t="shared" si="24"/>
        <v>0</v>
      </c>
      <c r="E121" s="105">
        <f t="shared" si="25"/>
        <v>0.12</v>
      </c>
      <c r="F121" s="70">
        <f t="shared" si="26"/>
        <v>0</v>
      </c>
      <c r="G121" s="73">
        <f t="shared" si="27"/>
        <v>0</v>
      </c>
      <c r="H121" s="106"/>
    </row>
    <row r="122" spans="1:8" s="55" customFormat="1">
      <c r="A122" s="102" t="s">
        <v>243</v>
      </c>
      <c r="B122" s="103" t="s">
        <v>102</v>
      </c>
      <c r="C122" s="70">
        <f>SUMIFS('MOCKUP &amp; TESTING'!C:C,'MOCKUP &amp; TESTING'!A:A,'TENDER SUMMARY'!A122)</f>
        <v>0</v>
      </c>
      <c r="D122" s="70">
        <f t="shared" si="24"/>
        <v>0</v>
      </c>
      <c r="E122" s="105">
        <f t="shared" si="25"/>
        <v>0.12</v>
      </c>
      <c r="F122" s="70">
        <f t="shared" si="26"/>
        <v>0</v>
      </c>
      <c r="G122" s="73">
        <f t="shared" si="27"/>
        <v>0</v>
      </c>
      <c r="H122" s="106"/>
    </row>
    <row r="123" spans="1:8" s="55" customFormat="1">
      <c r="A123" s="102"/>
      <c r="B123" s="103"/>
      <c r="C123" s="70"/>
      <c r="D123" s="70"/>
      <c r="E123" s="71"/>
      <c r="F123" s="71"/>
      <c r="G123" s="73"/>
      <c r="H123" s="106"/>
    </row>
    <row r="124" spans="1:8" s="55" customFormat="1" ht="15">
      <c r="A124" s="107"/>
      <c r="B124" s="108" t="s">
        <v>36</v>
      </c>
      <c r="C124" s="98"/>
      <c r="D124" s="98"/>
      <c r="E124" s="99"/>
      <c r="F124" s="99"/>
      <c r="G124" s="100"/>
      <c r="H124" s="101"/>
    </row>
    <row r="125" spans="1:8" s="55" customFormat="1">
      <c r="A125" s="102" t="s">
        <v>244</v>
      </c>
      <c r="B125" s="103" t="s">
        <v>245</v>
      </c>
      <c r="C125" s="70">
        <f>SUMIFS('OVERHEADS &amp; FINANCIAL COSTS'!C:C,'OVERHEADS &amp; FINANCIAL COSTS'!A:A,'TENDER SUMMARY'!A125)</f>
        <v>20000</v>
      </c>
      <c r="D125" s="70">
        <f t="shared" ref="D125:D140" si="28">C125*E125</f>
        <v>2400</v>
      </c>
      <c r="E125" s="105">
        <f t="shared" ref="E125:E140" si="29">$E$14</f>
        <v>0.12</v>
      </c>
      <c r="F125" s="70">
        <f t="shared" ref="F125:F140" si="30">SUM(C125:D125)</f>
        <v>22400</v>
      </c>
      <c r="G125" s="73">
        <f t="shared" ref="G125:G140" si="31">SUM(C125:D125)/$C$10</f>
        <v>2.7726262766929587E-2</v>
      </c>
      <c r="H125" s="106"/>
    </row>
    <row r="126" spans="1:8" s="55" customFormat="1">
      <c r="A126" s="102" t="s">
        <v>246</v>
      </c>
      <c r="B126" s="103" t="s">
        <v>247</v>
      </c>
      <c r="C126" s="70">
        <f>SUMIFS('OVERHEADS &amp; FINANCIAL COSTS'!C:C,'OVERHEADS &amp; FINANCIAL COSTS'!A:A,'TENDER SUMMARY'!A126)</f>
        <v>2000</v>
      </c>
      <c r="D126" s="70">
        <f t="shared" si="28"/>
        <v>240</v>
      </c>
      <c r="E126" s="105">
        <f t="shared" si="29"/>
        <v>0.12</v>
      </c>
      <c r="F126" s="70">
        <f t="shared" si="30"/>
        <v>2240</v>
      </c>
      <c r="G126" s="73">
        <f t="shared" si="31"/>
        <v>2.7726262766929587E-3</v>
      </c>
      <c r="H126" s="106"/>
    </row>
    <row r="127" spans="1:8" s="55" customFormat="1">
      <c r="A127" s="102" t="s">
        <v>248</v>
      </c>
      <c r="B127" s="103" t="s">
        <v>249</v>
      </c>
      <c r="C127" s="70">
        <f>SUMIFS('OVERHEADS &amp; FINANCIAL COSTS'!C:C,'OVERHEADS &amp; FINANCIAL COSTS'!A:A,'TENDER SUMMARY'!A127)</f>
        <v>5000</v>
      </c>
      <c r="D127" s="70">
        <f t="shared" si="28"/>
        <v>600</v>
      </c>
      <c r="E127" s="105">
        <f t="shared" si="29"/>
        <v>0.12</v>
      </c>
      <c r="F127" s="70">
        <f t="shared" si="30"/>
        <v>5600</v>
      </c>
      <c r="G127" s="73">
        <f t="shared" si="31"/>
        <v>6.9315656917323968E-3</v>
      </c>
      <c r="H127" s="106"/>
    </row>
    <row r="128" spans="1:8" s="55" customFormat="1">
      <c r="A128" s="102" t="s">
        <v>250</v>
      </c>
      <c r="B128" s="103" t="s">
        <v>251</v>
      </c>
      <c r="C128" s="70">
        <f>SUMIFS('OVERHEADS &amp; FINANCIAL COSTS'!C:C,'OVERHEADS &amp; FINANCIAL COSTS'!A:A,'TENDER SUMMARY'!A128)</f>
        <v>0</v>
      </c>
      <c r="D128" s="70">
        <f t="shared" si="28"/>
        <v>0</v>
      </c>
      <c r="E128" s="105">
        <f t="shared" si="29"/>
        <v>0.12</v>
      </c>
      <c r="F128" s="70">
        <f t="shared" si="30"/>
        <v>0</v>
      </c>
      <c r="G128" s="73">
        <f t="shared" si="31"/>
        <v>0</v>
      </c>
      <c r="H128" s="106"/>
    </row>
    <row r="129" spans="1:8" s="55" customFormat="1">
      <c r="A129" s="102" t="s">
        <v>252</v>
      </c>
      <c r="B129" s="103" t="s">
        <v>253</v>
      </c>
      <c r="C129" s="70">
        <f>SUMIFS('OVERHEADS &amp; FINANCIAL COSTS'!C:C,'OVERHEADS &amp; FINANCIAL COSTS'!A:A,'TENDER SUMMARY'!A129)</f>
        <v>0</v>
      </c>
      <c r="D129" s="70">
        <f t="shared" si="28"/>
        <v>0</v>
      </c>
      <c r="E129" s="105">
        <f t="shared" si="29"/>
        <v>0.12</v>
      </c>
      <c r="F129" s="70">
        <f t="shared" si="30"/>
        <v>0</v>
      </c>
      <c r="G129" s="73">
        <f t="shared" si="31"/>
        <v>0</v>
      </c>
      <c r="H129" s="106"/>
    </row>
    <row r="130" spans="1:8" s="55" customFormat="1">
      <c r="A130" s="102" t="s">
        <v>254</v>
      </c>
      <c r="B130" s="103" t="s">
        <v>255</v>
      </c>
      <c r="C130" s="70">
        <f>SUMIFS('OVERHEADS &amp; FINANCIAL COSTS'!C:C,'OVERHEADS &amp; FINANCIAL COSTS'!A:A,'TENDER SUMMARY'!A130)</f>
        <v>0</v>
      </c>
      <c r="D130" s="70">
        <f t="shared" si="28"/>
        <v>0</v>
      </c>
      <c r="E130" s="105">
        <f t="shared" si="29"/>
        <v>0.12</v>
      </c>
      <c r="F130" s="70">
        <f t="shared" si="30"/>
        <v>0</v>
      </c>
      <c r="G130" s="73">
        <f t="shared" si="31"/>
        <v>0</v>
      </c>
      <c r="H130" s="106"/>
    </row>
    <row r="131" spans="1:8">
      <c r="A131" s="102" t="s">
        <v>256</v>
      </c>
      <c r="B131" s="103" t="s">
        <v>257</v>
      </c>
      <c r="C131" s="70">
        <f>SUMIFS('OVERHEADS &amp; FINANCIAL COSTS'!C:C,'OVERHEADS &amp; FINANCIAL COSTS'!A:A,'TENDER SUMMARY'!A131)</f>
        <v>0</v>
      </c>
      <c r="D131" s="70">
        <f t="shared" si="28"/>
        <v>0</v>
      </c>
      <c r="E131" s="105">
        <f t="shared" si="29"/>
        <v>0.12</v>
      </c>
      <c r="F131" s="70">
        <f t="shared" si="30"/>
        <v>0</v>
      </c>
      <c r="G131" s="73">
        <f t="shared" si="31"/>
        <v>0</v>
      </c>
      <c r="H131" s="110"/>
    </row>
    <row r="132" spans="1:8">
      <c r="A132" s="102" t="s">
        <v>258</v>
      </c>
      <c r="B132" s="103" t="s">
        <v>259</v>
      </c>
      <c r="C132" s="70">
        <f>SUMIFS('OVERHEADS &amp; FINANCIAL COSTS'!C:C,'OVERHEADS &amp; FINANCIAL COSTS'!A:A,'TENDER SUMMARY'!A132)</f>
        <v>0</v>
      </c>
      <c r="D132" s="70">
        <f t="shared" si="28"/>
        <v>0</v>
      </c>
      <c r="E132" s="105">
        <f t="shared" si="29"/>
        <v>0.12</v>
      </c>
      <c r="F132" s="70">
        <f t="shared" si="30"/>
        <v>0</v>
      </c>
      <c r="G132" s="73">
        <f t="shared" si="31"/>
        <v>0</v>
      </c>
      <c r="H132" s="110"/>
    </row>
    <row r="133" spans="1:8">
      <c r="A133" s="102" t="s">
        <v>260</v>
      </c>
      <c r="B133" s="103" t="s">
        <v>261</v>
      </c>
      <c r="C133" s="70">
        <f>SUMIFS('OVERHEADS &amp; FINANCIAL COSTS'!C:C,'OVERHEADS &amp; FINANCIAL COSTS'!A:A,'TENDER SUMMARY'!A133)</f>
        <v>0</v>
      </c>
      <c r="D133" s="70">
        <f t="shared" si="28"/>
        <v>0</v>
      </c>
      <c r="E133" s="105">
        <f t="shared" si="29"/>
        <v>0.12</v>
      </c>
      <c r="F133" s="70">
        <f t="shared" si="30"/>
        <v>0</v>
      </c>
      <c r="G133" s="73">
        <f t="shared" si="31"/>
        <v>0</v>
      </c>
      <c r="H133" s="110"/>
    </row>
    <row r="134" spans="1:8">
      <c r="A134" s="102" t="s">
        <v>262</v>
      </c>
      <c r="B134" s="103" t="s">
        <v>263</v>
      </c>
      <c r="C134" s="70">
        <f>SUMIFS('OVERHEADS &amp; FINANCIAL COSTS'!C:C,'OVERHEADS &amp; FINANCIAL COSTS'!A:A,'TENDER SUMMARY'!A134)</f>
        <v>0</v>
      </c>
      <c r="D134" s="70">
        <f t="shared" si="28"/>
        <v>0</v>
      </c>
      <c r="E134" s="105">
        <f>$E$14</f>
        <v>0.12</v>
      </c>
      <c r="F134" s="70">
        <f t="shared" si="30"/>
        <v>0</v>
      </c>
      <c r="G134" s="73">
        <f t="shared" si="31"/>
        <v>0</v>
      </c>
      <c r="H134" s="110"/>
    </row>
    <row r="135" spans="1:8">
      <c r="A135" s="102" t="s">
        <v>264</v>
      </c>
      <c r="B135" s="103" t="s">
        <v>265</v>
      </c>
      <c r="C135" s="70">
        <f>SUMIFS('OVERHEADS &amp; FINANCIAL COSTS'!C:C,'OVERHEADS &amp; FINANCIAL COSTS'!A:A,'TENDER SUMMARY'!A135)</f>
        <v>0</v>
      </c>
      <c r="D135" s="70">
        <f t="shared" si="28"/>
        <v>0</v>
      </c>
      <c r="E135" s="105">
        <f t="shared" si="29"/>
        <v>0.12</v>
      </c>
      <c r="F135" s="70">
        <f t="shared" si="30"/>
        <v>0</v>
      </c>
      <c r="G135" s="73">
        <f t="shared" si="31"/>
        <v>0</v>
      </c>
      <c r="H135" s="110"/>
    </row>
    <row r="136" spans="1:8">
      <c r="A136" s="102" t="s">
        <v>266</v>
      </c>
      <c r="B136" s="103" t="s">
        <v>267</v>
      </c>
      <c r="C136" s="70">
        <f>SUMIFS('OVERHEADS &amp; FINANCIAL COSTS'!C:C,'OVERHEADS &amp; FINANCIAL COSTS'!A:A,'TENDER SUMMARY'!A136)</f>
        <v>30000</v>
      </c>
      <c r="D136" s="70">
        <f t="shared" si="28"/>
        <v>3600</v>
      </c>
      <c r="E136" s="105">
        <f t="shared" si="29"/>
        <v>0.12</v>
      </c>
      <c r="F136" s="70">
        <f t="shared" si="30"/>
        <v>33600</v>
      </c>
      <c r="G136" s="73">
        <f t="shared" si="31"/>
        <v>4.1589394150394379E-2</v>
      </c>
      <c r="H136" s="110"/>
    </row>
    <row r="137" spans="1:8">
      <c r="A137" s="102" t="s">
        <v>268</v>
      </c>
      <c r="B137" s="103" t="s">
        <v>269</v>
      </c>
      <c r="C137" s="70">
        <f>SUMIFS('OVERHEADS &amp; FINANCIAL COSTS'!C:C,'OVERHEADS &amp; FINANCIAL COSTS'!A:A,'TENDER SUMMARY'!A137)</f>
        <v>0</v>
      </c>
      <c r="D137" s="70">
        <f t="shared" si="28"/>
        <v>0</v>
      </c>
      <c r="E137" s="105">
        <f t="shared" si="29"/>
        <v>0.12</v>
      </c>
      <c r="F137" s="70">
        <f t="shared" si="30"/>
        <v>0</v>
      </c>
      <c r="G137" s="73">
        <f t="shared" si="31"/>
        <v>0</v>
      </c>
      <c r="H137" s="110"/>
    </row>
    <row r="138" spans="1:8">
      <c r="A138" s="102" t="s">
        <v>270</v>
      </c>
      <c r="B138" s="103" t="s">
        <v>271</v>
      </c>
      <c r="C138" s="70">
        <f>SUMIFS('OVERHEADS &amp; FINANCIAL COSTS'!C:C,'OVERHEADS &amp; FINANCIAL COSTS'!A:A,'TENDER SUMMARY'!A138)</f>
        <v>3000</v>
      </c>
      <c r="D138" s="70">
        <f t="shared" si="28"/>
        <v>360</v>
      </c>
      <c r="E138" s="105">
        <f t="shared" si="29"/>
        <v>0.12</v>
      </c>
      <c r="F138" s="70">
        <f t="shared" si="30"/>
        <v>3360</v>
      </c>
      <c r="G138" s="73">
        <f t="shared" si="31"/>
        <v>4.1589394150394381E-3</v>
      </c>
      <c r="H138" s="110"/>
    </row>
    <row r="139" spans="1:8">
      <c r="A139" s="102" t="s">
        <v>272</v>
      </c>
      <c r="B139" s="103" t="s">
        <v>273</v>
      </c>
      <c r="C139" s="70">
        <f>SUMIFS('OVERHEADS &amp; FINANCIAL COSTS'!C:C,'OVERHEADS &amp; FINANCIAL COSTS'!A:A,'TENDER SUMMARY'!A139)</f>
        <v>0</v>
      </c>
      <c r="D139" s="70">
        <f t="shared" si="28"/>
        <v>0</v>
      </c>
      <c r="E139" s="105">
        <f t="shared" si="29"/>
        <v>0.12</v>
      </c>
      <c r="F139" s="70">
        <f t="shared" si="30"/>
        <v>0</v>
      </c>
      <c r="G139" s="73">
        <f t="shared" si="31"/>
        <v>0</v>
      </c>
      <c r="H139" s="110"/>
    </row>
    <row r="140" spans="1:8">
      <c r="A140" s="102" t="s">
        <v>274</v>
      </c>
      <c r="B140" s="103" t="s">
        <v>275</v>
      </c>
      <c r="C140" s="70">
        <f>SUMIFS('OVERHEADS &amp; FINANCIAL COSTS'!C:C,'OVERHEADS &amp; FINANCIAL COSTS'!A:A,'TENDER SUMMARY'!A140)</f>
        <v>0</v>
      </c>
      <c r="D140" s="70">
        <f t="shared" si="28"/>
        <v>0</v>
      </c>
      <c r="E140" s="105">
        <f t="shared" si="29"/>
        <v>0.12</v>
      </c>
      <c r="F140" s="70">
        <f t="shared" si="30"/>
        <v>0</v>
      </c>
      <c r="G140" s="73">
        <f t="shared" si="31"/>
        <v>0</v>
      </c>
      <c r="H140" s="110"/>
    </row>
    <row r="141" spans="1:8">
      <c r="A141" s="102"/>
      <c r="B141" s="103"/>
      <c r="C141" s="70"/>
      <c r="D141" s="70"/>
      <c r="E141" s="71"/>
      <c r="F141" s="71"/>
      <c r="G141" s="73"/>
      <c r="H141" s="110"/>
    </row>
    <row r="142" spans="1:8" ht="15">
      <c r="A142" s="111"/>
      <c r="B142" s="97" t="s">
        <v>37</v>
      </c>
      <c r="C142" s="98"/>
      <c r="D142" s="98"/>
      <c r="E142" s="99"/>
      <c r="F142" s="99"/>
      <c r="G142" s="100"/>
      <c r="H142" s="101"/>
    </row>
    <row r="143" spans="1:8">
      <c r="A143" s="102" t="s">
        <v>276</v>
      </c>
      <c r="B143" s="103" t="s">
        <v>37</v>
      </c>
      <c r="C143" s="70">
        <f>SUM(C23:C123)*E143</f>
        <v>6554.8520353246749</v>
      </c>
      <c r="D143" s="70"/>
      <c r="E143" s="112">
        <v>0.01</v>
      </c>
      <c r="F143" s="70">
        <f>SUM(C143:D143)</f>
        <v>6554.8520353246749</v>
      </c>
      <c r="G143" s="73">
        <f>SUM(C143:D143)/$C$10</f>
        <v>8.1134620504354979E-3</v>
      </c>
      <c r="H143" s="113">
        <f>E143</f>
        <v>0.01</v>
      </c>
    </row>
    <row r="144" spans="1:8">
      <c r="A144" s="102" t="s">
        <v>277</v>
      </c>
      <c r="B144" s="103" t="s">
        <v>278</v>
      </c>
      <c r="C144" s="70"/>
      <c r="D144" s="70"/>
      <c r="E144" s="71"/>
      <c r="F144" s="70">
        <f>SUM(C144:D144)</f>
        <v>0</v>
      </c>
      <c r="G144" s="73"/>
      <c r="H144" s="110"/>
    </row>
    <row r="145" spans="1:8">
      <c r="A145" s="102"/>
      <c r="B145" s="103"/>
      <c r="C145" s="70"/>
      <c r="D145" s="70"/>
      <c r="E145" s="71"/>
      <c r="F145" s="71"/>
      <c r="G145" s="73"/>
      <c r="H145" s="110"/>
    </row>
    <row r="146" spans="1:8" ht="15">
      <c r="A146" s="111"/>
      <c r="B146" s="97" t="s">
        <v>38</v>
      </c>
      <c r="C146" s="98"/>
      <c r="D146" s="98"/>
      <c r="E146" s="99"/>
      <c r="F146" s="99"/>
      <c r="G146" s="100"/>
      <c r="H146" s="101"/>
    </row>
    <row r="147" spans="1:8">
      <c r="A147" s="102" t="s">
        <v>279</v>
      </c>
      <c r="B147" s="103" t="s">
        <v>280</v>
      </c>
      <c r="C147" s="70"/>
      <c r="D147" s="70"/>
      <c r="E147" s="70"/>
      <c r="F147" s="70">
        <f>SUM(C147:D147)</f>
        <v>0</v>
      </c>
      <c r="G147" s="70"/>
      <c r="H147" s="114"/>
    </row>
    <row r="148" spans="1:8">
      <c r="A148" s="102" t="s">
        <v>281</v>
      </c>
      <c r="B148" s="103" t="s">
        <v>95</v>
      </c>
      <c r="C148" s="70"/>
      <c r="D148" s="70"/>
      <c r="E148" s="70"/>
      <c r="F148" s="70">
        <f>SUM(C148:D148)</f>
        <v>0</v>
      </c>
      <c r="G148" s="70"/>
      <c r="H148" s="114"/>
    </row>
    <row r="149" spans="1:8">
      <c r="A149" s="102" t="s">
        <v>282</v>
      </c>
      <c r="B149" s="103" t="s">
        <v>283</v>
      </c>
      <c r="C149" s="70"/>
      <c r="D149" s="70"/>
      <c r="E149" s="70"/>
      <c r="F149" s="70">
        <f>SUM(C149:D149)</f>
        <v>0</v>
      </c>
      <c r="G149" s="70"/>
      <c r="H149" s="114"/>
    </row>
    <row r="150" spans="1:8">
      <c r="A150" s="102" t="s">
        <v>284</v>
      </c>
      <c r="B150" s="103" t="s">
        <v>285</v>
      </c>
      <c r="C150" s="70"/>
      <c r="D150" s="70"/>
      <c r="E150" s="70"/>
      <c r="F150" s="70">
        <f>SUM(C150:D150)</f>
        <v>0</v>
      </c>
      <c r="G150" s="70"/>
      <c r="H150" s="114"/>
    </row>
    <row r="151" spans="1:8">
      <c r="A151" s="102" t="s">
        <v>286</v>
      </c>
      <c r="B151" s="103" t="s">
        <v>102</v>
      </c>
      <c r="C151" s="70"/>
      <c r="D151" s="70"/>
      <c r="E151" s="70"/>
      <c r="F151" s="70">
        <f>SUM(C151:D151)</f>
        <v>0</v>
      </c>
      <c r="G151" s="70"/>
      <c r="H151" s="114"/>
    </row>
    <row r="152" spans="1:8">
      <c r="A152" s="102"/>
      <c r="B152" s="103"/>
      <c r="C152" s="70"/>
      <c r="D152" s="70"/>
      <c r="E152" s="70"/>
      <c r="F152" s="70"/>
      <c r="G152" s="70"/>
      <c r="H152" s="114"/>
    </row>
  </sheetData>
  <sheetProtection selectLockedCells="1"/>
  <mergeCells count="7">
    <mergeCell ref="E8:F8"/>
    <mergeCell ref="E1:F1"/>
    <mergeCell ref="E2:F2"/>
    <mergeCell ref="E3:F3"/>
    <mergeCell ref="E4:F4"/>
    <mergeCell ref="E6:F6"/>
    <mergeCell ref="E7:F7"/>
  </mergeCells>
  <conditionalFormatting sqref="D17:G22 C17:C21 H15:H22 D11:G14 C10:C14 C15:G16 C33:G33 C113:G113 C43:G43 C47:G47 C76:G76 C85:G85 C94:G94 C100:G100 C124:G124 C142:G142 C146:G146 C34:H34 C152:G152 C147:E151 G147:G151">
    <cfRule type="cellIs" dxfId="567" priority="106" operator="lessThan">
      <formula>0</formula>
    </cfRule>
  </conditionalFormatting>
  <conditionalFormatting sqref="D23:D32">
    <cfRule type="cellIs" dxfId="566" priority="102" operator="lessThan">
      <formula>0</formula>
    </cfRule>
  </conditionalFormatting>
  <conditionalFormatting sqref="D42 D46 D75 D84 D93 D99 D112 D123 D141 D144:D145">
    <cfRule type="cellIs" dxfId="565" priority="101" operator="lessThan">
      <formula>0</formula>
    </cfRule>
  </conditionalFormatting>
  <conditionalFormatting sqref="G23:G32">
    <cfRule type="cellIs" dxfId="564" priority="98" operator="lessThan">
      <formula>0</formula>
    </cfRule>
  </conditionalFormatting>
  <conditionalFormatting sqref="G42 G46 G75 G84 G93 G99 G112 G123 G141 G144:G145">
    <cfRule type="cellIs" dxfId="563" priority="97" operator="lessThan">
      <formula>0</formula>
    </cfRule>
  </conditionalFormatting>
  <conditionalFormatting sqref="C22">
    <cfRule type="cellIs" dxfId="562" priority="105" operator="lessThan">
      <formula>0</formula>
    </cfRule>
  </conditionalFormatting>
  <conditionalFormatting sqref="E23:E32">
    <cfRule type="cellIs" dxfId="561" priority="100" operator="lessThan">
      <formula>0</formula>
    </cfRule>
  </conditionalFormatting>
  <conditionalFormatting sqref="E42:F42 E46:F46 E75:F75 E84:F84 E93:F93 E99:F99 E112:F112 E123:F123 E141:F141 E145:F145 E144">
    <cfRule type="cellIs" dxfId="560" priority="99" operator="lessThan">
      <formula>0</formula>
    </cfRule>
  </conditionalFormatting>
  <conditionalFormatting sqref="C23:C32">
    <cfRule type="cellIs" dxfId="559" priority="104" operator="lessThan">
      <formula>0</formula>
    </cfRule>
  </conditionalFormatting>
  <conditionalFormatting sqref="C84 C93 C112 C123 C141 C143:C145 C44:C46 C35:C42 C95:C99 C48:C75">
    <cfRule type="cellIs" dxfId="558" priority="103" operator="lessThan">
      <formula>0</formula>
    </cfRule>
  </conditionalFormatting>
  <conditionalFormatting sqref="A23:B24 A25:A30 B26:B30 B60:B61 B65:B75 B49:B57 B39 A35:A42 B19:B21 A33:B33 A110:B112 A44:B46 A48:B48 A77:B84 A86:B93 A95:B99 A101:B108 A114:B123 A125:A140 B125:B126 A49:A75">
    <cfRule type="cellIs" dxfId="557" priority="96" operator="lessThan">
      <formula>0</formula>
    </cfRule>
  </conditionalFormatting>
  <conditionalFormatting sqref="B17">
    <cfRule type="cellIs" dxfId="556" priority="95" operator="lessThan">
      <formula>0</formula>
    </cfRule>
  </conditionalFormatting>
  <conditionalFormatting sqref="A17:A21">
    <cfRule type="cellIs" dxfId="555" priority="94" operator="lessThan">
      <formula>0</formula>
    </cfRule>
  </conditionalFormatting>
  <conditionalFormatting sqref="B18">
    <cfRule type="cellIs" dxfId="554" priority="93" operator="lessThan">
      <formula>0</formula>
    </cfRule>
  </conditionalFormatting>
  <conditionalFormatting sqref="B62:B64">
    <cfRule type="cellIs" dxfId="553" priority="90" operator="lessThan">
      <formula>0</formula>
    </cfRule>
  </conditionalFormatting>
  <conditionalFormatting sqref="B58:B59">
    <cfRule type="cellIs" dxfId="552" priority="89" operator="lessThan">
      <formula>0</formula>
    </cfRule>
  </conditionalFormatting>
  <conditionalFormatting sqref="B40:B42">
    <cfRule type="cellIs" dxfId="551" priority="88" operator="lessThan">
      <formula>0</formula>
    </cfRule>
  </conditionalFormatting>
  <conditionalFormatting sqref="A130">
    <cfRule type="cellIs" dxfId="550" priority="87" operator="lessThan">
      <formula>0</formula>
    </cfRule>
  </conditionalFormatting>
  <conditionalFormatting sqref="A31:B32">
    <cfRule type="cellIs" dxfId="549" priority="86" operator="lessThan">
      <formula>0</formula>
    </cfRule>
  </conditionalFormatting>
  <conditionalFormatting sqref="A132:A136">
    <cfRule type="cellIs" dxfId="548" priority="85" operator="lessThan">
      <formula>0</formula>
    </cfRule>
  </conditionalFormatting>
  <conditionalFormatting sqref="B132">
    <cfRule type="cellIs" dxfId="547" priority="84" operator="lessThan">
      <formula>0</formula>
    </cfRule>
  </conditionalFormatting>
  <conditionalFormatting sqref="B133:B134">
    <cfRule type="cellIs" dxfId="546" priority="83" operator="lessThan">
      <formula>0</formula>
    </cfRule>
  </conditionalFormatting>
  <conditionalFormatting sqref="B135">
    <cfRule type="cellIs" dxfId="545" priority="82" operator="lessThan">
      <formula>0</formula>
    </cfRule>
  </conditionalFormatting>
  <conditionalFormatting sqref="A152">
    <cfRule type="cellIs" dxfId="544" priority="74" operator="lessThan">
      <formula>0</formula>
    </cfRule>
  </conditionalFormatting>
  <conditionalFormatting sqref="B152">
    <cfRule type="cellIs" dxfId="543" priority="73" operator="lessThan">
      <formula>0</formula>
    </cfRule>
  </conditionalFormatting>
  <conditionalFormatting sqref="B35:B38">
    <cfRule type="cellIs" dxfId="542" priority="92" operator="lessThan">
      <formula>0</formula>
    </cfRule>
  </conditionalFormatting>
  <conditionalFormatting sqref="B25">
    <cfRule type="cellIs" dxfId="541" priority="91" operator="lessThan">
      <formula>0</formula>
    </cfRule>
  </conditionalFormatting>
  <conditionalFormatting sqref="B136">
    <cfRule type="cellIs" dxfId="540" priority="81" operator="lessThan">
      <formula>0</formula>
    </cfRule>
  </conditionalFormatting>
  <conditionalFormatting sqref="A137:B137">
    <cfRule type="cellIs" dxfId="539" priority="80" operator="lessThan">
      <formula>0</formula>
    </cfRule>
  </conditionalFormatting>
  <conditionalFormatting sqref="A109">
    <cfRule type="cellIs" dxfId="538" priority="79" operator="lessThan">
      <formula>0</formula>
    </cfRule>
  </conditionalFormatting>
  <conditionalFormatting sqref="B109">
    <cfRule type="cellIs" dxfId="537" priority="78" operator="lessThan">
      <formula>0</formula>
    </cfRule>
  </conditionalFormatting>
  <conditionalFormatting sqref="B138:B141 B143:B145 B147:B151">
    <cfRule type="cellIs" dxfId="536" priority="76" operator="lessThan">
      <formula>0</formula>
    </cfRule>
  </conditionalFormatting>
  <conditionalFormatting sqref="A138:A141 A143:A145 A147:A151">
    <cfRule type="cellIs" dxfId="535" priority="77" operator="lessThan">
      <formula>0</formula>
    </cfRule>
  </conditionalFormatting>
  <conditionalFormatting sqref="B127:B131">
    <cfRule type="cellIs" dxfId="534" priority="75" operator="lessThan">
      <formula>0</formula>
    </cfRule>
  </conditionalFormatting>
  <conditionalFormatting sqref="H43">
    <cfRule type="cellIs" dxfId="533" priority="72" operator="lessThan">
      <formula>0</formula>
    </cfRule>
  </conditionalFormatting>
  <conditionalFormatting sqref="H47">
    <cfRule type="cellIs" dxfId="532" priority="71" operator="lessThan">
      <formula>0</formula>
    </cfRule>
  </conditionalFormatting>
  <conditionalFormatting sqref="H76">
    <cfRule type="cellIs" dxfId="531" priority="70" operator="lessThan">
      <formula>0</formula>
    </cfRule>
  </conditionalFormatting>
  <conditionalFormatting sqref="H85">
    <cfRule type="cellIs" dxfId="530" priority="69" operator="lessThan">
      <formula>0</formula>
    </cfRule>
  </conditionalFormatting>
  <conditionalFormatting sqref="H94">
    <cfRule type="cellIs" dxfId="529" priority="68" operator="lessThan">
      <formula>0</formula>
    </cfRule>
  </conditionalFormatting>
  <conditionalFormatting sqref="H100">
    <cfRule type="cellIs" dxfId="528" priority="67" operator="lessThan">
      <formula>0</formula>
    </cfRule>
  </conditionalFormatting>
  <conditionalFormatting sqref="H113">
    <cfRule type="cellIs" dxfId="527" priority="66" operator="lessThan">
      <formula>0</formula>
    </cfRule>
  </conditionalFormatting>
  <conditionalFormatting sqref="H124">
    <cfRule type="cellIs" dxfId="526" priority="65" operator="lessThan">
      <formula>0</formula>
    </cfRule>
  </conditionalFormatting>
  <conditionalFormatting sqref="H142">
    <cfRule type="cellIs" dxfId="525" priority="64" operator="lessThan">
      <formula>0</formula>
    </cfRule>
  </conditionalFormatting>
  <conditionalFormatting sqref="H146:H152">
    <cfRule type="cellIs" dxfId="524" priority="63" operator="lessThan">
      <formula>0</formula>
    </cfRule>
  </conditionalFormatting>
  <conditionalFormatting sqref="D44:D45">
    <cfRule type="cellIs" dxfId="523" priority="62" operator="lessThan">
      <formula>0</formula>
    </cfRule>
  </conditionalFormatting>
  <conditionalFormatting sqref="G44:G45">
    <cfRule type="cellIs" dxfId="522" priority="60" operator="lessThan">
      <formula>0</formula>
    </cfRule>
  </conditionalFormatting>
  <conditionalFormatting sqref="E143">
    <cfRule type="cellIs" dxfId="521" priority="59" operator="lessThan">
      <formula>0</formula>
    </cfRule>
  </conditionalFormatting>
  <conditionalFormatting sqref="G143">
    <cfRule type="cellIs" dxfId="520" priority="58" operator="lessThan">
      <formula>0</formula>
    </cfRule>
  </conditionalFormatting>
  <conditionalFormatting sqref="D143">
    <cfRule type="cellIs" dxfId="519" priority="57" operator="lessThan">
      <formula>0</formula>
    </cfRule>
  </conditionalFormatting>
  <conditionalFormatting sqref="H143">
    <cfRule type="cellIs" dxfId="518" priority="56" operator="lessThan">
      <formula>0</formula>
    </cfRule>
  </conditionalFormatting>
  <conditionalFormatting sqref="D35:D41">
    <cfRule type="cellIs" dxfId="517" priority="55" operator="lessThan">
      <formula>0</formula>
    </cfRule>
  </conditionalFormatting>
  <conditionalFormatting sqref="G35:G41">
    <cfRule type="cellIs" dxfId="516" priority="53" operator="lessThan">
      <formula>0</formula>
    </cfRule>
  </conditionalFormatting>
  <conditionalFormatting sqref="C114:C122">
    <cfRule type="cellIs" dxfId="515" priority="52" operator="lessThan">
      <formula>0</formula>
    </cfRule>
  </conditionalFormatting>
  <conditionalFormatting sqref="D114:D122">
    <cfRule type="cellIs" dxfId="514" priority="51" operator="lessThan">
      <formula>0</formula>
    </cfRule>
  </conditionalFormatting>
  <conditionalFormatting sqref="G114:G122">
    <cfRule type="cellIs" dxfId="513" priority="49" operator="lessThan">
      <formula>0</formula>
    </cfRule>
  </conditionalFormatting>
  <conditionalFormatting sqref="C125:C140">
    <cfRule type="cellIs" dxfId="512" priority="48" operator="lessThan">
      <formula>0</formula>
    </cfRule>
  </conditionalFormatting>
  <conditionalFormatting sqref="D125:D140">
    <cfRule type="cellIs" dxfId="511" priority="47" operator="lessThan">
      <formula>0</formula>
    </cfRule>
  </conditionalFormatting>
  <conditionalFormatting sqref="G125:G140">
    <cfRule type="cellIs" dxfId="510" priority="45" operator="lessThan">
      <formula>0</formula>
    </cfRule>
  </conditionalFormatting>
  <conditionalFormatting sqref="C101:C111">
    <cfRule type="cellIs" dxfId="509" priority="44" operator="lessThan">
      <formula>0</formula>
    </cfRule>
  </conditionalFormatting>
  <conditionalFormatting sqref="D101:D111">
    <cfRule type="cellIs" dxfId="508" priority="43" operator="lessThan">
      <formula>0</formula>
    </cfRule>
  </conditionalFormatting>
  <conditionalFormatting sqref="G101:G111">
    <cfRule type="cellIs" dxfId="507" priority="41" operator="lessThan">
      <formula>0</formula>
    </cfRule>
  </conditionalFormatting>
  <conditionalFormatting sqref="F23:F32">
    <cfRule type="cellIs" dxfId="506" priority="40" operator="lessThan">
      <formula>0</formula>
    </cfRule>
  </conditionalFormatting>
  <conditionalFormatting sqref="F35:F41">
    <cfRule type="cellIs" dxfId="505" priority="39" operator="lessThan">
      <formula>0</formula>
    </cfRule>
  </conditionalFormatting>
  <conditionalFormatting sqref="F44:F45">
    <cfRule type="cellIs" dxfId="504" priority="38" operator="lessThan">
      <formula>0</formula>
    </cfRule>
  </conditionalFormatting>
  <conditionalFormatting sqref="G95:G98">
    <cfRule type="cellIs" dxfId="503" priority="27" operator="lessThan">
      <formula>0</formula>
    </cfRule>
  </conditionalFormatting>
  <conditionalFormatting sqref="D95:D98">
    <cfRule type="cellIs" dxfId="502" priority="30" operator="lessThan">
      <formula>0</formula>
    </cfRule>
  </conditionalFormatting>
  <conditionalFormatting sqref="F121:F122">
    <cfRule type="cellIs" dxfId="501" priority="34" operator="lessThan">
      <formula>0</formula>
    </cfRule>
  </conditionalFormatting>
  <conditionalFormatting sqref="F125:F140">
    <cfRule type="cellIs" dxfId="500" priority="33" operator="lessThan">
      <formula>0</formula>
    </cfRule>
  </conditionalFormatting>
  <conditionalFormatting sqref="F101:F109">
    <cfRule type="cellIs" dxfId="499" priority="37" operator="lessThan">
      <formula>0</formula>
    </cfRule>
  </conditionalFormatting>
  <conditionalFormatting sqref="F110:F111">
    <cfRule type="cellIs" dxfId="498" priority="36" operator="lessThan">
      <formula>0</formula>
    </cfRule>
  </conditionalFormatting>
  <conditionalFormatting sqref="F114:F120">
    <cfRule type="cellIs" dxfId="497" priority="35" operator="lessThan">
      <formula>0</formula>
    </cfRule>
  </conditionalFormatting>
  <conditionalFormatting sqref="F143:F144">
    <cfRule type="cellIs" dxfId="496" priority="32" operator="lessThan">
      <formula>0</formula>
    </cfRule>
  </conditionalFormatting>
  <conditionalFormatting sqref="F147:F151">
    <cfRule type="cellIs" dxfId="495" priority="31" operator="lessThan">
      <formula>0</formula>
    </cfRule>
  </conditionalFormatting>
  <conditionalFormatting sqref="F95:F98">
    <cfRule type="cellIs" dxfId="494" priority="28" operator="lessThan">
      <formula>0</formula>
    </cfRule>
  </conditionalFormatting>
  <conditionalFormatting sqref="D10:E10">
    <cfRule type="cellIs" dxfId="493" priority="26" operator="lessThan">
      <formula>0</formula>
    </cfRule>
  </conditionalFormatting>
  <conditionalFormatting sqref="D48:D74">
    <cfRule type="cellIs" dxfId="492" priority="25" operator="lessThan">
      <formula>0</formula>
    </cfRule>
  </conditionalFormatting>
  <conditionalFormatting sqref="G48:G74">
    <cfRule type="cellIs" dxfId="491" priority="23" operator="lessThan">
      <formula>0</formula>
    </cfRule>
  </conditionalFormatting>
  <conditionalFormatting sqref="F48:F74">
    <cfRule type="cellIs" dxfId="490" priority="22" operator="lessThan">
      <formula>0</formula>
    </cfRule>
  </conditionalFormatting>
  <conditionalFormatting sqref="C77:C83">
    <cfRule type="cellIs" dxfId="489" priority="21" operator="lessThan">
      <formula>0</formula>
    </cfRule>
  </conditionalFormatting>
  <conditionalFormatting sqref="D77:D83">
    <cfRule type="cellIs" dxfId="488" priority="20" operator="lessThan">
      <formula>0</formula>
    </cfRule>
  </conditionalFormatting>
  <conditionalFormatting sqref="G77:G83">
    <cfRule type="cellIs" dxfId="487" priority="18" operator="lessThan">
      <formula>0</formula>
    </cfRule>
  </conditionalFormatting>
  <conditionalFormatting sqref="F77:F83">
    <cfRule type="cellIs" dxfId="486" priority="17" operator="lessThan">
      <formula>0</formula>
    </cfRule>
  </conditionalFormatting>
  <conditionalFormatting sqref="C86:C92">
    <cfRule type="cellIs" dxfId="485" priority="16" operator="lessThan">
      <formula>0</formula>
    </cfRule>
  </conditionalFormatting>
  <conditionalFormatting sqref="D86:D92">
    <cfRule type="cellIs" dxfId="484" priority="15" operator="lessThan">
      <formula>0</formula>
    </cfRule>
  </conditionalFormatting>
  <conditionalFormatting sqref="G86:G92">
    <cfRule type="cellIs" dxfId="483" priority="13" operator="lessThan">
      <formula>0</formula>
    </cfRule>
  </conditionalFormatting>
  <conditionalFormatting sqref="F86:F92">
    <cfRule type="cellIs" dxfId="482" priority="12" operator="lessThan">
      <formula>0</formula>
    </cfRule>
  </conditionalFormatting>
  <conditionalFormatting sqref="E35:E41">
    <cfRule type="cellIs" dxfId="481" priority="9" operator="lessThan">
      <formula>0</formula>
    </cfRule>
  </conditionalFormatting>
  <conditionalFormatting sqref="E44:E45">
    <cfRule type="cellIs" dxfId="480" priority="8" operator="lessThan">
      <formula>0</formula>
    </cfRule>
  </conditionalFormatting>
  <conditionalFormatting sqref="E48:E74">
    <cfRule type="cellIs" dxfId="479" priority="7" operator="lessThan">
      <formula>0</formula>
    </cfRule>
  </conditionalFormatting>
  <conditionalFormatting sqref="E77:E83">
    <cfRule type="cellIs" dxfId="478" priority="6" operator="lessThan">
      <formula>0</formula>
    </cfRule>
  </conditionalFormatting>
  <conditionalFormatting sqref="E86:E92">
    <cfRule type="cellIs" dxfId="477" priority="5" operator="lessThan">
      <formula>0</formula>
    </cfRule>
  </conditionalFormatting>
  <conditionalFormatting sqref="E95:E98">
    <cfRule type="cellIs" dxfId="476" priority="4" operator="lessThan">
      <formula>0</formula>
    </cfRule>
  </conditionalFormatting>
  <conditionalFormatting sqref="E101:E111">
    <cfRule type="cellIs" dxfId="475" priority="3" operator="lessThan">
      <formula>0</formula>
    </cfRule>
  </conditionalFormatting>
  <conditionalFormatting sqref="E114:E122">
    <cfRule type="cellIs" dxfId="474" priority="2" operator="lessThan">
      <formula>0</formula>
    </cfRule>
  </conditionalFormatting>
  <conditionalFormatting sqref="E125:E140">
    <cfRule type="cellIs" dxfId="473" priority="1" operator="lessThan">
      <formula>0</formula>
    </cfRule>
  </conditionalFormatting>
  <printOptions horizontalCentered="1" gridLines="1"/>
  <pageMargins left="0.45" right="0.45" top="0.75" bottom="0.5" header="0.31496062992126" footer="0.31496062992126"/>
  <pageSetup paperSize="8" scale="68" fitToHeight="0" orientation="portrait" r:id="rId1"/>
  <headerFooter>
    <oddHeader>&amp;C&amp;"-,Bold"&amp;KFF0000- CONFIDENTIAL - INTERNAL USE ONLY -</oddHeader>
    <oddFooter>&amp;LPrinted on: &amp;D&amp;C&amp;F - &amp;A&amp;RPg &amp;P of &amp;N</oddFooter>
  </headerFooter>
  <colBreaks count="1" manualBreakCount="1">
    <brk id="7" max="152" man="1"/>
  </col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6E6FF-FEEC-460E-A844-6B54793EDFE8}">
  <sheetPr codeName="Sheet5">
    <tabColor rgb="FF92D050"/>
  </sheetPr>
  <dimension ref="A1:H21"/>
  <sheetViews>
    <sheetView workbookViewId="0">
      <selection activeCell="D23" sqref="D23"/>
    </sheetView>
  </sheetViews>
  <sheetFormatPr defaultColWidth="9.140625" defaultRowHeight="15"/>
  <cols>
    <col min="1" max="1" width="13.85546875" bestFit="1" customWidth="1"/>
    <col min="2" max="2" width="44.140625" customWidth="1"/>
    <col min="3" max="3" width="21.140625" bestFit="1" customWidth="1"/>
    <col min="4" max="4" width="15.85546875" bestFit="1" customWidth="1"/>
    <col min="5" max="5" width="15.42578125" bestFit="1" customWidth="1"/>
    <col min="6" max="6" width="17.42578125" bestFit="1" customWidth="1"/>
    <col min="7" max="7" width="15.42578125" bestFit="1" customWidth="1"/>
    <col min="8" max="8" width="49.85546875" bestFit="1" customWidth="1"/>
    <col min="9" max="9" width="3.42578125" customWidth="1"/>
  </cols>
  <sheetData>
    <row r="1" spans="1:8">
      <c r="A1" s="50" t="s">
        <v>0</v>
      </c>
      <c r="B1" s="51" t="str">
        <f ca="1">'EXECUTIVE SUMMARY'!B1</f>
        <v>T1112</v>
      </c>
    </row>
    <row r="2" spans="1:8">
      <c r="A2" s="50" t="s">
        <v>3</v>
      </c>
      <c r="B2" s="51" t="str">
        <f ca="1">'EXECUTIVE SUMMARY'!B2</f>
        <v/>
      </c>
    </row>
    <row r="3" spans="1:8">
      <c r="A3" s="50" t="s">
        <v>5</v>
      </c>
      <c r="B3" s="51" t="str">
        <f>'EXECUTIVE SUMMARY'!B3</f>
        <v>Lendlease</v>
      </c>
    </row>
    <row r="4" spans="1:8">
      <c r="A4" s="50" t="s">
        <v>8</v>
      </c>
      <c r="B4" s="51" t="str">
        <f>'EXECUTIVE SUMMARY'!B4</f>
        <v>BVN</v>
      </c>
    </row>
    <row r="5" spans="1:8">
      <c r="A5" s="55"/>
      <c r="B5" s="80"/>
    </row>
    <row r="6" spans="1:8">
      <c r="A6" s="50" t="s">
        <v>12</v>
      </c>
      <c r="B6" s="63" t="str">
        <f>'EXECUTIVE SUMMARY'!B6</f>
        <v>Andrew Vatiliotis</v>
      </c>
    </row>
    <row r="7" spans="1:8">
      <c r="A7" s="50" t="s">
        <v>14</v>
      </c>
      <c r="B7" s="63">
        <f>'EXECUTIVE SUMMARY'!B7</f>
        <v>0</v>
      </c>
    </row>
    <row r="8" spans="1:8">
      <c r="A8" s="50" t="s">
        <v>16</v>
      </c>
      <c r="B8" s="66">
        <f>'EXECUTIVE SUMMARY'!B8</f>
        <v>44838</v>
      </c>
    </row>
    <row r="9" spans="1:8">
      <c r="G9" s="117">
        <f>SUM(G12:G21)</f>
        <v>172872</v>
      </c>
    </row>
    <row r="10" spans="1:8">
      <c r="A10" s="92" t="s">
        <v>287</v>
      </c>
      <c r="B10" s="92" t="s">
        <v>288</v>
      </c>
      <c r="C10" s="92" t="s">
        <v>289</v>
      </c>
      <c r="D10" s="92" t="s">
        <v>290</v>
      </c>
      <c r="E10" s="92" t="s">
        <v>291</v>
      </c>
      <c r="F10" s="92" t="s">
        <v>292</v>
      </c>
      <c r="G10" s="92" t="s">
        <v>293</v>
      </c>
      <c r="H10" s="92" t="s">
        <v>65</v>
      </c>
    </row>
    <row r="11" spans="1:8">
      <c r="A11" s="118"/>
      <c r="B11" s="97" t="s">
        <v>26</v>
      </c>
      <c r="C11" s="107"/>
      <c r="D11" s="118"/>
      <c r="E11" s="118"/>
      <c r="F11" s="107"/>
      <c r="G11" s="107"/>
      <c r="H11" s="107"/>
    </row>
    <row r="12" spans="1:8" s="126" customFormat="1" ht="12.75">
      <c r="A12" s="119" t="s">
        <v>73</v>
      </c>
      <c r="B12" s="120" t="s">
        <v>74</v>
      </c>
      <c r="C12" s="121">
        <f>'TENDER SUMMARY'!$G$1</f>
        <v>45139</v>
      </c>
      <c r="D12" s="121">
        <f>'TENDER SUMMARY'!$G$3</f>
        <v>45444</v>
      </c>
      <c r="E12" s="122">
        <v>110</v>
      </c>
      <c r="F12" s="123">
        <v>0.15</v>
      </c>
      <c r="G12" s="124">
        <f>NETWORKDAYS(C12,D12)*8*E12*F12</f>
        <v>28908</v>
      </c>
      <c r="H12" s="125"/>
    </row>
    <row r="13" spans="1:8" s="126" customFormat="1" ht="12.75">
      <c r="A13" s="127" t="s">
        <v>75</v>
      </c>
      <c r="B13" s="120" t="s">
        <v>76</v>
      </c>
      <c r="C13" s="121">
        <f>'TENDER SUMMARY'!$G$1</f>
        <v>45139</v>
      </c>
      <c r="D13" s="121">
        <f>'TENDER SUMMARY'!$G$3</f>
        <v>45444</v>
      </c>
      <c r="E13" s="122">
        <v>110</v>
      </c>
      <c r="F13" s="123">
        <v>0.15</v>
      </c>
      <c r="G13" s="124">
        <f t="shared" ref="G13:G21" si="0">NETWORKDAYS(C13,D13)*8*E13*F13</f>
        <v>28908</v>
      </c>
      <c r="H13" s="125"/>
    </row>
    <row r="14" spans="1:8" s="126" customFormat="1" ht="12.75">
      <c r="A14" s="127" t="s">
        <v>77</v>
      </c>
      <c r="B14" s="120" t="s">
        <v>78</v>
      </c>
      <c r="C14" s="121">
        <f>'TENDER SUMMARY'!$G$1</f>
        <v>45139</v>
      </c>
      <c r="D14" s="121">
        <f>'TENDER SUMMARY'!$G$3</f>
        <v>45444</v>
      </c>
      <c r="E14" s="122">
        <v>85</v>
      </c>
      <c r="F14" s="123">
        <v>0.6</v>
      </c>
      <c r="G14" s="124">
        <f t="shared" si="0"/>
        <v>89352</v>
      </c>
      <c r="H14" s="125"/>
    </row>
    <row r="15" spans="1:8" s="126" customFormat="1" ht="12.75">
      <c r="A15" s="127" t="s">
        <v>79</v>
      </c>
      <c r="B15" s="120" t="s">
        <v>80</v>
      </c>
      <c r="C15" s="121">
        <f>'TENDER SUMMARY'!$G$1</f>
        <v>45139</v>
      </c>
      <c r="D15" s="121">
        <f>'TENDER SUMMARY'!$G$3</f>
        <v>45444</v>
      </c>
      <c r="E15" s="122"/>
      <c r="F15" s="123"/>
      <c r="G15" s="124">
        <f t="shared" si="0"/>
        <v>0</v>
      </c>
      <c r="H15" s="125"/>
    </row>
    <row r="16" spans="1:8" s="126" customFormat="1" ht="12.75">
      <c r="A16" s="127" t="s">
        <v>82</v>
      </c>
      <c r="B16" s="120" t="s">
        <v>83</v>
      </c>
      <c r="C16" s="121">
        <f>'TENDER SUMMARY'!G$2</f>
        <v>45383</v>
      </c>
      <c r="D16" s="121">
        <f>'TENDER SUMMARY'!$G$3</f>
        <v>45444</v>
      </c>
      <c r="E16" s="122">
        <v>85</v>
      </c>
      <c r="F16" s="123">
        <v>0.4</v>
      </c>
      <c r="G16" s="124">
        <f t="shared" si="0"/>
        <v>12240</v>
      </c>
      <c r="H16" s="125"/>
    </row>
    <row r="17" spans="1:8" s="126" customFormat="1" ht="12.75">
      <c r="A17" s="127" t="s">
        <v>84</v>
      </c>
      <c r="B17" s="120" t="s">
        <v>85</v>
      </c>
      <c r="C17" s="121">
        <f>'TENDER SUMMARY'!$G$1</f>
        <v>45139</v>
      </c>
      <c r="D17" s="121">
        <f>'TENDER SUMMARY'!$G$3-60</f>
        <v>45384</v>
      </c>
      <c r="E17" s="122"/>
      <c r="F17" s="123"/>
      <c r="G17" s="124">
        <f t="shared" si="0"/>
        <v>0</v>
      </c>
      <c r="H17" s="125"/>
    </row>
    <row r="18" spans="1:8" s="126" customFormat="1" ht="12.75">
      <c r="A18" s="127" t="s">
        <v>86</v>
      </c>
      <c r="B18" s="120" t="s">
        <v>87</v>
      </c>
      <c r="C18" s="121">
        <f>'TENDER SUMMARY'!$G$1</f>
        <v>45139</v>
      </c>
      <c r="D18" s="121">
        <f>'TENDER SUMMARY'!$G$3</f>
        <v>45444</v>
      </c>
      <c r="E18" s="122"/>
      <c r="F18" s="123"/>
      <c r="G18" s="124">
        <f t="shared" si="0"/>
        <v>0</v>
      </c>
      <c r="H18" s="125"/>
    </row>
    <row r="19" spans="1:8" s="126" customFormat="1" ht="12.75">
      <c r="A19" s="127" t="s">
        <v>88</v>
      </c>
      <c r="B19" s="120" t="s">
        <v>89</v>
      </c>
      <c r="C19" s="121">
        <f>'TENDER SUMMARY'!$G$1</f>
        <v>45139</v>
      </c>
      <c r="D19" s="121">
        <f>'TENDER SUMMARY'!$G$3-30</f>
        <v>45414</v>
      </c>
      <c r="E19" s="122">
        <v>85</v>
      </c>
      <c r="F19" s="123">
        <v>0.1</v>
      </c>
      <c r="G19" s="124">
        <f t="shared" si="0"/>
        <v>13464</v>
      </c>
      <c r="H19" s="125"/>
    </row>
    <row r="20" spans="1:8" s="126" customFormat="1" ht="12.75">
      <c r="A20" s="127" t="s">
        <v>90</v>
      </c>
      <c r="B20" s="120" t="s">
        <v>91</v>
      </c>
      <c r="C20" s="121">
        <f>'TENDER SUMMARY'!$G$1</f>
        <v>45139</v>
      </c>
      <c r="D20" s="121">
        <f>'TENDER SUMMARY'!$G$3-30</f>
        <v>45414</v>
      </c>
      <c r="E20" s="122"/>
      <c r="F20" s="123"/>
      <c r="G20" s="124">
        <f t="shared" si="0"/>
        <v>0</v>
      </c>
      <c r="H20" s="125"/>
    </row>
    <row r="21" spans="1:8" s="126" customFormat="1" ht="12.75">
      <c r="A21" s="127" t="s">
        <v>92</v>
      </c>
      <c r="B21" s="120" t="s">
        <v>93</v>
      </c>
      <c r="C21" s="121">
        <f>'TENDER SUMMARY'!$G$1+60</f>
        <v>45199</v>
      </c>
      <c r="D21" s="121">
        <f>'TENDER SUMMARY'!$G$3</f>
        <v>45444</v>
      </c>
      <c r="E21" s="122">
        <v>60</v>
      </c>
      <c r="F21" s="123">
        <v>0</v>
      </c>
      <c r="G21" s="124">
        <f t="shared" si="0"/>
        <v>0</v>
      </c>
      <c r="H21" s="125"/>
    </row>
  </sheetData>
  <sheetProtection selectLockedCells="1"/>
  <conditionalFormatting sqref="E12:E20 G9">
    <cfRule type="cellIs" dxfId="472" priority="11" operator="lessThan">
      <formula>0</formula>
    </cfRule>
  </conditionalFormatting>
  <conditionalFormatting sqref="B12">
    <cfRule type="cellIs" dxfId="471" priority="10" operator="lessThan">
      <formula>0</formula>
    </cfRule>
  </conditionalFormatting>
  <conditionalFormatting sqref="A12">
    <cfRule type="cellIs" dxfId="470" priority="9" operator="lessThan">
      <formula>0</formula>
    </cfRule>
  </conditionalFormatting>
  <conditionalFormatting sqref="B13:B20">
    <cfRule type="cellIs" dxfId="469" priority="8" operator="lessThan">
      <formula>0</formula>
    </cfRule>
  </conditionalFormatting>
  <conditionalFormatting sqref="A13:A20 F12:F20 C12:C16">
    <cfRule type="cellIs" dxfId="468" priority="7" operator="lessThan">
      <formula>0</formula>
    </cfRule>
  </conditionalFormatting>
  <conditionalFormatting sqref="G12:G21">
    <cfRule type="cellIs" dxfId="467" priority="6" operator="lessThan">
      <formula>0</formula>
    </cfRule>
  </conditionalFormatting>
  <conditionalFormatting sqref="D12:D21">
    <cfRule type="cellIs" dxfId="466" priority="5" operator="lessThan">
      <formula>0</formula>
    </cfRule>
  </conditionalFormatting>
  <conditionalFormatting sqref="E21">
    <cfRule type="cellIs" dxfId="465" priority="4" operator="lessThan">
      <formula>0</formula>
    </cfRule>
  </conditionalFormatting>
  <conditionalFormatting sqref="B21">
    <cfRule type="cellIs" dxfId="464" priority="3" operator="lessThan">
      <formula>0</formula>
    </cfRule>
  </conditionalFormatting>
  <conditionalFormatting sqref="A21 F21">
    <cfRule type="cellIs" dxfId="463" priority="2" operator="lessThan">
      <formula>0</formula>
    </cfRule>
  </conditionalFormatting>
  <conditionalFormatting sqref="C17:C21">
    <cfRule type="cellIs" dxfId="462" priority="1" operator="lessThan">
      <formula>0</formula>
    </cfRule>
  </conditionalFormatting>
  <pageMargins left="0.7" right="0.7" top="0.75" bottom="0.75" header="0.3" footer="0.3"/>
  <pageSetup scale="2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FD6D8-B705-41F3-8270-06A509B839DB}">
  <sheetPr codeName="Sheet6">
    <tabColor rgb="FF00B050"/>
    <pageSetUpPr fitToPage="1"/>
  </sheetPr>
  <dimension ref="A1:F22"/>
  <sheetViews>
    <sheetView workbookViewId="0">
      <selection activeCell="E27" sqref="E27"/>
    </sheetView>
  </sheetViews>
  <sheetFormatPr defaultColWidth="9.140625" defaultRowHeight="12.75"/>
  <cols>
    <col min="1" max="1" width="13.85546875" style="56" bestFit="1" customWidth="1"/>
    <col min="2" max="2" width="32.140625" style="75" bestFit="1" customWidth="1"/>
    <col min="3" max="3" width="17.85546875" style="52" customWidth="1"/>
    <col min="4" max="4" width="13.5703125" style="52" customWidth="1"/>
    <col min="5" max="5" width="29.42578125" style="56" bestFit="1" customWidth="1" collapsed="1"/>
    <col min="6" max="6" width="48.140625" style="56" customWidth="1"/>
    <col min="7" max="7" width="3.42578125" style="56" customWidth="1"/>
    <col min="8" max="16384" width="9.140625" style="56"/>
  </cols>
  <sheetData>
    <row r="1" spans="1:6">
      <c r="A1" s="50" t="s">
        <v>0</v>
      </c>
      <c r="B1" s="51" t="str">
        <f ca="1">'EXECUTIVE SUMMARY'!B1</f>
        <v>T1112</v>
      </c>
    </row>
    <row r="2" spans="1:6">
      <c r="A2" s="50" t="s">
        <v>3</v>
      </c>
      <c r="B2" s="51" t="str">
        <f ca="1">'EXECUTIVE SUMMARY'!B2</f>
        <v/>
      </c>
    </row>
    <row r="3" spans="1:6" s="55" customFormat="1">
      <c r="A3" s="50" t="s">
        <v>5</v>
      </c>
      <c r="B3" s="51" t="str">
        <f>'EXECUTIVE SUMMARY'!B3</f>
        <v>Lendlease</v>
      </c>
      <c r="C3" s="64"/>
      <c r="D3" s="64"/>
    </row>
    <row r="4" spans="1:6" s="55" customFormat="1">
      <c r="A4" s="50" t="s">
        <v>8</v>
      </c>
      <c r="B4" s="51" t="str">
        <f>'EXECUTIVE SUMMARY'!B4</f>
        <v>BVN</v>
      </c>
      <c r="C4" s="64"/>
      <c r="D4" s="64"/>
    </row>
    <row r="5" spans="1:6" s="55" customFormat="1">
      <c r="B5" s="80"/>
      <c r="C5" s="64"/>
      <c r="D5" s="64"/>
    </row>
    <row r="6" spans="1:6" s="55" customFormat="1">
      <c r="A6" s="50" t="s">
        <v>12</v>
      </c>
      <c r="B6" s="63" t="str">
        <f>'EXECUTIVE SUMMARY'!B6</f>
        <v>Andrew Vatiliotis</v>
      </c>
      <c r="C6" s="64"/>
      <c r="D6" s="64"/>
    </row>
    <row r="7" spans="1:6" s="55" customFormat="1">
      <c r="A7" s="50" t="s">
        <v>14</v>
      </c>
      <c r="B7" s="63">
        <f>'EXECUTIVE SUMMARY'!B7</f>
        <v>0</v>
      </c>
      <c r="C7" s="128"/>
      <c r="D7" s="128"/>
    </row>
    <row r="8" spans="1:6" s="55" customFormat="1">
      <c r="A8" s="50" t="s">
        <v>16</v>
      </c>
      <c r="B8" s="66">
        <f>'EXECUTIVE SUMMARY'!B8</f>
        <v>44838</v>
      </c>
      <c r="C8" s="128"/>
      <c r="D8" s="128"/>
    </row>
    <row r="9" spans="1:6" s="55" customFormat="1">
      <c r="C9" s="128"/>
      <c r="D9" s="128"/>
    </row>
    <row r="10" spans="1:6" s="55" customFormat="1">
      <c r="A10" s="129" t="s">
        <v>20</v>
      </c>
      <c r="B10" s="58" t="s">
        <v>59</v>
      </c>
      <c r="C10" s="93" t="s">
        <v>294</v>
      </c>
      <c r="D10" s="427" t="s">
        <v>295</v>
      </c>
      <c r="E10" s="427"/>
      <c r="F10" s="93" t="s">
        <v>65</v>
      </c>
    </row>
    <row r="11" spans="1:6" s="55" customFormat="1" ht="15">
      <c r="A11" s="107"/>
      <c r="B11" s="108" t="s">
        <v>29</v>
      </c>
      <c r="C11" s="98"/>
      <c r="D11" s="98"/>
      <c r="E11" s="98"/>
      <c r="F11" s="98"/>
    </row>
    <row r="12" spans="1:6" s="55" customFormat="1" ht="15" customHeight="1">
      <c r="A12" s="418" t="s">
        <v>109</v>
      </c>
      <c r="B12" s="421" t="s">
        <v>110</v>
      </c>
      <c r="C12" s="424">
        <f>IF(D12="REQUIRED",SUM(D15:D20)*$D$14*$D$13,0)</f>
        <v>0</v>
      </c>
      <c r="D12" s="192" t="s">
        <v>296</v>
      </c>
      <c r="E12" s="106"/>
      <c r="F12" s="131"/>
    </row>
    <row r="13" spans="1:6" s="55" customFormat="1">
      <c r="A13" s="419"/>
      <c r="B13" s="422"/>
      <c r="C13" s="425"/>
      <c r="D13" s="130">
        <v>40</v>
      </c>
      <c r="E13" s="106" t="s">
        <v>297</v>
      </c>
      <c r="F13" s="131" t="s">
        <v>298</v>
      </c>
    </row>
    <row r="14" spans="1:6" s="55" customFormat="1">
      <c r="A14" s="419"/>
      <c r="B14" s="422"/>
      <c r="C14" s="425"/>
      <c r="D14" s="132">
        <v>3</v>
      </c>
      <c r="E14" s="106" t="s">
        <v>299</v>
      </c>
      <c r="F14" s="131"/>
    </row>
    <row r="15" spans="1:6" s="55" customFormat="1">
      <c r="A15" s="419"/>
      <c r="B15" s="422"/>
      <c r="C15" s="425"/>
      <c r="D15" s="132">
        <v>36</v>
      </c>
      <c r="E15" s="106" t="s">
        <v>300</v>
      </c>
      <c r="F15" s="131"/>
    </row>
    <row r="16" spans="1:6" s="55" customFormat="1">
      <c r="A16" s="419"/>
      <c r="B16" s="422"/>
      <c r="C16" s="425"/>
      <c r="D16" s="132">
        <v>12</v>
      </c>
      <c r="E16" s="106" t="s">
        <v>301</v>
      </c>
      <c r="F16" s="131"/>
    </row>
    <row r="17" spans="1:6" s="55" customFormat="1">
      <c r="A17" s="419"/>
      <c r="B17" s="422"/>
      <c r="C17" s="425"/>
      <c r="D17" s="132">
        <v>12</v>
      </c>
      <c r="E17" s="106" t="s">
        <v>302</v>
      </c>
      <c r="F17" s="131"/>
    </row>
    <row r="18" spans="1:6" s="55" customFormat="1">
      <c r="A18" s="419"/>
      <c r="B18" s="422"/>
      <c r="C18" s="425"/>
      <c r="D18" s="132">
        <v>2</v>
      </c>
      <c r="E18" s="106" t="s">
        <v>303</v>
      </c>
      <c r="F18" s="131"/>
    </row>
    <row r="19" spans="1:6" s="55" customFormat="1">
      <c r="A19" s="419"/>
      <c r="B19" s="422"/>
      <c r="C19" s="425"/>
      <c r="D19" s="132">
        <v>25</v>
      </c>
      <c r="E19" s="106" t="s">
        <v>304</v>
      </c>
      <c r="F19" s="131"/>
    </row>
    <row r="20" spans="1:6" s="55" customFormat="1">
      <c r="A20" s="420"/>
      <c r="B20" s="423"/>
      <c r="C20" s="426"/>
      <c r="D20" s="132">
        <v>25</v>
      </c>
      <c r="E20" s="106" t="s">
        <v>305</v>
      </c>
      <c r="F20" s="131"/>
    </row>
    <row r="21" spans="1:6" s="55" customFormat="1" ht="14.45" customHeight="1">
      <c r="A21" s="133" t="s">
        <v>109</v>
      </c>
      <c r="B21" s="134" t="s">
        <v>110</v>
      </c>
      <c r="C21" s="135">
        <v>5000</v>
      </c>
      <c r="D21" s="428" t="s">
        <v>306</v>
      </c>
      <c r="E21" s="429"/>
      <c r="F21" s="131" t="s">
        <v>307</v>
      </c>
    </row>
    <row r="22" spans="1:6" s="55" customFormat="1">
      <c r="A22" s="136" t="s">
        <v>111</v>
      </c>
      <c r="B22" s="137" t="s">
        <v>112</v>
      </c>
      <c r="C22" s="188">
        <v>50000</v>
      </c>
      <c r="D22" s="416" t="s">
        <v>308</v>
      </c>
      <c r="E22" s="417"/>
      <c r="F22" s="131" t="s">
        <v>609</v>
      </c>
    </row>
  </sheetData>
  <sheetProtection selectLockedCells="1"/>
  <dataConsolidate link="1"/>
  <mergeCells count="6">
    <mergeCell ref="D22:E22"/>
    <mergeCell ref="A12:A20"/>
    <mergeCell ref="B12:B20"/>
    <mergeCell ref="C12:C20"/>
    <mergeCell ref="D10:E10"/>
    <mergeCell ref="D21:E21"/>
  </mergeCells>
  <conditionalFormatting sqref="A22:C22 C10:D10 F10 D13 A12:C12">
    <cfRule type="cellIs" dxfId="461" priority="4" operator="lessThan">
      <formula>0</formula>
    </cfRule>
  </conditionalFormatting>
  <conditionalFormatting sqref="C7:D9">
    <cfRule type="cellIs" dxfId="460" priority="3" operator="lessThan">
      <formula>0</formula>
    </cfRule>
  </conditionalFormatting>
  <conditionalFormatting sqref="C11:F11">
    <cfRule type="cellIs" dxfId="459" priority="2" operator="lessThan">
      <formula>0</formula>
    </cfRule>
  </conditionalFormatting>
  <conditionalFormatting sqref="D12">
    <cfRule type="cellIs" dxfId="458" priority="1" operator="lessThan">
      <formula>0</formula>
    </cfRule>
  </conditionalFormatting>
  <dataValidations count="1">
    <dataValidation type="list" allowBlank="1" showInputMessage="1" showErrorMessage="1" sqref="D12" xr:uid="{9D0E9224-D09C-45E3-94A8-C5FCB077818A}">
      <formula1>"REQUIRED,NOT REQUIRED"</formula1>
    </dataValidation>
  </dataValidations>
  <printOptions horizontalCentered="1" gridLines="1"/>
  <pageMargins left="0.45" right="0.45" top="0.75" bottom="0.5" header="0.31496062992126" footer="0.31496062992126"/>
  <pageSetup paperSize="8" scale="92" fitToHeight="0" orientation="portrait" r:id="rId1"/>
  <headerFooter>
    <oddHeader>&amp;C&amp;"-,Bold"&amp;KFF0000- CONFIDENTIAL - INTERNAL USE ONLY -</oddHeader>
    <oddFooter>&amp;LPrinted on: &amp;D&amp;C&amp;F - &amp;A&amp;RPg &amp;P of &amp;N</oddFooter>
  </headerFooter>
  <colBreaks count="1" manualBreakCount="1">
    <brk id="4" max="18"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C93B5-B21B-482D-8264-C151665246D6}">
  <sheetPr codeName="Sheet7">
    <tabColor theme="1" tint="0.14999847407452621"/>
    <pageSetUpPr fitToPage="1"/>
  </sheetPr>
  <dimension ref="A1:H47"/>
  <sheetViews>
    <sheetView workbookViewId="0">
      <selection activeCell="C12" sqref="C12:C13"/>
    </sheetView>
  </sheetViews>
  <sheetFormatPr defaultColWidth="9.140625" defaultRowHeight="12.75"/>
  <cols>
    <col min="1" max="1" width="13.85546875" style="56" bestFit="1" customWidth="1"/>
    <col min="2" max="2" width="57.42578125" style="75" customWidth="1"/>
    <col min="3" max="3" width="27.42578125" style="52" customWidth="1"/>
    <col min="4" max="4" width="10.42578125" style="52" bestFit="1" customWidth="1"/>
    <col min="5" max="5" width="27.42578125" style="52" customWidth="1"/>
    <col min="6" max="6" width="41.85546875" style="77" customWidth="1" collapsed="1"/>
    <col min="7" max="7" width="3.140625" style="56" customWidth="1"/>
    <col min="8" max="8" width="52.85546875" style="56" customWidth="1"/>
    <col min="9" max="9" width="9.140625" style="56" customWidth="1"/>
    <col min="10" max="16384" width="9.140625" style="56"/>
  </cols>
  <sheetData>
    <row r="1" spans="1:6">
      <c r="A1" s="50" t="s">
        <v>0</v>
      </c>
      <c r="B1" s="51" t="str">
        <f ca="1">'EXECUTIVE SUMMARY'!B1</f>
        <v>T1112</v>
      </c>
    </row>
    <row r="2" spans="1:6">
      <c r="A2" s="50" t="s">
        <v>3</v>
      </c>
      <c r="B2" s="51" t="str">
        <f ca="1">'EXECUTIVE SUMMARY'!B2</f>
        <v/>
      </c>
    </row>
    <row r="3" spans="1:6" s="55" customFormat="1">
      <c r="A3" s="50" t="s">
        <v>5</v>
      </c>
      <c r="B3" s="51" t="str">
        <f>'EXECUTIVE SUMMARY'!B3</f>
        <v>Lendlease</v>
      </c>
      <c r="C3" s="64"/>
      <c r="D3" s="64"/>
      <c r="E3" s="64"/>
      <c r="F3" s="78"/>
    </row>
    <row r="4" spans="1:6" s="55" customFormat="1">
      <c r="A4" s="50" t="s">
        <v>8</v>
      </c>
      <c r="B4" s="51" t="str">
        <f>'EXECUTIVE SUMMARY'!B4</f>
        <v>BVN</v>
      </c>
      <c r="C4" s="64"/>
      <c r="D4" s="64"/>
      <c r="E4" s="64"/>
      <c r="F4" s="78"/>
    </row>
    <row r="5" spans="1:6" s="55" customFormat="1">
      <c r="B5" s="80"/>
      <c r="C5" s="64"/>
      <c r="D5" s="64"/>
      <c r="E5" s="64"/>
      <c r="F5" s="78"/>
    </row>
    <row r="6" spans="1:6" s="55" customFormat="1">
      <c r="A6" s="50" t="s">
        <v>12</v>
      </c>
      <c r="B6" s="63" t="str">
        <f>'EXECUTIVE SUMMARY'!B6</f>
        <v>Andrew Vatiliotis</v>
      </c>
      <c r="C6" s="64"/>
      <c r="D6" s="64"/>
      <c r="E6" s="64"/>
      <c r="F6" s="78"/>
    </row>
    <row r="7" spans="1:6" s="55" customFormat="1">
      <c r="A7" s="50" t="s">
        <v>14</v>
      </c>
      <c r="B7" s="63">
        <f>'EXECUTIVE SUMMARY'!B7</f>
        <v>0</v>
      </c>
      <c r="C7" s="64"/>
      <c r="D7" s="64"/>
      <c r="E7" s="64"/>
      <c r="F7" s="78"/>
    </row>
    <row r="8" spans="1:6" s="55" customFormat="1">
      <c r="A8" s="50" t="s">
        <v>16</v>
      </c>
      <c r="B8" s="66">
        <f>'EXECUTIVE SUMMARY'!B8</f>
        <v>44838</v>
      </c>
      <c r="C8" s="78"/>
      <c r="D8" s="78"/>
      <c r="E8" s="78"/>
      <c r="F8" s="78"/>
    </row>
    <row r="9" spans="1:6" s="55" customFormat="1">
      <c r="B9" s="78"/>
      <c r="C9" s="78"/>
      <c r="D9" s="78"/>
      <c r="E9" s="78"/>
      <c r="F9" s="78"/>
    </row>
    <row r="10" spans="1:6" s="55" customFormat="1">
      <c r="A10" s="92" t="s">
        <v>20</v>
      </c>
      <c r="B10" s="68" t="s">
        <v>59</v>
      </c>
      <c r="C10" s="93" t="s">
        <v>294</v>
      </c>
      <c r="D10" s="430" t="s">
        <v>295</v>
      </c>
      <c r="E10" s="431"/>
      <c r="F10" s="95" t="s">
        <v>65</v>
      </c>
    </row>
    <row r="11" spans="1:6" s="55" customFormat="1" ht="15">
      <c r="A11" s="107"/>
      <c r="B11" s="108" t="s">
        <v>34</v>
      </c>
      <c r="C11" s="98"/>
      <c r="D11" s="98"/>
      <c r="E11" s="98"/>
      <c r="F11" s="101"/>
    </row>
    <row r="12" spans="1:6" s="55" customFormat="1">
      <c r="A12" s="421" t="s">
        <v>204</v>
      </c>
      <c r="B12" s="432" t="s">
        <v>205</v>
      </c>
      <c r="C12" s="434">
        <f>SUMIFS(Table4[Install Total],Table4[Base],"Base")+SUMIFS(Table4[Install Total],Table4[Base],'EXECUTIVE SUMMARY'!$A$32)</f>
        <v>96600</v>
      </c>
      <c r="D12" s="138">
        <f>'TENDER SUMMARY'!G7</f>
        <v>578</v>
      </c>
      <c r="E12" s="139" t="s">
        <v>309</v>
      </c>
      <c r="F12" s="106"/>
    </row>
    <row r="13" spans="1:6" s="55" customFormat="1">
      <c r="A13" s="423"/>
      <c r="B13" s="433"/>
      <c r="C13" s="435"/>
      <c r="D13" s="224">
        <f>C12/D12</f>
        <v>167.12802768166091</v>
      </c>
      <c r="E13" s="139" t="s">
        <v>310</v>
      </c>
      <c r="F13" s="106" t="s">
        <v>311</v>
      </c>
    </row>
    <row r="14" spans="1:6" s="55" customFormat="1">
      <c r="A14" s="102" t="s">
        <v>206</v>
      </c>
      <c r="B14" s="103" t="s">
        <v>207</v>
      </c>
      <c r="C14" s="70"/>
      <c r="D14" s="140"/>
      <c r="E14" s="140"/>
      <c r="F14" s="106"/>
    </row>
    <row r="15" spans="1:6" s="55" customFormat="1">
      <c r="A15" s="436" t="s">
        <v>208</v>
      </c>
      <c r="B15" s="432" t="s">
        <v>209</v>
      </c>
      <c r="C15" s="440">
        <v>3500</v>
      </c>
      <c r="D15" s="141"/>
      <c r="E15" s="139" t="s">
        <v>312</v>
      </c>
      <c r="F15" s="106" t="s">
        <v>313</v>
      </c>
    </row>
    <row r="16" spans="1:6" s="55" customFormat="1">
      <c r="A16" s="437"/>
      <c r="B16" s="439"/>
      <c r="C16" s="434"/>
      <c r="D16" s="138">
        <f>ROUNDUP('STAFF COST FORECAST'!D16-'STAFF COST FORECAST'!C16,0)/7</f>
        <v>8.7142857142857135</v>
      </c>
      <c r="E16" s="139" t="s">
        <v>314</v>
      </c>
      <c r="F16" s="106"/>
    </row>
    <row r="17" spans="1:6" s="55" customFormat="1">
      <c r="A17" s="438"/>
      <c r="B17" s="433"/>
      <c r="C17" s="435"/>
      <c r="D17" s="141"/>
      <c r="E17" s="139" t="s">
        <v>315</v>
      </c>
      <c r="F17" s="106"/>
    </row>
    <row r="18" spans="1:6" s="55" customFormat="1">
      <c r="A18" s="102" t="s">
        <v>210</v>
      </c>
      <c r="B18" s="103" t="s">
        <v>211</v>
      </c>
      <c r="C18" s="70"/>
      <c r="D18" s="140"/>
      <c r="E18" s="140"/>
      <c r="F18" s="106"/>
    </row>
    <row r="19" spans="1:6" s="55" customFormat="1">
      <c r="A19" s="102" t="s">
        <v>212</v>
      </c>
      <c r="B19" s="103" t="s">
        <v>213</v>
      </c>
      <c r="C19" s="70">
        <f>D19</f>
        <v>5000</v>
      </c>
      <c r="D19" s="140">
        <v>5000</v>
      </c>
      <c r="E19" s="140"/>
      <c r="F19" s="106"/>
    </row>
    <row r="20" spans="1:6" s="55" customFormat="1">
      <c r="A20" s="102" t="s">
        <v>214</v>
      </c>
      <c r="B20" s="103" t="s">
        <v>215</v>
      </c>
      <c r="C20" s="70">
        <f t="shared" ref="C20:C25" si="0">D20</f>
        <v>0</v>
      </c>
      <c r="D20" s="140"/>
      <c r="E20" s="140"/>
      <c r="F20" s="106"/>
    </row>
    <row r="21" spans="1:6" s="55" customFormat="1">
      <c r="A21" s="102" t="s">
        <v>216</v>
      </c>
      <c r="B21" s="103" t="s">
        <v>217</v>
      </c>
      <c r="C21" s="70">
        <f t="shared" si="0"/>
        <v>2000</v>
      </c>
      <c r="D21" s="140">
        <v>2000</v>
      </c>
      <c r="E21" s="140"/>
      <c r="F21" s="106"/>
    </row>
    <row r="22" spans="1:6" s="55" customFormat="1">
      <c r="A22" s="102" t="s">
        <v>218</v>
      </c>
      <c r="B22" s="103" t="s">
        <v>219</v>
      </c>
      <c r="C22" s="70">
        <f t="shared" si="0"/>
        <v>0</v>
      </c>
      <c r="D22" s="140"/>
      <c r="E22" s="140"/>
      <c r="F22" s="106"/>
    </row>
    <row r="23" spans="1:6" s="55" customFormat="1">
      <c r="A23" s="102" t="s">
        <v>220</v>
      </c>
      <c r="B23" s="103" t="s">
        <v>221</v>
      </c>
      <c r="C23" s="70">
        <f t="shared" si="0"/>
        <v>3000</v>
      </c>
      <c r="D23" s="140">
        <v>3000</v>
      </c>
      <c r="E23" s="140"/>
      <c r="F23" s="106"/>
    </row>
    <row r="24" spans="1:6" s="55" customFormat="1">
      <c r="A24" s="102" t="s">
        <v>222</v>
      </c>
      <c r="B24" s="103" t="s">
        <v>223</v>
      </c>
      <c r="C24" s="70">
        <f t="shared" si="0"/>
        <v>0</v>
      </c>
      <c r="D24" s="140"/>
      <c r="E24" s="140"/>
      <c r="F24" s="106"/>
    </row>
    <row r="25" spans="1:6">
      <c r="A25" s="102" t="s">
        <v>224</v>
      </c>
      <c r="B25" s="103" t="s">
        <v>225</v>
      </c>
      <c r="C25" s="70">
        <f t="shared" si="0"/>
        <v>0</v>
      </c>
      <c r="D25" s="140"/>
      <c r="E25" s="140"/>
      <c r="F25" s="106"/>
    </row>
    <row r="47" spans="8:8">
      <c r="H47" s="159"/>
    </row>
  </sheetData>
  <sheetProtection selectLockedCells="1"/>
  <mergeCells count="7">
    <mergeCell ref="D10:E10"/>
    <mergeCell ref="A12:A13"/>
    <mergeCell ref="B12:B13"/>
    <mergeCell ref="C12:C13"/>
    <mergeCell ref="A15:A17"/>
    <mergeCell ref="B15:B17"/>
    <mergeCell ref="C15:C17"/>
  </mergeCells>
  <conditionalFormatting sqref="C10:D10 F10 A12:B12 A14:B15 A18:B22 C18:E25">
    <cfRule type="cellIs" dxfId="457" priority="7" operator="lessThan">
      <formula>0</formula>
    </cfRule>
  </conditionalFormatting>
  <conditionalFormatting sqref="A24:B25">
    <cfRule type="cellIs" dxfId="456" priority="5" operator="lessThan">
      <formula>0</formula>
    </cfRule>
  </conditionalFormatting>
  <conditionalFormatting sqref="C14:E14">
    <cfRule type="cellIs" dxfId="455" priority="6" operator="lessThan">
      <formula>0</formula>
    </cfRule>
  </conditionalFormatting>
  <conditionalFormatting sqref="A23">
    <cfRule type="cellIs" dxfId="454" priority="4" operator="lessThan">
      <formula>0</formula>
    </cfRule>
  </conditionalFormatting>
  <conditionalFormatting sqref="B23">
    <cfRule type="cellIs" dxfId="453" priority="3" operator="lessThan">
      <formula>0</formula>
    </cfRule>
  </conditionalFormatting>
  <conditionalFormatting sqref="C11:E11">
    <cfRule type="cellIs" dxfId="452" priority="2" operator="lessThan">
      <formula>0</formula>
    </cfRule>
  </conditionalFormatting>
  <conditionalFormatting sqref="F11">
    <cfRule type="cellIs" dxfId="451" priority="1" operator="lessThan">
      <formula>0</formula>
    </cfRule>
  </conditionalFormatting>
  <printOptions horizontalCentered="1" gridLines="1"/>
  <pageMargins left="0.45" right="0.45" top="0.75" bottom="0.5" header="0.31496062992126" footer="0.31496062992126"/>
  <pageSetup paperSize="8" scale="77" fitToHeight="0" orientation="portrait" r:id="rId1"/>
  <headerFooter>
    <oddHeader>&amp;C&amp;"-,Bold"&amp;KFF0000- CONFIDENTIAL - INTERNAL USE ONLY -</oddHeader>
    <oddFooter>&amp;LPrinted on: &amp;D&amp;C&amp;F - &amp;A&amp;RPg &amp;P of &amp;N</oddFooter>
  </headerFooter>
  <colBreaks count="1" manualBreakCount="1">
    <brk id="5" max="53"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C5D8E-133D-46BA-90CC-12C47BEF99C9}">
  <sheetPr codeName="Sheet8">
    <tabColor theme="7" tint="-0.249977111117893"/>
    <pageSetUpPr fitToPage="1"/>
  </sheetPr>
  <dimension ref="A1:F38"/>
  <sheetViews>
    <sheetView workbookViewId="0"/>
  </sheetViews>
  <sheetFormatPr defaultColWidth="9.140625" defaultRowHeight="12.75"/>
  <cols>
    <col min="1" max="1" width="13.85546875" style="56" bestFit="1" customWidth="1"/>
    <col min="2" max="2" width="25.85546875" style="75" bestFit="1" customWidth="1"/>
    <col min="3" max="3" width="18.42578125" style="52" customWidth="1"/>
    <col min="4" max="4" width="11.5703125" style="52" bestFit="1" customWidth="1"/>
    <col min="5" max="5" width="28.42578125" style="77" customWidth="1" collapsed="1"/>
    <col min="6" max="6" width="43.42578125" style="56" customWidth="1"/>
    <col min="7" max="7" width="4.42578125" style="56" customWidth="1"/>
    <col min="8" max="8" width="9.140625" style="56" customWidth="1"/>
    <col min="9" max="16384" width="9.140625" style="56"/>
  </cols>
  <sheetData>
    <row r="1" spans="1:6">
      <c r="A1" s="50" t="s">
        <v>0</v>
      </c>
      <c r="B1" s="51" t="str">
        <f ca="1">'EXECUTIVE SUMMARY'!B1</f>
        <v>T1112</v>
      </c>
    </row>
    <row r="2" spans="1:6">
      <c r="A2" s="50" t="s">
        <v>3</v>
      </c>
      <c r="B2" s="51" t="str">
        <f ca="1">'EXECUTIVE SUMMARY'!B2</f>
        <v/>
      </c>
    </row>
    <row r="3" spans="1:6" s="55" customFormat="1">
      <c r="A3" s="50" t="s">
        <v>5</v>
      </c>
      <c r="B3" s="51" t="str">
        <f>'EXECUTIVE SUMMARY'!B3</f>
        <v>Lendlease</v>
      </c>
      <c r="C3" s="64"/>
      <c r="D3" s="64"/>
      <c r="E3" s="78"/>
    </row>
    <row r="4" spans="1:6" s="55" customFormat="1">
      <c r="A4" s="50" t="s">
        <v>8</v>
      </c>
      <c r="B4" s="51" t="str">
        <f>'EXECUTIVE SUMMARY'!B4</f>
        <v>BVN</v>
      </c>
      <c r="C4" s="64"/>
      <c r="D4" s="64"/>
      <c r="E4" s="78"/>
    </row>
    <row r="5" spans="1:6" s="55" customFormat="1">
      <c r="B5" s="80"/>
      <c r="C5" s="64"/>
      <c r="D5" s="64"/>
      <c r="E5" s="78"/>
    </row>
    <row r="6" spans="1:6" s="55" customFormat="1">
      <c r="A6" s="50" t="s">
        <v>12</v>
      </c>
      <c r="B6" s="63" t="str">
        <f>'EXECUTIVE SUMMARY'!B6</f>
        <v>Andrew Vatiliotis</v>
      </c>
      <c r="C6" s="64"/>
      <c r="D6" s="64"/>
      <c r="E6" s="78"/>
    </row>
    <row r="7" spans="1:6" s="55" customFormat="1">
      <c r="A7" s="50" t="s">
        <v>14</v>
      </c>
      <c r="B7" s="63">
        <f>'EXECUTIVE SUMMARY'!B7</f>
        <v>0</v>
      </c>
      <c r="C7" s="64"/>
      <c r="D7" s="64"/>
      <c r="E7" s="78"/>
    </row>
    <row r="8" spans="1:6" s="55" customFormat="1">
      <c r="A8" s="50" t="s">
        <v>16</v>
      </c>
      <c r="B8" s="66">
        <f>'EXECUTIVE SUMMARY'!B8</f>
        <v>44838</v>
      </c>
      <c r="C8" s="78"/>
      <c r="D8" s="78"/>
      <c r="E8" s="78"/>
    </row>
    <row r="9" spans="1:6" s="55" customFormat="1">
      <c r="B9" s="78"/>
      <c r="C9" s="78"/>
      <c r="D9" s="78"/>
      <c r="E9" s="78"/>
    </row>
    <row r="10" spans="1:6" s="55" customFormat="1">
      <c r="A10" s="92" t="s">
        <v>20</v>
      </c>
      <c r="B10" s="68" t="s">
        <v>59</v>
      </c>
      <c r="C10" s="93" t="s">
        <v>294</v>
      </c>
      <c r="D10" s="443" t="s">
        <v>295</v>
      </c>
      <c r="E10" s="443"/>
      <c r="F10" s="93" t="s">
        <v>65</v>
      </c>
    </row>
    <row r="11" spans="1:6" s="55" customFormat="1" ht="15">
      <c r="A11" s="107"/>
      <c r="B11" s="108" t="s">
        <v>226</v>
      </c>
      <c r="C11" s="98"/>
      <c r="D11" s="98"/>
      <c r="E11" s="101"/>
      <c r="F11" s="142"/>
    </row>
    <row r="12" spans="1:6" s="55" customFormat="1">
      <c r="A12" s="421" t="s">
        <v>227</v>
      </c>
      <c r="B12" s="421" t="s">
        <v>228</v>
      </c>
      <c r="C12" s="440">
        <f>IF(D12="REQUIRED",(D13*D14),0)</f>
        <v>0</v>
      </c>
      <c r="D12" s="442" t="s">
        <v>296</v>
      </c>
      <c r="E12" s="442"/>
      <c r="F12" s="142"/>
    </row>
    <row r="13" spans="1:6" s="55" customFormat="1">
      <c r="A13" s="422"/>
      <c r="B13" s="422"/>
      <c r="C13" s="434"/>
      <c r="D13" s="143">
        <v>1</v>
      </c>
      <c r="E13" s="139" t="s">
        <v>316</v>
      </c>
      <c r="F13" s="142"/>
    </row>
    <row r="14" spans="1:6" s="55" customFormat="1">
      <c r="A14" s="423"/>
      <c r="B14" s="423"/>
      <c r="C14" s="435"/>
      <c r="D14" s="141">
        <v>11000</v>
      </c>
      <c r="E14" s="139" t="s">
        <v>317</v>
      </c>
      <c r="F14" s="142"/>
    </row>
    <row r="15" spans="1:6" s="55" customFormat="1">
      <c r="A15" s="421" t="s">
        <v>229</v>
      </c>
      <c r="B15" s="421" t="s">
        <v>230</v>
      </c>
      <c r="C15" s="440">
        <f>IF(D15="REQUIRED",(D16*D17),0)</f>
        <v>0</v>
      </c>
      <c r="D15" s="442" t="s">
        <v>296</v>
      </c>
      <c r="E15" s="442"/>
      <c r="F15" s="142"/>
    </row>
    <row r="16" spans="1:6" s="55" customFormat="1">
      <c r="A16" s="422"/>
      <c r="B16" s="422"/>
      <c r="C16" s="434"/>
      <c r="D16" s="143">
        <v>1</v>
      </c>
      <c r="E16" s="139" t="s">
        <v>316</v>
      </c>
      <c r="F16" s="142"/>
    </row>
    <row r="17" spans="1:6" s="55" customFormat="1">
      <c r="A17" s="423"/>
      <c r="B17" s="423"/>
      <c r="C17" s="435"/>
      <c r="D17" s="141">
        <v>11000</v>
      </c>
      <c r="E17" s="139" t="s">
        <v>317</v>
      </c>
      <c r="F17" s="142"/>
    </row>
    <row r="18" spans="1:6" s="55" customFormat="1">
      <c r="A18" s="421" t="s">
        <v>231</v>
      </c>
      <c r="B18" s="421" t="s">
        <v>232</v>
      </c>
      <c r="C18" s="440">
        <f>IF(D18="REQUIRED",(D19*D20),0)</f>
        <v>0</v>
      </c>
      <c r="D18" s="441" t="s">
        <v>296</v>
      </c>
      <c r="E18" s="441"/>
      <c r="F18" s="142"/>
    </row>
    <row r="19" spans="1:6" s="55" customFormat="1">
      <c r="A19" s="422"/>
      <c r="B19" s="422"/>
      <c r="C19" s="434"/>
      <c r="D19" s="143"/>
      <c r="E19" s="139" t="s">
        <v>316</v>
      </c>
      <c r="F19" s="142"/>
    </row>
    <row r="20" spans="1:6" s="55" customFormat="1">
      <c r="A20" s="423"/>
      <c r="B20" s="423"/>
      <c r="C20" s="435"/>
      <c r="D20" s="141"/>
      <c r="E20" s="139" t="s">
        <v>317</v>
      </c>
      <c r="F20" s="142"/>
    </row>
    <row r="21" spans="1:6" s="55" customFormat="1">
      <c r="A21" s="421" t="s">
        <v>233</v>
      </c>
      <c r="B21" s="421" t="s">
        <v>234</v>
      </c>
      <c r="C21" s="440">
        <f>IF(D21="REQUIRED",(D22*D23),0)</f>
        <v>0</v>
      </c>
      <c r="D21" s="441" t="s">
        <v>296</v>
      </c>
      <c r="E21" s="441"/>
      <c r="F21" s="142"/>
    </row>
    <row r="22" spans="1:6" s="55" customFormat="1">
      <c r="A22" s="422"/>
      <c r="B22" s="422"/>
      <c r="C22" s="434"/>
      <c r="D22" s="143"/>
      <c r="E22" s="139" t="s">
        <v>316</v>
      </c>
      <c r="F22" s="142"/>
    </row>
    <row r="23" spans="1:6" s="55" customFormat="1">
      <c r="A23" s="423"/>
      <c r="B23" s="423"/>
      <c r="C23" s="435"/>
      <c r="D23" s="141"/>
      <c r="E23" s="139" t="s">
        <v>317</v>
      </c>
      <c r="F23" s="142"/>
    </row>
    <row r="24" spans="1:6" s="55" customFormat="1">
      <c r="A24" s="421" t="s">
        <v>235</v>
      </c>
      <c r="B24" s="421" t="s">
        <v>236</v>
      </c>
      <c r="C24" s="440">
        <f>IF(D24="REQUIRED",(D25*D26),0)</f>
        <v>0</v>
      </c>
      <c r="D24" s="441" t="s">
        <v>296</v>
      </c>
      <c r="E24" s="441"/>
      <c r="F24" s="142"/>
    </row>
    <row r="25" spans="1:6" s="55" customFormat="1">
      <c r="A25" s="422"/>
      <c r="B25" s="422"/>
      <c r="C25" s="434"/>
      <c r="D25" s="143"/>
      <c r="E25" s="139" t="s">
        <v>316</v>
      </c>
      <c r="F25" s="142"/>
    </row>
    <row r="26" spans="1:6" s="55" customFormat="1">
      <c r="A26" s="423"/>
      <c r="B26" s="423"/>
      <c r="C26" s="435"/>
      <c r="D26" s="141"/>
      <c r="E26" s="139" t="s">
        <v>317</v>
      </c>
      <c r="F26" s="142"/>
    </row>
    <row r="27" spans="1:6" s="55" customFormat="1">
      <c r="A27" s="421" t="s">
        <v>237</v>
      </c>
      <c r="B27" s="421" t="s">
        <v>238</v>
      </c>
      <c r="C27" s="440">
        <f>IF(D27="REQUIRED",(D28*D29),0)</f>
        <v>0</v>
      </c>
      <c r="D27" s="441" t="s">
        <v>296</v>
      </c>
      <c r="E27" s="441"/>
      <c r="F27" s="142"/>
    </row>
    <row r="28" spans="1:6" s="55" customFormat="1">
      <c r="A28" s="422"/>
      <c r="B28" s="422"/>
      <c r="C28" s="434"/>
      <c r="D28" s="143"/>
      <c r="E28" s="139" t="s">
        <v>316</v>
      </c>
      <c r="F28" s="142"/>
    </row>
    <row r="29" spans="1:6" s="55" customFormat="1">
      <c r="A29" s="423"/>
      <c r="B29" s="423"/>
      <c r="C29" s="435"/>
      <c r="D29" s="141"/>
      <c r="E29" s="139" t="s">
        <v>317</v>
      </c>
      <c r="F29" s="142"/>
    </row>
    <row r="30" spans="1:6" s="55" customFormat="1">
      <c r="A30" s="421" t="s">
        <v>239</v>
      </c>
      <c r="B30" s="421" t="s">
        <v>240</v>
      </c>
      <c r="C30" s="440">
        <f>IF(D30="REQUIRED",(D31*D32),0)</f>
        <v>0</v>
      </c>
      <c r="D30" s="441" t="s">
        <v>296</v>
      </c>
      <c r="E30" s="441"/>
      <c r="F30" s="142"/>
    </row>
    <row r="31" spans="1:6" s="55" customFormat="1">
      <c r="A31" s="422"/>
      <c r="B31" s="422"/>
      <c r="C31" s="434"/>
      <c r="D31" s="143"/>
      <c r="E31" s="139" t="s">
        <v>316</v>
      </c>
      <c r="F31" s="142"/>
    </row>
    <row r="32" spans="1:6" s="55" customFormat="1">
      <c r="A32" s="423"/>
      <c r="B32" s="423"/>
      <c r="C32" s="435"/>
      <c r="D32" s="141"/>
      <c r="E32" s="139" t="s">
        <v>317</v>
      </c>
      <c r="F32" s="142"/>
    </row>
    <row r="33" spans="1:6" s="55" customFormat="1">
      <c r="A33" s="421" t="s">
        <v>241</v>
      </c>
      <c r="B33" s="421" t="s">
        <v>242</v>
      </c>
      <c r="C33" s="440">
        <f>IF(D33="REQUIRED",(D34*D35),0)</f>
        <v>0</v>
      </c>
      <c r="D33" s="441" t="s">
        <v>296</v>
      </c>
      <c r="E33" s="441"/>
      <c r="F33" s="142"/>
    </row>
    <row r="34" spans="1:6" s="55" customFormat="1">
      <c r="A34" s="422"/>
      <c r="B34" s="422"/>
      <c r="C34" s="434"/>
      <c r="D34" s="143"/>
      <c r="E34" s="139" t="s">
        <v>316</v>
      </c>
      <c r="F34" s="142"/>
    </row>
    <row r="35" spans="1:6" s="55" customFormat="1">
      <c r="A35" s="423"/>
      <c r="B35" s="423"/>
      <c r="C35" s="435"/>
      <c r="D35" s="141"/>
      <c r="E35" s="139" t="s">
        <v>317</v>
      </c>
      <c r="F35" s="142"/>
    </row>
    <row r="36" spans="1:6" s="55" customFormat="1">
      <c r="A36" s="421" t="s">
        <v>243</v>
      </c>
      <c r="B36" s="421" t="s">
        <v>102</v>
      </c>
      <c r="C36" s="440">
        <f>IF(D36="REQUIRED",(D37*D38),0)</f>
        <v>0</v>
      </c>
      <c r="D36" s="441" t="s">
        <v>296</v>
      </c>
      <c r="E36" s="441"/>
      <c r="F36" s="142"/>
    </row>
    <row r="37" spans="1:6" s="55" customFormat="1">
      <c r="A37" s="422"/>
      <c r="B37" s="422"/>
      <c r="C37" s="434"/>
      <c r="D37" s="143"/>
      <c r="E37" s="139" t="s">
        <v>316</v>
      </c>
      <c r="F37" s="142"/>
    </row>
    <row r="38" spans="1:6" s="55" customFormat="1">
      <c r="A38" s="423"/>
      <c r="B38" s="423"/>
      <c r="C38" s="435"/>
      <c r="D38" s="141"/>
      <c r="E38" s="139" t="s">
        <v>317</v>
      </c>
      <c r="F38" s="142"/>
    </row>
  </sheetData>
  <sheetProtection selectLockedCells="1"/>
  <mergeCells count="37">
    <mergeCell ref="A15:A17"/>
    <mergeCell ref="B15:B17"/>
    <mergeCell ref="C15:C17"/>
    <mergeCell ref="D15:E15"/>
    <mergeCell ref="D10:E10"/>
    <mergeCell ref="A12:A14"/>
    <mergeCell ref="B12:B14"/>
    <mergeCell ref="C12:C14"/>
    <mergeCell ref="D12:E12"/>
    <mergeCell ref="A18:A20"/>
    <mergeCell ref="B18:B20"/>
    <mergeCell ref="C18:C20"/>
    <mergeCell ref="D18:E18"/>
    <mergeCell ref="A21:A23"/>
    <mergeCell ref="B21:B23"/>
    <mergeCell ref="C21:C23"/>
    <mergeCell ref="D21:E21"/>
    <mergeCell ref="A24:A26"/>
    <mergeCell ref="B24:B26"/>
    <mergeCell ref="C24:C26"/>
    <mergeCell ref="D24:E24"/>
    <mergeCell ref="A27:A29"/>
    <mergeCell ref="B27:B29"/>
    <mergeCell ref="C27:C29"/>
    <mergeCell ref="D27:E27"/>
    <mergeCell ref="A36:A38"/>
    <mergeCell ref="B36:B38"/>
    <mergeCell ref="C36:C38"/>
    <mergeCell ref="D36:E36"/>
    <mergeCell ref="A30:A32"/>
    <mergeCell ref="B30:B32"/>
    <mergeCell ref="C30:C32"/>
    <mergeCell ref="D30:E30"/>
    <mergeCell ref="A33:A35"/>
    <mergeCell ref="B33:B35"/>
    <mergeCell ref="C33:C35"/>
    <mergeCell ref="D33:E33"/>
  </mergeCells>
  <conditionalFormatting sqref="A12:C12 A15:B15 C10:D10 A18:B18 A24:B24 A27:B27 A21:B21 A30:B30 A33:B33 A36:B36">
    <cfRule type="cellIs" dxfId="450" priority="12" operator="lessThan">
      <formula>0</formula>
    </cfRule>
  </conditionalFormatting>
  <conditionalFormatting sqref="C11:D11">
    <cfRule type="cellIs" dxfId="449" priority="11" operator="lessThan">
      <formula>0</formula>
    </cfRule>
  </conditionalFormatting>
  <conditionalFormatting sqref="E11">
    <cfRule type="cellIs" dxfId="448" priority="10" operator="lessThan">
      <formula>0</formula>
    </cfRule>
  </conditionalFormatting>
  <conditionalFormatting sqref="C15">
    <cfRule type="cellIs" dxfId="447" priority="9" operator="lessThan">
      <formula>0</formula>
    </cfRule>
  </conditionalFormatting>
  <conditionalFormatting sqref="C18">
    <cfRule type="cellIs" dxfId="446" priority="8" operator="lessThan">
      <formula>0</formula>
    </cfRule>
  </conditionalFormatting>
  <conditionalFormatting sqref="C21">
    <cfRule type="cellIs" dxfId="445" priority="7" operator="lessThan">
      <formula>0</formula>
    </cfRule>
  </conditionalFormatting>
  <conditionalFormatting sqref="C24">
    <cfRule type="cellIs" dxfId="444" priority="6" operator="lessThan">
      <formula>0</formula>
    </cfRule>
  </conditionalFormatting>
  <conditionalFormatting sqref="C27">
    <cfRule type="cellIs" dxfId="443" priority="5" operator="lessThan">
      <formula>0</formula>
    </cfRule>
  </conditionalFormatting>
  <conditionalFormatting sqref="C30">
    <cfRule type="cellIs" dxfId="442" priority="4" operator="lessThan">
      <formula>0</formula>
    </cfRule>
  </conditionalFormatting>
  <conditionalFormatting sqref="C33">
    <cfRule type="cellIs" dxfId="441" priority="3" operator="lessThan">
      <formula>0</formula>
    </cfRule>
  </conditionalFormatting>
  <conditionalFormatting sqref="C36">
    <cfRule type="cellIs" dxfId="440" priority="2" operator="lessThan">
      <formula>0</formula>
    </cfRule>
  </conditionalFormatting>
  <conditionalFormatting sqref="F10">
    <cfRule type="cellIs" dxfId="439" priority="1" operator="lessThan">
      <formula>0</formula>
    </cfRule>
  </conditionalFormatting>
  <dataValidations count="2">
    <dataValidation type="list" allowBlank="1" showInputMessage="1" showErrorMessage="1" sqref="D13 D34 D16 D19 D22 D25 D28 D31 D37" xr:uid="{7BAD137E-9913-4018-B29C-9289FCE31CC0}">
      <formula1>"1,2,3,4,5"</formula1>
    </dataValidation>
    <dataValidation type="list" allowBlank="1" showInputMessage="1" showErrorMessage="1" sqref="D12:E12 D15:E15 D18:E18 D21:E21 D24:E24 D27:E27 D30:E30 D33:E33 D36:E36" xr:uid="{31B2929E-36E9-43D3-A7B4-D883450C1949}">
      <formula1>"REQUIRED,NOT REQUIRED"</formula1>
    </dataValidation>
  </dataValidations>
  <printOptions horizontalCentered="1" gridLines="1"/>
  <pageMargins left="0.45" right="0.45" top="0.75" bottom="0.5" header="0.31496062992126" footer="0.31496062992126"/>
  <pageSetup paperSize="8" scale="96" fitToHeight="0" orientation="portrait" r:id="rId1"/>
  <headerFooter>
    <oddHeader>&amp;C&amp;"-,Bold"&amp;KFF0000- CONFIDENTIAL - INTERNAL USE ONLY -</oddHeader>
    <oddFooter>&amp;LPrinted on: &amp;D&amp;C&amp;F - &amp;A&amp;RPg &amp;P of &amp;N</oddFooter>
  </headerFooter>
  <colBreaks count="1" manualBreakCount="1">
    <brk id="4"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3C220-BBBF-453D-965A-099639A51C1B}">
  <sheetPr codeName="Sheet11">
    <tabColor rgb="FF0070C0"/>
    <pageSetUpPr fitToPage="1"/>
  </sheetPr>
  <dimension ref="A1:F18"/>
  <sheetViews>
    <sheetView workbookViewId="0">
      <selection activeCell="D25" sqref="D25"/>
    </sheetView>
  </sheetViews>
  <sheetFormatPr defaultColWidth="9.140625" defaultRowHeight="12.75"/>
  <cols>
    <col min="1" max="1" width="13.85546875" style="56" bestFit="1" customWidth="1"/>
    <col min="2" max="2" width="57.42578125" style="75" customWidth="1"/>
    <col min="3" max="3" width="27.42578125" style="52" customWidth="1"/>
    <col min="4" max="4" width="32.42578125" style="52" customWidth="1"/>
    <col min="5" max="5" width="21.85546875" style="52" bestFit="1" customWidth="1"/>
    <col min="6" max="6" width="55.85546875" style="77" customWidth="1" collapsed="1"/>
    <col min="7" max="7" width="4.42578125" style="56" customWidth="1"/>
    <col min="8" max="8" width="9.140625" style="56" customWidth="1"/>
    <col min="9" max="16384" width="9.140625" style="56"/>
  </cols>
  <sheetData>
    <row r="1" spans="1:6">
      <c r="A1" s="50" t="s">
        <v>0</v>
      </c>
      <c r="B1" s="51" t="str">
        <f ca="1">'EXECUTIVE SUMMARY'!B1</f>
        <v>T1112</v>
      </c>
      <c r="D1" s="178" t="s">
        <v>318</v>
      </c>
      <c r="E1" s="179" t="e">
        <f>#REF!</f>
        <v>#REF!</v>
      </c>
    </row>
    <row r="2" spans="1:6">
      <c r="A2" s="50" t="s">
        <v>3</v>
      </c>
      <c r="B2" s="51" t="str">
        <f ca="1">'EXECUTIVE SUMMARY'!B2</f>
        <v/>
      </c>
      <c r="D2" s="178" t="s">
        <v>319</v>
      </c>
      <c r="E2" s="179" t="e">
        <f>#REF!+#REF!</f>
        <v>#REF!</v>
      </c>
      <c r="F2" s="180"/>
    </row>
    <row r="3" spans="1:6" s="55" customFormat="1" ht="25.5">
      <c r="A3" s="50" t="s">
        <v>5</v>
      </c>
      <c r="B3" s="51" t="str">
        <f>'EXECUTIVE SUMMARY'!B3</f>
        <v>Lendlease</v>
      </c>
      <c r="C3" s="64"/>
      <c r="D3" s="178" t="s">
        <v>320</v>
      </c>
      <c r="E3" s="179" t="e">
        <f>#REF!</f>
        <v>#REF!</v>
      </c>
      <c r="F3" s="180"/>
    </row>
    <row r="4" spans="1:6" s="55" customFormat="1">
      <c r="A4" s="50" t="s">
        <v>8</v>
      </c>
      <c r="B4" s="51" t="str">
        <f>'EXECUTIVE SUMMARY'!B4</f>
        <v>BVN</v>
      </c>
      <c r="C4" s="64"/>
      <c r="D4" s="178" t="s">
        <v>321</v>
      </c>
      <c r="E4" s="179" t="e">
        <f>#REF!</f>
        <v>#REF!</v>
      </c>
      <c r="F4" s="180"/>
    </row>
    <row r="5" spans="1:6" s="55" customFormat="1">
      <c r="B5" s="80"/>
      <c r="C5" s="64"/>
      <c r="D5" s="178" t="s">
        <v>322</v>
      </c>
      <c r="E5" s="181">
        <v>6</v>
      </c>
      <c r="F5" s="78"/>
    </row>
    <row r="6" spans="1:6" s="55" customFormat="1">
      <c r="A6" s="50" t="s">
        <v>12</v>
      </c>
      <c r="B6" s="63" t="str">
        <f>'EXECUTIVE SUMMARY'!B6</f>
        <v>Andrew Vatiliotis</v>
      </c>
      <c r="C6" s="64"/>
      <c r="D6" s="178" t="s">
        <v>323</v>
      </c>
      <c r="E6" s="179" t="e">
        <f>ROUNDUP(E2/E5,0)</f>
        <v>#REF!</v>
      </c>
      <c r="F6" s="182"/>
    </row>
    <row r="7" spans="1:6" s="55" customFormat="1">
      <c r="A7" s="50" t="s">
        <v>14</v>
      </c>
      <c r="B7" s="63">
        <f>'EXECUTIVE SUMMARY'!B7</f>
        <v>0</v>
      </c>
      <c r="C7" s="64"/>
      <c r="D7" s="178" t="s">
        <v>324</v>
      </c>
      <c r="E7" s="179" t="e">
        <f>ROUNDUP(E3/E5,0)</f>
        <v>#REF!</v>
      </c>
      <c r="F7" s="182"/>
    </row>
    <row r="8" spans="1:6" s="55" customFormat="1">
      <c r="A8" s="50" t="s">
        <v>16</v>
      </c>
      <c r="B8" s="66">
        <f>'EXECUTIVE SUMMARY'!B8</f>
        <v>44838</v>
      </c>
      <c r="C8" s="78"/>
      <c r="D8" s="178" t="s">
        <v>325</v>
      </c>
      <c r="E8" s="179" t="e">
        <f>ROUNDUP(E4/E5,0)</f>
        <v>#REF!</v>
      </c>
      <c r="F8" s="182"/>
    </row>
    <row r="9" spans="1:6" s="55" customFormat="1">
      <c r="B9" s="78"/>
      <c r="C9" s="78"/>
      <c r="D9" s="78"/>
      <c r="E9" s="78"/>
      <c r="F9" s="78"/>
    </row>
    <row r="10" spans="1:6" s="55" customFormat="1">
      <c r="A10" s="92" t="s">
        <v>20</v>
      </c>
      <c r="B10" s="68" t="s">
        <v>59</v>
      </c>
      <c r="C10" s="93" t="s">
        <v>294</v>
      </c>
      <c r="D10" s="93"/>
      <c r="E10" s="93"/>
      <c r="F10" s="95" t="s">
        <v>65</v>
      </c>
    </row>
    <row r="11" spans="1:6" s="55" customFormat="1" ht="15">
      <c r="A11" s="107"/>
      <c r="B11" s="108" t="s">
        <v>33</v>
      </c>
      <c r="C11" s="98"/>
      <c r="D11" s="98"/>
      <c r="E11" s="101"/>
      <c r="F11" s="101"/>
    </row>
    <row r="12" spans="1:6" s="55" customFormat="1">
      <c r="A12" s="421" t="s">
        <v>196</v>
      </c>
      <c r="B12" s="432" t="s">
        <v>197</v>
      </c>
      <c r="C12" s="424">
        <f>IF(D12="NOT REQUIRED",0,D13*D14)</f>
        <v>58485</v>
      </c>
      <c r="D12" s="183" t="s">
        <v>326</v>
      </c>
      <c r="E12" s="139" t="s">
        <v>327</v>
      </c>
      <c r="F12" s="166"/>
    </row>
    <row r="13" spans="1:6" s="55" customFormat="1">
      <c r="A13" s="422"/>
      <c r="B13" s="439"/>
      <c r="C13" s="425"/>
      <c r="D13" s="226">
        <v>9</v>
      </c>
      <c r="E13" s="139" t="s">
        <v>328</v>
      </c>
      <c r="F13" s="166"/>
    </row>
    <row r="14" spans="1:6" s="55" customFormat="1">
      <c r="A14" s="423"/>
      <c r="B14" s="433"/>
      <c r="C14" s="426"/>
      <c r="D14" s="222">
        <f>'TH-SYD AAW'!$P$63</f>
        <v>6498.333333333333</v>
      </c>
      <c r="E14" s="139" t="s">
        <v>329</v>
      </c>
      <c r="F14" s="184" t="s">
        <v>756</v>
      </c>
    </row>
    <row r="15" spans="1:6" s="55" customFormat="1">
      <c r="A15" s="102" t="s">
        <v>198</v>
      </c>
      <c r="B15" s="103" t="s">
        <v>199</v>
      </c>
      <c r="C15" s="185">
        <f>SUM('TH-SYD AAW'!L57:L59)</f>
        <v>8782.6785714285725</v>
      </c>
      <c r="D15" s="185" t="s">
        <v>754</v>
      </c>
      <c r="E15" s="185"/>
      <c r="F15" s="106"/>
    </row>
    <row r="16" spans="1:6" s="55" customFormat="1">
      <c r="A16" s="102" t="s">
        <v>200</v>
      </c>
      <c r="B16" s="103" t="s">
        <v>201</v>
      </c>
      <c r="C16" s="185">
        <f>SUM('TH-SYD AAW'!L56:L56)</f>
        <v>4542.8571428571431</v>
      </c>
      <c r="D16" s="185" t="s">
        <v>755</v>
      </c>
      <c r="E16" s="185"/>
      <c r="F16" s="106"/>
    </row>
    <row r="17" spans="1:6" s="55" customFormat="1">
      <c r="A17" s="102" t="s">
        <v>202</v>
      </c>
      <c r="B17" s="103" t="s">
        <v>203</v>
      </c>
      <c r="C17" s="185">
        <v>0</v>
      </c>
      <c r="D17" s="185"/>
      <c r="E17" s="185"/>
      <c r="F17" s="106"/>
    </row>
    <row r="18" spans="1:6" s="55" customFormat="1">
      <c r="A18" s="102"/>
      <c r="B18" s="103"/>
      <c r="C18" s="185">
        <v>0</v>
      </c>
      <c r="D18" s="185"/>
      <c r="E18" s="185"/>
      <c r="F18" s="106"/>
    </row>
  </sheetData>
  <sheetProtection selectLockedCells="1"/>
  <mergeCells count="3">
    <mergeCell ref="A12:A14"/>
    <mergeCell ref="B12:B14"/>
    <mergeCell ref="C12:C14"/>
  </mergeCells>
  <conditionalFormatting sqref="C10:F10 A12:E12 A17:E18 A15:C16 E13:E16">
    <cfRule type="cellIs" dxfId="438" priority="13" operator="lessThan">
      <formula>0</formula>
    </cfRule>
  </conditionalFormatting>
  <conditionalFormatting sqref="C11:E11">
    <cfRule type="cellIs" dxfId="437" priority="12" operator="lessThan">
      <formula>0</formula>
    </cfRule>
  </conditionalFormatting>
  <conditionalFormatting sqref="F11">
    <cfRule type="cellIs" dxfId="436" priority="11" operator="lessThan">
      <formula>0</formula>
    </cfRule>
  </conditionalFormatting>
  <conditionalFormatting sqref="D11">
    <cfRule type="cellIs" dxfId="435" priority="10" operator="lessThan">
      <formula>0</formula>
    </cfRule>
  </conditionalFormatting>
  <conditionalFormatting sqref="E11">
    <cfRule type="cellIs" dxfId="434" priority="9" operator="lessThan">
      <formula>0</formula>
    </cfRule>
  </conditionalFormatting>
  <conditionalFormatting sqref="D1:D4">
    <cfRule type="cellIs" dxfId="433" priority="7" operator="lessThan">
      <formula>0</formula>
    </cfRule>
  </conditionalFormatting>
  <conditionalFormatting sqref="E1:E4">
    <cfRule type="cellIs" dxfId="432" priority="8" operator="lessThan">
      <formula>0</formula>
    </cfRule>
  </conditionalFormatting>
  <conditionalFormatting sqref="D6:D8">
    <cfRule type="cellIs" dxfId="431" priority="6" operator="lessThan">
      <formula>0</formula>
    </cfRule>
  </conditionalFormatting>
  <conditionalFormatting sqref="E6:E8">
    <cfRule type="cellIs" dxfId="430" priority="5" operator="lessThan">
      <formula>0</formula>
    </cfRule>
  </conditionalFormatting>
  <conditionalFormatting sqref="D13">
    <cfRule type="cellIs" dxfId="429" priority="4" operator="lessThan">
      <formula>0</formula>
    </cfRule>
  </conditionalFormatting>
  <conditionalFormatting sqref="D14">
    <cfRule type="cellIs" dxfId="428" priority="3" operator="lessThan">
      <formula>0</formula>
    </cfRule>
  </conditionalFormatting>
  <conditionalFormatting sqref="D5">
    <cfRule type="cellIs" dxfId="427" priority="2" operator="lessThan">
      <formula>0</formula>
    </cfRule>
  </conditionalFormatting>
  <conditionalFormatting sqref="D15:D16">
    <cfRule type="cellIs" dxfId="426" priority="1" operator="lessThan">
      <formula>0</formula>
    </cfRule>
  </conditionalFormatting>
  <dataValidations disablePrompts="1" count="1">
    <dataValidation type="list" allowBlank="1" showInputMessage="1" showErrorMessage="1" sqref="D12" xr:uid="{264BF220-2896-4FE6-A625-2A6F30350788}">
      <formula1>"REQUIRED,NOT REQUIRED"</formula1>
    </dataValidation>
  </dataValidations>
  <printOptions horizontalCentered="1" gridLines="1"/>
  <pageMargins left="0.45" right="0.45" top="0.75" bottom="0.5" header="0.31496062992126" footer="0.31496062992126"/>
  <pageSetup paperSize="8" scale="65" fitToHeight="0" orientation="portrait" r:id="rId1"/>
  <headerFooter>
    <oddHeader>&amp;C&amp;"-,Bold"&amp;KFF0000- CONFIDENTIAL - INTERNAL USE ONLY -</oddHeader>
    <oddFooter>&amp;LPrinted on: &amp;D&amp;C&amp;F - &amp;A&amp;RPg &amp;P of &amp;N</oddFooter>
  </headerFooter>
  <colBreaks count="1" manualBreakCount="1">
    <brk id="5" max="16"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02502-442E-4F90-B07C-6CFCB4690C73}">
  <sheetPr codeName="Sheet9">
    <tabColor rgb="FF00B0F0"/>
    <pageSetUpPr fitToPage="1"/>
  </sheetPr>
  <dimension ref="A1:G21"/>
  <sheetViews>
    <sheetView workbookViewId="0">
      <selection activeCell="C18" sqref="C18:C21"/>
    </sheetView>
  </sheetViews>
  <sheetFormatPr defaultColWidth="9.140625" defaultRowHeight="12.75"/>
  <cols>
    <col min="1" max="1" width="13.85546875" style="56" bestFit="1" customWidth="1"/>
    <col min="2" max="2" width="31.42578125" style="75" bestFit="1" customWidth="1"/>
    <col min="3" max="3" width="27.42578125" style="52" customWidth="1"/>
    <col min="4" max="4" width="8.5703125" style="144" bestFit="1" customWidth="1"/>
    <col min="5" max="5" width="29.42578125" style="77" customWidth="1" collapsed="1"/>
    <col min="6" max="6" width="30.42578125" style="56" customWidth="1"/>
    <col min="7" max="7" width="3.85546875" style="56" customWidth="1"/>
    <col min="8" max="8" width="9.140625" style="56" customWidth="1"/>
    <col min="9" max="16384" width="9.140625" style="56"/>
  </cols>
  <sheetData>
    <row r="1" spans="1:7">
      <c r="A1" s="50" t="s">
        <v>0</v>
      </c>
      <c r="B1" s="51" t="str">
        <f ca="1">'EXECUTIVE SUMMARY'!B1</f>
        <v>T1112</v>
      </c>
      <c r="E1" s="78"/>
    </row>
    <row r="2" spans="1:7">
      <c r="A2" s="50" t="s">
        <v>3</v>
      </c>
      <c r="B2" s="51" t="str">
        <f ca="1">'EXECUTIVE SUMMARY'!B2</f>
        <v/>
      </c>
      <c r="E2" s="78"/>
    </row>
    <row r="3" spans="1:7" s="55" customFormat="1">
      <c r="A3" s="50" t="s">
        <v>5</v>
      </c>
      <c r="B3" s="51" t="str">
        <f>'EXECUTIVE SUMMARY'!B3</f>
        <v>Lendlease</v>
      </c>
      <c r="C3" s="64"/>
      <c r="D3" s="90"/>
      <c r="E3" s="78"/>
      <c r="G3" s="56"/>
    </row>
    <row r="4" spans="1:7" s="55" customFormat="1">
      <c r="A4" s="50" t="s">
        <v>8</v>
      </c>
      <c r="B4" s="51" t="str">
        <f>'EXECUTIVE SUMMARY'!B4</f>
        <v>BVN</v>
      </c>
      <c r="C4" s="64"/>
      <c r="D4" s="90"/>
      <c r="E4" s="78"/>
      <c r="G4" s="56"/>
    </row>
    <row r="5" spans="1:7" s="55" customFormat="1">
      <c r="B5" s="80"/>
      <c r="C5" s="64"/>
      <c r="D5" s="90"/>
      <c r="E5" s="78"/>
      <c r="G5" s="56"/>
    </row>
    <row r="6" spans="1:7" s="55" customFormat="1">
      <c r="A6" s="50" t="s">
        <v>12</v>
      </c>
      <c r="B6" s="63" t="str">
        <f>'EXECUTIVE SUMMARY'!B6</f>
        <v>Andrew Vatiliotis</v>
      </c>
      <c r="C6" s="64"/>
      <c r="D6" s="90"/>
      <c r="E6" s="78"/>
      <c r="G6" s="56"/>
    </row>
    <row r="7" spans="1:7" s="55" customFormat="1">
      <c r="A7" s="50" t="s">
        <v>14</v>
      </c>
      <c r="B7" s="63">
        <f>'EXECUTIVE SUMMARY'!B7</f>
        <v>0</v>
      </c>
      <c r="C7" s="64"/>
      <c r="D7" s="90"/>
      <c r="E7" s="78"/>
      <c r="G7" s="56"/>
    </row>
    <row r="8" spans="1:7" s="55" customFormat="1">
      <c r="A8" s="50" t="s">
        <v>16</v>
      </c>
      <c r="B8" s="66">
        <f>'EXECUTIVE SUMMARY'!B8</f>
        <v>44838</v>
      </c>
      <c r="C8" s="64"/>
      <c r="D8" s="90"/>
      <c r="E8" s="78"/>
      <c r="G8" s="56"/>
    </row>
    <row r="9" spans="1:7" s="55" customFormat="1">
      <c r="B9" s="80"/>
      <c r="C9" s="64"/>
      <c r="D9" s="90"/>
      <c r="E9" s="78"/>
      <c r="G9" s="56"/>
    </row>
    <row r="10" spans="1:7" s="55" customFormat="1" ht="14.45" customHeight="1">
      <c r="A10" s="92" t="s">
        <v>20</v>
      </c>
      <c r="B10" s="68" t="s">
        <v>59</v>
      </c>
      <c r="C10" s="93" t="s">
        <v>294</v>
      </c>
      <c r="D10" s="443" t="s">
        <v>295</v>
      </c>
      <c r="E10" s="443"/>
      <c r="F10" s="93" t="s">
        <v>65</v>
      </c>
      <c r="G10" s="56"/>
    </row>
    <row r="11" spans="1:7" s="55" customFormat="1" ht="15">
      <c r="A11" s="107"/>
      <c r="B11" s="108" t="s">
        <v>28</v>
      </c>
      <c r="C11" s="98"/>
      <c r="D11" s="445"/>
      <c r="E11" s="445"/>
      <c r="F11" s="145"/>
      <c r="G11" s="56"/>
    </row>
    <row r="12" spans="1:7" s="55" customFormat="1" ht="14.45" customHeight="1">
      <c r="A12" s="421" t="s">
        <v>94</v>
      </c>
      <c r="B12" s="432" t="s">
        <v>95</v>
      </c>
      <c r="C12" s="440">
        <f>IF(D12="TRAVEL REQ",D14*D13*'TENDER SUMMARY'!G4,0)</f>
        <v>5500</v>
      </c>
      <c r="D12" s="446" t="s">
        <v>330</v>
      </c>
      <c r="E12" s="446"/>
      <c r="F12" s="142" t="s">
        <v>331</v>
      </c>
      <c r="G12" s="56"/>
    </row>
    <row r="13" spans="1:7" s="55" customFormat="1">
      <c r="A13" s="422"/>
      <c r="B13" s="439"/>
      <c r="C13" s="434"/>
      <c r="D13" s="146">
        <v>1</v>
      </c>
      <c r="E13" s="139" t="s">
        <v>332</v>
      </c>
      <c r="F13" s="142"/>
    </row>
    <row r="14" spans="1:7" s="55" customFormat="1" ht="14.45" customHeight="1">
      <c r="A14" s="423"/>
      <c r="B14" s="433"/>
      <c r="C14" s="435"/>
      <c r="D14" s="146">
        <v>500</v>
      </c>
      <c r="E14" s="139" t="s">
        <v>333</v>
      </c>
      <c r="F14" s="142"/>
    </row>
    <row r="15" spans="1:7" s="55" customFormat="1" ht="14.45" customHeight="1">
      <c r="A15" s="102" t="s">
        <v>94</v>
      </c>
      <c r="B15" s="103" t="s">
        <v>95</v>
      </c>
      <c r="C15" s="70">
        <v>0</v>
      </c>
      <c r="D15" s="444" t="str">
        <f>IF(D12="NO TRAVEL REQ","STANDARD PARKING ALLOWANCE","")</f>
        <v/>
      </c>
      <c r="E15" s="444"/>
      <c r="F15" s="142"/>
    </row>
    <row r="16" spans="1:7" s="55" customFormat="1" ht="25.5">
      <c r="A16" s="102" t="s">
        <v>96</v>
      </c>
      <c r="B16" s="103" t="s">
        <v>97</v>
      </c>
      <c r="C16" s="70">
        <v>500</v>
      </c>
      <c r="D16" s="441"/>
      <c r="E16" s="441"/>
      <c r="F16" s="142"/>
    </row>
    <row r="17" spans="1:6" s="55" customFormat="1">
      <c r="A17" s="102" t="s">
        <v>99</v>
      </c>
      <c r="B17" s="103" t="s">
        <v>100</v>
      </c>
      <c r="C17" s="70">
        <v>500</v>
      </c>
      <c r="D17" s="441"/>
      <c r="E17" s="441"/>
      <c r="F17" s="142"/>
    </row>
    <row r="18" spans="1:6" s="55" customFormat="1">
      <c r="A18" s="102" t="s">
        <v>101</v>
      </c>
      <c r="B18" s="103" t="s">
        <v>102</v>
      </c>
      <c r="C18" s="70"/>
      <c r="D18" s="441"/>
      <c r="E18" s="441"/>
      <c r="F18" s="142" t="s">
        <v>334</v>
      </c>
    </row>
    <row r="19" spans="1:6" s="55" customFormat="1">
      <c r="A19" s="102" t="s">
        <v>103</v>
      </c>
      <c r="B19" s="103" t="s">
        <v>104</v>
      </c>
      <c r="C19" s="70"/>
      <c r="D19" s="441"/>
      <c r="E19" s="441"/>
      <c r="F19" s="142"/>
    </row>
    <row r="20" spans="1:6" s="55" customFormat="1">
      <c r="A20" s="102" t="s">
        <v>105</v>
      </c>
      <c r="B20" s="103" t="s">
        <v>106</v>
      </c>
      <c r="C20" s="70"/>
      <c r="D20" s="441"/>
      <c r="E20" s="441"/>
      <c r="F20" s="142"/>
    </row>
    <row r="21" spans="1:6" s="55" customFormat="1">
      <c r="A21" s="102" t="s">
        <v>107</v>
      </c>
      <c r="B21" s="103" t="s">
        <v>108</v>
      </c>
      <c r="C21" s="70"/>
      <c r="D21" s="441"/>
      <c r="E21" s="441"/>
      <c r="F21" s="142"/>
    </row>
  </sheetData>
  <sheetProtection selectLockedCells="1"/>
  <mergeCells count="13">
    <mergeCell ref="D10:E10"/>
    <mergeCell ref="D11:E11"/>
    <mergeCell ref="A12:A14"/>
    <mergeCell ref="B12:B14"/>
    <mergeCell ref="C12:C14"/>
    <mergeCell ref="D12:E12"/>
    <mergeCell ref="D21:E21"/>
    <mergeCell ref="D15:E15"/>
    <mergeCell ref="D16:E16"/>
    <mergeCell ref="D17:E17"/>
    <mergeCell ref="D18:E18"/>
    <mergeCell ref="D19:E19"/>
    <mergeCell ref="D20:E20"/>
  </mergeCells>
  <conditionalFormatting sqref="C10:D11 A12:B12 C16:C21 B16:B18 A16:A21 F11">
    <cfRule type="cellIs" dxfId="425" priority="7" operator="lessThan">
      <formula>0</formula>
    </cfRule>
  </conditionalFormatting>
  <conditionalFormatting sqref="C12 D13:D14">
    <cfRule type="cellIs" dxfId="424" priority="6" operator="lessThan">
      <formula>0</formula>
    </cfRule>
  </conditionalFormatting>
  <conditionalFormatting sqref="B19">
    <cfRule type="cellIs" dxfId="423" priority="5" operator="lessThan">
      <formula>0</formula>
    </cfRule>
  </conditionalFormatting>
  <conditionalFormatting sqref="B20:B21">
    <cfRule type="cellIs" dxfId="422" priority="4" operator="lessThan">
      <formula>0</formula>
    </cfRule>
  </conditionalFormatting>
  <conditionalFormatting sqref="A15:B15">
    <cfRule type="cellIs" dxfId="421" priority="3" operator="lessThan">
      <formula>0</formula>
    </cfRule>
  </conditionalFormatting>
  <conditionalFormatting sqref="C15">
    <cfRule type="cellIs" dxfId="420" priority="2" operator="lessThan">
      <formula>0</formula>
    </cfRule>
  </conditionalFormatting>
  <conditionalFormatting sqref="F10">
    <cfRule type="cellIs" dxfId="419" priority="1" operator="lessThan">
      <formula>0</formula>
    </cfRule>
  </conditionalFormatting>
  <dataValidations count="2">
    <dataValidation type="list" allowBlank="1" showInputMessage="1" showErrorMessage="1" sqref="D13" xr:uid="{6C28A13D-8160-4C62-9343-6E36D0080116}">
      <formula1>"1,2,3,4"</formula1>
    </dataValidation>
    <dataValidation type="list" allowBlank="1" showInputMessage="1" showErrorMessage="1" sqref="D12:E12" xr:uid="{90588560-282B-4AF9-AE87-956C5F2F92DE}">
      <formula1>"NO TRAVEL REQ, TRAVEL REQ"</formula1>
    </dataValidation>
  </dataValidations>
  <printOptions horizontalCentered="1" gridLines="1"/>
  <pageMargins left="0.45" right="0.45" top="0.75" bottom="0.5" header="0.31496062992126" footer="0.31496062992126"/>
  <pageSetup paperSize="8" scale="97" fitToHeight="0" orientation="portrait" r:id="rId1"/>
  <headerFooter>
    <oddHeader>&amp;C&amp;"-,Bold"&amp;KFF0000- CONFIDENTIAL - INTERNAL USE ONLY -</oddHeader>
    <oddFooter>&amp;LPrinted on: &amp;D&amp;C&amp;F - &amp;A&amp;RPg &amp;P of &amp;N</oddFooter>
  </headerFooter>
  <colBreaks count="1" manualBreakCount="1">
    <brk id="4" max="26"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3E0A2-477F-4E67-97E3-1263E5FC19B5}">
  <sheetPr codeName="Sheet13">
    <tabColor theme="4"/>
    <pageSetUpPr fitToPage="1"/>
  </sheetPr>
  <dimension ref="A1:I138"/>
  <sheetViews>
    <sheetView topLeftCell="A6" workbookViewId="0">
      <selection activeCell="E72" sqref="E72"/>
    </sheetView>
  </sheetViews>
  <sheetFormatPr defaultColWidth="9.140625" defaultRowHeight="12.75"/>
  <cols>
    <col min="1" max="1" width="13.85546875" style="56" bestFit="1" customWidth="1"/>
    <col min="2" max="2" width="57.42578125" style="75" customWidth="1"/>
    <col min="3" max="3" width="27.42578125" style="52" customWidth="1"/>
    <col min="4" max="4" width="21.85546875" style="52" bestFit="1" customWidth="1"/>
    <col min="5" max="5" width="23.85546875" style="52" customWidth="1"/>
    <col min="6" max="6" width="23.140625" style="52" bestFit="1" customWidth="1"/>
    <col min="7" max="7" width="47.42578125" style="77" customWidth="1" collapsed="1"/>
    <col min="8" max="8" width="12.5703125" style="56" customWidth="1"/>
    <col min="9" max="9" width="8.42578125" style="56" customWidth="1"/>
    <col min="10" max="10" width="9.140625" style="56" customWidth="1"/>
    <col min="11" max="16384" width="9.140625" style="56"/>
  </cols>
  <sheetData>
    <row r="1" spans="1:7">
      <c r="A1" s="50" t="s">
        <v>0</v>
      </c>
      <c r="B1" s="51" t="str">
        <f ca="1">'EXECUTIVE SUMMARY'!B1</f>
        <v>T1112</v>
      </c>
      <c r="F1" s="147" t="s">
        <v>335</v>
      </c>
    </row>
    <row r="2" spans="1:7">
      <c r="A2" s="50" t="s">
        <v>3</v>
      </c>
      <c r="B2" s="51" t="str">
        <f ca="1">'EXECUTIVE SUMMARY'!B2</f>
        <v/>
      </c>
      <c r="D2" s="147" t="e" vm="4">
        <v>#VALUE!</v>
      </c>
      <c r="E2" s="147">
        <f t="array" ref="E2">_FV(D2,"Price")</f>
        <v>1.5113000000000001</v>
      </c>
      <c r="F2" s="148">
        <v>1.5</v>
      </c>
    </row>
    <row r="3" spans="1:7" s="55" customFormat="1">
      <c r="A3" s="50" t="s">
        <v>5</v>
      </c>
      <c r="B3" s="51" t="str">
        <f>'EXECUTIVE SUMMARY'!B3</f>
        <v>Lendlease</v>
      </c>
      <c r="C3" s="64"/>
      <c r="D3" s="149" t="e" vm="5">
        <v>#VALUE!</v>
      </c>
      <c r="E3" s="149">
        <f t="array" ref="E3">_FV(D3,"Price")</f>
        <v>0.21360000000000001</v>
      </c>
      <c r="F3" s="148">
        <v>0.2</v>
      </c>
      <c r="G3" s="78"/>
    </row>
    <row r="4" spans="1:7" s="55" customFormat="1">
      <c r="A4" s="50" t="s">
        <v>8</v>
      </c>
      <c r="B4" s="51" t="str">
        <f>'EXECUTIVE SUMMARY'!B4</f>
        <v>BVN</v>
      </c>
      <c r="C4" s="64"/>
      <c r="D4" s="149" t="e" vm="6">
        <v>#VALUE!</v>
      </c>
      <c r="E4" s="203">
        <f t="array" ref="E4">_FV(D4,"Price")</f>
        <v>4.3679999999999997E-2</v>
      </c>
      <c r="F4" s="202">
        <v>4.36E-2</v>
      </c>
      <c r="G4" s="78"/>
    </row>
    <row r="5" spans="1:7" s="55" customFormat="1">
      <c r="B5" s="80"/>
      <c r="C5" s="64"/>
      <c r="D5" s="64"/>
      <c r="E5" s="64"/>
      <c r="F5" s="64"/>
      <c r="G5" s="78"/>
    </row>
    <row r="6" spans="1:7" s="55" customFormat="1">
      <c r="A6" s="50" t="s">
        <v>12</v>
      </c>
      <c r="B6" s="63" t="str">
        <f>'EXECUTIVE SUMMARY'!B6</f>
        <v>Andrew Vatiliotis</v>
      </c>
      <c r="C6" s="64"/>
      <c r="D6" s="64"/>
      <c r="E6" s="64"/>
      <c r="F6" s="64"/>
      <c r="G6" s="78"/>
    </row>
    <row r="7" spans="1:7" s="55" customFormat="1">
      <c r="A7" s="50" t="s">
        <v>14</v>
      </c>
      <c r="B7" s="63">
        <f>'EXECUTIVE SUMMARY'!B7</f>
        <v>0</v>
      </c>
      <c r="C7" s="64"/>
      <c r="D7" s="64"/>
      <c r="E7" s="64"/>
      <c r="F7" s="64"/>
      <c r="G7" s="78"/>
    </row>
    <row r="8" spans="1:7" s="55" customFormat="1">
      <c r="A8" s="50" t="s">
        <v>16</v>
      </c>
      <c r="B8" s="66">
        <f>'EXECUTIVE SUMMARY'!B8</f>
        <v>44838</v>
      </c>
      <c r="C8" s="78"/>
      <c r="D8" s="78"/>
      <c r="E8" s="78"/>
      <c r="F8" s="78"/>
      <c r="G8" s="78"/>
    </row>
    <row r="9" spans="1:7" s="55" customFormat="1">
      <c r="B9" s="78"/>
      <c r="C9" s="78"/>
      <c r="D9" s="427" t="s">
        <v>336</v>
      </c>
      <c r="E9" s="427"/>
      <c r="F9" s="427"/>
      <c r="G9" s="427"/>
    </row>
    <row r="10" spans="1:7" s="55" customFormat="1" ht="20.100000000000001" customHeight="1">
      <c r="A10" s="92" t="s">
        <v>20</v>
      </c>
      <c r="B10" s="68" t="s">
        <v>59</v>
      </c>
      <c r="C10" s="93" t="s">
        <v>337</v>
      </c>
      <c r="D10" s="150" t="s">
        <v>338</v>
      </c>
      <c r="E10" s="151" t="s">
        <v>339</v>
      </c>
      <c r="F10" s="152" t="s">
        <v>340</v>
      </c>
      <c r="G10" s="95" t="s">
        <v>65</v>
      </c>
    </row>
    <row r="11" spans="1:7" ht="15">
      <c r="A11" s="107"/>
      <c r="B11" s="108" t="s">
        <v>30</v>
      </c>
      <c r="C11" s="98"/>
      <c r="D11" s="98"/>
      <c r="E11" s="98"/>
      <c r="F11" s="98"/>
      <c r="G11" s="98"/>
    </row>
    <row r="12" spans="1:7">
      <c r="A12" s="187" t="s">
        <v>113</v>
      </c>
      <c r="B12" s="153" t="s">
        <v>114</v>
      </c>
      <c r="C12" s="70">
        <f t="shared" ref="C12:C38" si="0">IF(E12="AUD",F12,IF(E12="USD",F12*$F$2,IF(E12="CNY",F12*$F$3,0)))</f>
        <v>0</v>
      </c>
      <c r="D12" s="154"/>
      <c r="E12" s="155" t="s">
        <v>341</v>
      </c>
      <c r="F12" s="154">
        <f>SUMIFS('BOQ SUMMARY'!L:L,'BOQ SUMMARY'!A:A,A12,'BOQ SUMMARY'!B:B,"Base")+SUMIFS('BOQ SUMMARY'!L:L,'BOQ SUMMARY'!A:A,A12,'BOQ SUMMARY'!B:B,'EXECUTIVE SUMMARY'!$A$32)</f>
        <v>0</v>
      </c>
      <c r="G12" s="110"/>
    </row>
    <row r="13" spans="1:7">
      <c r="A13" s="187" t="s">
        <v>115</v>
      </c>
      <c r="B13" s="153" t="s">
        <v>116</v>
      </c>
      <c r="C13" s="70">
        <f t="shared" si="0"/>
        <v>0</v>
      </c>
      <c r="D13" s="154"/>
      <c r="E13" s="155" t="s">
        <v>341</v>
      </c>
      <c r="F13" s="154">
        <f>SUMIFS('BOQ SUMMARY'!L:L,'BOQ SUMMARY'!A:A,A13,'BOQ SUMMARY'!B:B,"Base")+SUMIFS('BOQ SUMMARY'!L:L,'BOQ SUMMARY'!A:A,A13,'BOQ SUMMARY'!B:B,'EXECUTIVE SUMMARY'!$A$32)</f>
        <v>0</v>
      </c>
      <c r="G13" s="110"/>
    </row>
    <row r="14" spans="1:7">
      <c r="A14" s="187" t="s">
        <v>117</v>
      </c>
      <c r="B14" s="153" t="s">
        <v>118</v>
      </c>
      <c r="C14" s="70">
        <f t="shared" si="0"/>
        <v>0</v>
      </c>
      <c r="D14" s="154"/>
      <c r="E14" s="155" t="s">
        <v>341</v>
      </c>
      <c r="F14" s="154">
        <f>SUMIFS('BOQ SUMMARY'!L:L,'BOQ SUMMARY'!A:A,A14,'BOQ SUMMARY'!B:B,"Base")+SUMIFS('BOQ SUMMARY'!L:L,'BOQ SUMMARY'!A:A,A14,'BOQ SUMMARY'!B:B,'EXECUTIVE SUMMARY'!$A$32)</f>
        <v>0</v>
      </c>
      <c r="G14" s="110"/>
    </row>
    <row r="15" spans="1:7">
      <c r="A15" s="187" t="s">
        <v>119</v>
      </c>
      <c r="B15" s="153" t="s">
        <v>120</v>
      </c>
      <c r="C15" s="70">
        <f t="shared" si="0"/>
        <v>0</v>
      </c>
      <c r="D15" s="154"/>
      <c r="E15" s="155" t="s">
        <v>341</v>
      </c>
      <c r="F15" s="154">
        <f>SUMIFS('BOQ SUMMARY'!L:L,'BOQ SUMMARY'!A:A,A15,'BOQ SUMMARY'!B:B,"Base")+SUMIFS('BOQ SUMMARY'!L:L,'BOQ SUMMARY'!A:A,A15,'BOQ SUMMARY'!B:B,'EXECUTIVE SUMMARY'!$A$32)</f>
        <v>0</v>
      </c>
      <c r="G15" s="110"/>
    </row>
    <row r="16" spans="1:7">
      <c r="A16" s="187" t="s">
        <v>121</v>
      </c>
      <c r="B16" s="153" t="s">
        <v>122</v>
      </c>
      <c r="C16" s="70">
        <f t="shared" si="0"/>
        <v>0</v>
      </c>
      <c r="D16" s="154"/>
      <c r="E16" s="155" t="s">
        <v>341</v>
      </c>
      <c r="F16" s="154">
        <f>SUMIFS('BOQ SUMMARY'!L:L,'BOQ SUMMARY'!A:A,A16,'BOQ SUMMARY'!B:B,"Base")+SUMIFS('BOQ SUMMARY'!L:L,'BOQ SUMMARY'!A:A,A16,'BOQ SUMMARY'!B:B,'EXECUTIVE SUMMARY'!$A$32)</f>
        <v>0</v>
      </c>
      <c r="G16" s="110"/>
    </row>
    <row r="17" spans="1:7">
      <c r="A17" s="187" t="s">
        <v>123</v>
      </c>
      <c r="B17" s="153" t="s">
        <v>124</v>
      </c>
      <c r="C17" s="70">
        <f t="shared" si="0"/>
        <v>0</v>
      </c>
      <c r="D17" s="154"/>
      <c r="E17" s="155" t="s">
        <v>341</v>
      </c>
      <c r="F17" s="154">
        <f>SUMIFS('BOQ SUMMARY'!L:L,'BOQ SUMMARY'!A:A,A17,'BOQ SUMMARY'!B:B,"Base")+SUMIFS('BOQ SUMMARY'!L:L,'BOQ SUMMARY'!A:A,A17,'BOQ SUMMARY'!B:B,'EXECUTIVE SUMMARY'!$A$32)</f>
        <v>0</v>
      </c>
      <c r="G17" s="110"/>
    </row>
    <row r="18" spans="1:7">
      <c r="A18" s="187" t="s">
        <v>125</v>
      </c>
      <c r="B18" s="153" t="s">
        <v>126</v>
      </c>
      <c r="C18" s="70">
        <f t="shared" si="0"/>
        <v>0</v>
      </c>
      <c r="D18" s="154"/>
      <c r="E18" s="155" t="s">
        <v>341</v>
      </c>
      <c r="F18" s="154">
        <f>SUMIFS('BOQ SUMMARY'!L:L,'BOQ SUMMARY'!A:A,A18,'BOQ SUMMARY'!B:B,"Base")+SUMIFS('BOQ SUMMARY'!L:L,'BOQ SUMMARY'!A:A,A18,'BOQ SUMMARY'!B:B,'EXECUTIVE SUMMARY'!$A$32)</f>
        <v>0</v>
      </c>
      <c r="G18" s="110"/>
    </row>
    <row r="19" spans="1:7">
      <c r="A19" s="187" t="s">
        <v>127</v>
      </c>
      <c r="B19" s="153" t="s">
        <v>128</v>
      </c>
      <c r="C19" s="70">
        <f t="shared" si="0"/>
        <v>0</v>
      </c>
      <c r="D19" s="154"/>
      <c r="E19" s="155" t="s">
        <v>341</v>
      </c>
      <c r="F19" s="154">
        <f>SUMIFS('BOQ SUMMARY'!L:L,'BOQ SUMMARY'!A:A,A19,'BOQ SUMMARY'!B:B,"Base")+SUMIFS('BOQ SUMMARY'!L:L,'BOQ SUMMARY'!A:A,A19,'BOQ SUMMARY'!B:B,'EXECUTIVE SUMMARY'!$A$32)</f>
        <v>0</v>
      </c>
      <c r="G19" s="110"/>
    </row>
    <row r="20" spans="1:7">
      <c r="A20" s="187" t="s">
        <v>129</v>
      </c>
      <c r="B20" s="153" t="s">
        <v>130</v>
      </c>
      <c r="C20" s="70">
        <f t="shared" si="0"/>
        <v>0</v>
      </c>
      <c r="D20" s="154"/>
      <c r="E20" s="155" t="s">
        <v>341</v>
      </c>
      <c r="F20" s="154">
        <f>SUMIFS('BOQ SUMMARY'!L:L,'BOQ SUMMARY'!A:A,A20,'BOQ SUMMARY'!B:B,"Base")+SUMIFS('BOQ SUMMARY'!L:L,'BOQ SUMMARY'!A:A,A20,'BOQ SUMMARY'!B:B,'EXECUTIVE SUMMARY'!$A$32)</f>
        <v>0</v>
      </c>
      <c r="G20" s="110"/>
    </row>
    <row r="21" spans="1:7">
      <c r="A21" s="187" t="s">
        <v>131</v>
      </c>
      <c r="B21" s="153" t="s">
        <v>132</v>
      </c>
      <c r="C21" s="70">
        <f t="shared" si="0"/>
        <v>73.377818181818171</v>
      </c>
      <c r="D21" s="154"/>
      <c r="E21" s="155" t="s">
        <v>341</v>
      </c>
      <c r="F21" s="154">
        <f>SUMIFS('BOQ SUMMARY'!L:L,'BOQ SUMMARY'!A:A,A21,'BOQ SUMMARY'!B:B,"Base")+SUMIFS('BOQ SUMMARY'!L:L,'BOQ SUMMARY'!A:A,A21,'BOQ SUMMARY'!B:B,'EXECUTIVE SUMMARY'!$A$32)</f>
        <v>73.377818181818171</v>
      </c>
      <c r="G21" s="110"/>
    </row>
    <row r="22" spans="1:7">
      <c r="A22" s="187" t="s">
        <v>133</v>
      </c>
      <c r="B22" s="153" t="s">
        <v>134</v>
      </c>
      <c r="C22" s="70">
        <f t="shared" si="0"/>
        <v>0</v>
      </c>
      <c r="D22" s="154"/>
      <c r="E22" s="155" t="s">
        <v>341</v>
      </c>
      <c r="F22" s="154">
        <f>SUMIFS('BOQ SUMMARY'!L:L,'BOQ SUMMARY'!A:A,A22,'BOQ SUMMARY'!B:B,"Base")+SUMIFS('BOQ SUMMARY'!L:L,'BOQ SUMMARY'!A:A,A22,'BOQ SUMMARY'!B:B,'EXECUTIVE SUMMARY'!$A$32)</f>
        <v>0</v>
      </c>
      <c r="G22" s="110"/>
    </row>
    <row r="23" spans="1:7">
      <c r="A23" s="187" t="s">
        <v>135</v>
      </c>
      <c r="B23" s="153" t="s">
        <v>136</v>
      </c>
      <c r="C23" s="70">
        <f t="shared" si="0"/>
        <v>1410</v>
      </c>
      <c r="D23" s="154"/>
      <c r="E23" s="155" t="s">
        <v>341</v>
      </c>
      <c r="F23" s="154">
        <f>SUMIFS('BOQ SUMMARY'!L:L,'BOQ SUMMARY'!A:A,A23,'BOQ SUMMARY'!B:B,"Base")+SUMIFS('BOQ SUMMARY'!L:L,'BOQ SUMMARY'!A:A,A23,'BOQ SUMMARY'!B:B,'EXECUTIVE SUMMARY'!$A$32)</f>
        <v>1410</v>
      </c>
      <c r="G23" s="110"/>
    </row>
    <row r="24" spans="1:7">
      <c r="A24" s="187" t="s">
        <v>137</v>
      </c>
      <c r="B24" s="153" t="s">
        <v>138</v>
      </c>
      <c r="C24" s="70">
        <f t="shared" si="0"/>
        <v>0</v>
      </c>
      <c r="D24" s="154"/>
      <c r="E24" s="155" t="s">
        <v>341</v>
      </c>
      <c r="F24" s="154">
        <f>SUMIFS('BOQ SUMMARY'!L:L,'BOQ SUMMARY'!A:A,A24,'BOQ SUMMARY'!B:B,"Base")+SUMIFS('BOQ SUMMARY'!L:L,'BOQ SUMMARY'!A:A,A24,'BOQ SUMMARY'!B:B,'EXECUTIVE SUMMARY'!$A$32)</f>
        <v>0</v>
      </c>
      <c r="G24" s="110"/>
    </row>
    <row r="25" spans="1:7">
      <c r="A25" s="187" t="s">
        <v>139</v>
      </c>
      <c r="B25" s="153" t="s">
        <v>140</v>
      </c>
      <c r="C25" s="70">
        <f t="shared" si="0"/>
        <v>9540</v>
      </c>
      <c r="D25" s="154"/>
      <c r="E25" s="155" t="s">
        <v>341</v>
      </c>
      <c r="F25" s="154">
        <f>SUMIFS('BOQ SUMMARY'!L:L,'BOQ SUMMARY'!A:A,A25,'BOQ SUMMARY'!B:B,"Base")+SUMIFS('BOQ SUMMARY'!L:L,'BOQ SUMMARY'!A:A,A25,'BOQ SUMMARY'!B:B,'EXECUTIVE SUMMARY'!$A$32)</f>
        <v>9540</v>
      </c>
      <c r="G25" s="110"/>
    </row>
    <row r="26" spans="1:7">
      <c r="A26" s="187" t="s">
        <v>141</v>
      </c>
      <c r="B26" s="153" t="s">
        <v>142</v>
      </c>
      <c r="C26" s="70">
        <f t="shared" si="0"/>
        <v>0</v>
      </c>
      <c r="D26" s="154"/>
      <c r="E26" s="155" t="s">
        <v>341</v>
      </c>
      <c r="F26" s="154">
        <f>SUMIFS('BOQ SUMMARY'!L:L,'BOQ SUMMARY'!A:A,A26,'BOQ SUMMARY'!B:B,"Base")+SUMIFS('BOQ SUMMARY'!L:L,'BOQ SUMMARY'!A:A,A26,'BOQ SUMMARY'!B:B,'EXECUTIVE SUMMARY'!$A$32)</f>
        <v>0</v>
      </c>
      <c r="G26" s="110"/>
    </row>
    <row r="27" spans="1:7">
      <c r="A27" s="187" t="s">
        <v>143</v>
      </c>
      <c r="B27" s="153" t="s">
        <v>144</v>
      </c>
      <c r="C27" s="70">
        <f t="shared" si="0"/>
        <v>0</v>
      </c>
      <c r="D27" s="154"/>
      <c r="E27" s="155" t="s">
        <v>341</v>
      </c>
      <c r="F27" s="154">
        <f>SUMIFS('BOQ SUMMARY'!L:L,'BOQ SUMMARY'!A:A,A27,'BOQ SUMMARY'!B:B,"Base")+SUMIFS('BOQ SUMMARY'!L:L,'BOQ SUMMARY'!A:A,A27,'BOQ SUMMARY'!B:B,'EXECUTIVE SUMMARY'!$A$32)</f>
        <v>0</v>
      </c>
      <c r="G27" s="110"/>
    </row>
    <row r="28" spans="1:7">
      <c r="A28" s="187" t="s">
        <v>145</v>
      </c>
      <c r="B28" s="153" t="s">
        <v>146</v>
      </c>
      <c r="C28" s="70">
        <f t="shared" si="0"/>
        <v>0</v>
      </c>
      <c r="D28" s="154"/>
      <c r="E28" s="155" t="s">
        <v>341</v>
      </c>
      <c r="F28" s="154">
        <f>SUMIFS('BOQ SUMMARY'!L:L,'BOQ SUMMARY'!A:A,A28,'BOQ SUMMARY'!B:B,"Base")+SUMIFS('BOQ SUMMARY'!L:L,'BOQ SUMMARY'!A:A,A28,'BOQ SUMMARY'!B:B,'EXECUTIVE SUMMARY'!$A$32)</f>
        <v>0</v>
      </c>
      <c r="G28" s="110"/>
    </row>
    <row r="29" spans="1:7">
      <c r="A29" s="187" t="s">
        <v>147</v>
      </c>
      <c r="B29" s="153" t="s">
        <v>148</v>
      </c>
      <c r="C29" s="70">
        <f t="shared" si="0"/>
        <v>12266.43</v>
      </c>
      <c r="D29" s="154"/>
      <c r="E29" s="155" t="s">
        <v>341</v>
      </c>
      <c r="F29" s="154">
        <f>SUMIFS('BOQ SUMMARY'!L:L,'BOQ SUMMARY'!A:A,A29,'BOQ SUMMARY'!B:B,"Base")+SUMIFS('BOQ SUMMARY'!L:L,'BOQ SUMMARY'!A:A,A29,'BOQ SUMMARY'!B:B,'EXECUTIVE SUMMARY'!$A$32)</f>
        <v>12266.43</v>
      </c>
      <c r="G29" s="110"/>
    </row>
    <row r="30" spans="1:7">
      <c r="A30" s="187" t="s">
        <v>149</v>
      </c>
      <c r="B30" s="153" t="s">
        <v>150</v>
      </c>
      <c r="C30" s="70">
        <f t="shared" si="0"/>
        <v>0</v>
      </c>
      <c r="D30" s="154"/>
      <c r="E30" s="155" t="s">
        <v>341</v>
      </c>
      <c r="F30" s="154">
        <f>SUMIFS('BOQ SUMMARY'!L:L,'BOQ SUMMARY'!A:A,A30,'BOQ SUMMARY'!B:B,"Base")+SUMIFS('BOQ SUMMARY'!L:L,'BOQ SUMMARY'!A:A,A30,'BOQ SUMMARY'!B:B,'EXECUTIVE SUMMARY'!$A$32)</f>
        <v>0</v>
      </c>
      <c r="G30" s="110"/>
    </row>
    <row r="31" spans="1:7">
      <c r="A31" s="187" t="s">
        <v>151</v>
      </c>
      <c r="B31" s="153" t="s">
        <v>152</v>
      </c>
      <c r="C31" s="70">
        <f t="shared" si="0"/>
        <v>0</v>
      </c>
      <c r="D31" s="154"/>
      <c r="E31" s="155" t="s">
        <v>341</v>
      </c>
      <c r="F31" s="154">
        <f>SUMIFS('BOQ SUMMARY'!L:L,'BOQ SUMMARY'!A:A,A31,'BOQ SUMMARY'!B:B,"Base")+SUMIFS('BOQ SUMMARY'!L:L,'BOQ SUMMARY'!A:A,A31,'BOQ SUMMARY'!B:B,'EXECUTIVE SUMMARY'!$A$32)</f>
        <v>0</v>
      </c>
      <c r="G31" s="110"/>
    </row>
    <row r="32" spans="1:7">
      <c r="A32" s="187" t="s">
        <v>153</v>
      </c>
      <c r="B32" s="153" t="s">
        <v>154</v>
      </c>
      <c r="C32" s="70">
        <f t="shared" si="0"/>
        <v>0</v>
      </c>
      <c r="D32" s="154"/>
      <c r="E32" s="155" t="s">
        <v>341</v>
      </c>
      <c r="F32" s="154">
        <f>SUMIFS('BOQ SUMMARY'!L:L,'BOQ SUMMARY'!A:A,A32,'BOQ SUMMARY'!B:B,"Base")+SUMIFS('BOQ SUMMARY'!L:L,'BOQ SUMMARY'!A:A,A32,'BOQ SUMMARY'!B:B,'EXECUTIVE SUMMARY'!$A$32)</f>
        <v>0</v>
      </c>
      <c r="G32" s="110"/>
    </row>
    <row r="33" spans="1:7">
      <c r="A33" s="187" t="s">
        <v>155</v>
      </c>
      <c r="B33" s="153" t="s">
        <v>156</v>
      </c>
      <c r="C33" s="70">
        <f t="shared" si="0"/>
        <v>0</v>
      </c>
      <c r="D33" s="154"/>
      <c r="E33" s="155" t="s">
        <v>341</v>
      </c>
      <c r="F33" s="154">
        <f>SUMIFS('BOQ SUMMARY'!L:L,'BOQ SUMMARY'!A:A,A33,'BOQ SUMMARY'!B:B,"Base")+SUMIFS('BOQ SUMMARY'!L:L,'BOQ SUMMARY'!A:A,A33,'BOQ SUMMARY'!B:B,'EXECUTIVE SUMMARY'!$A$32)</f>
        <v>0</v>
      </c>
      <c r="G33" s="110"/>
    </row>
    <row r="34" spans="1:7">
      <c r="A34" s="187" t="s">
        <v>157</v>
      </c>
      <c r="B34" s="153" t="s">
        <v>158</v>
      </c>
      <c r="C34" s="70">
        <f t="shared" si="0"/>
        <v>0</v>
      </c>
      <c r="D34" s="154"/>
      <c r="E34" s="155" t="s">
        <v>341</v>
      </c>
      <c r="F34" s="154">
        <f>SUMIFS('BOQ SUMMARY'!L:L,'BOQ SUMMARY'!A:A,A34,'BOQ SUMMARY'!B:B,"Base")+SUMIFS('BOQ SUMMARY'!L:L,'BOQ SUMMARY'!A:A,A34,'BOQ SUMMARY'!B:B,'EXECUTIVE SUMMARY'!$A$32)</f>
        <v>0</v>
      </c>
      <c r="G34" s="110"/>
    </row>
    <row r="35" spans="1:7">
      <c r="A35" s="187" t="s">
        <v>159</v>
      </c>
      <c r="B35" s="153" t="s">
        <v>160</v>
      </c>
      <c r="C35" s="70">
        <f t="shared" si="0"/>
        <v>0</v>
      </c>
      <c r="D35" s="154"/>
      <c r="E35" s="155" t="s">
        <v>341</v>
      </c>
      <c r="F35" s="154">
        <f>SUMIFS('BOQ SUMMARY'!L:L,'BOQ SUMMARY'!A:A,A35,'BOQ SUMMARY'!B:B,"Base")+SUMIFS('BOQ SUMMARY'!L:L,'BOQ SUMMARY'!A:A,A35,'BOQ SUMMARY'!B:B,'EXECUTIVE SUMMARY'!$A$32)</f>
        <v>0</v>
      </c>
      <c r="G35" s="110"/>
    </row>
    <row r="36" spans="1:7">
      <c r="A36" s="187" t="s">
        <v>161</v>
      </c>
      <c r="B36" s="153" t="s">
        <v>162</v>
      </c>
      <c r="C36" s="70">
        <f t="shared" si="0"/>
        <v>0</v>
      </c>
      <c r="D36" s="154"/>
      <c r="E36" s="155" t="s">
        <v>341</v>
      </c>
      <c r="F36" s="154">
        <f>SUMIFS('BOQ SUMMARY'!L:L,'BOQ SUMMARY'!A:A,A36,'BOQ SUMMARY'!B:B,"Base")+SUMIFS('BOQ SUMMARY'!L:L,'BOQ SUMMARY'!A:A,A36,'BOQ SUMMARY'!B:B,'EXECUTIVE SUMMARY'!$A$32)</f>
        <v>0</v>
      </c>
      <c r="G36" s="110"/>
    </row>
    <row r="37" spans="1:7">
      <c r="A37" s="187" t="s">
        <v>163</v>
      </c>
      <c r="B37" s="153" t="s">
        <v>164</v>
      </c>
      <c r="C37" s="70">
        <f t="shared" si="0"/>
        <v>0</v>
      </c>
      <c r="D37" s="154"/>
      <c r="E37" s="155" t="s">
        <v>341</v>
      </c>
      <c r="F37" s="154">
        <f>SUMIFS('BOQ SUMMARY'!L:L,'BOQ SUMMARY'!A:A,A37,'BOQ SUMMARY'!B:B,"Base")+SUMIFS('BOQ SUMMARY'!L:L,'BOQ SUMMARY'!A:A,A37,'BOQ SUMMARY'!B:B,'EXECUTIVE SUMMARY'!$A$32)</f>
        <v>0</v>
      </c>
      <c r="G37" s="110"/>
    </row>
    <row r="38" spans="1:7">
      <c r="A38" s="187" t="s">
        <v>165</v>
      </c>
      <c r="B38" s="153" t="s">
        <v>166</v>
      </c>
      <c r="C38" s="70">
        <f t="shared" si="0"/>
        <v>0</v>
      </c>
      <c r="D38" s="154"/>
      <c r="E38" s="155" t="s">
        <v>341</v>
      </c>
      <c r="F38" s="154">
        <f>SUMIFS('BOQ SUMMARY'!L:L,'BOQ SUMMARY'!A:A,A38,'BOQ SUMMARY'!B:B,"Base")+SUMIFS('BOQ SUMMARY'!L:L,'BOQ SUMMARY'!A:A,A38,'BOQ SUMMARY'!B:B,'EXECUTIVE SUMMARY'!$A$32)</f>
        <v>0</v>
      </c>
      <c r="G38" s="110"/>
    </row>
    <row r="39" spans="1:7">
      <c r="A39" s="187"/>
      <c r="B39" s="191"/>
      <c r="C39" s="70"/>
      <c r="D39" s="154"/>
      <c r="E39" s="154"/>
      <c r="F39" s="154"/>
      <c r="G39" s="110"/>
    </row>
    <row r="40" spans="1:7" ht="15">
      <c r="A40" s="189"/>
      <c r="B40" s="190" t="s">
        <v>31</v>
      </c>
      <c r="C40" s="107"/>
      <c r="D40" s="107"/>
      <c r="E40" s="107"/>
      <c r="F40" s="107"/>
      <c r="G40" s="107"/>
    </row>
    <row r="41" spans="1:7">
      <c r="A41" s="187" t="s">
        <v>167</v>
      </c>
      <c r="B41" s="153" t="s">
        <v>168</v>
      </c>
      <c r="C41" s="70">
        <f t="shared" ref="C41:C47" si="1">IF(E41="AUD",F41,IF(E41="USD",F41*$F$2,IF(E41="CNY",F41*$F$3,0)))</f>
        <v>81480</v>
      </c>
      <c r="D41" s="154"/>
      <c r="E41" s="155" t="s">
        <v>341</v>
      </c>
      <c r="F41" s="154">
        <f>SUMIFS('BOQ SUMMARY'!L:L,'BOQ SUMMARY'!A:A,A41,'BOQ SUMMARY'!B:B,"Base")+SUMIFS('BOQ SUMMARY'!L:L,'BOQ SUMMARY'!A:A,A41,'BOQ SUMMARY'!B:B,'EXECUTIVE SUMMARY'!$A$32)</f>
        <v>81480</v>
      </c>
      <c r="G41" s="156"/>
    </row>
    <row r="42" spans="1:7" ht="15">
      <c r="A42" s="187" t="s">
        <v>169</v>
      </c>
      <c r="B42" s="153" t="s">
        <v>170</v>
      </c>
      <c r="C42" s="70">
        <f t="shared" si="1"/>
        <v>1400</v>
      </c>
      <c r="D42" s="154"/>
      <c r="E42" s="155" t="s">
        <v>341</v>
      </c>
      <c r="F42" s="154">
        <f>SUMIFS('BOQ SUMMARY'!L:L,'BOQ SUMMARY'!A:A,A42,'BOQ SUMMARY'!B:B,"Base")+SUMIFS('BOQ SUMMARY'!L:L,'BOQ SUMMARY'!A:A,A42,'BOQ SUMMARY'!B:B,'EXECUTIVE SUMMARY'!$A$32)</f>
        <v>1400</v>
      </c>
      <c r="G42" s="158"/>
    </row>
    <row r="43" spans="1:7">
      <c r="A43" s="187" t="s">
        <v>171</v>
      </c>
      <c r="B43" s="153" t="s">
        <v>172</v>
      </c>
      <c r="C43" s="70">
        <f t="shared" si="1"/>
        <v>0</v>
      </c>
      <c r="D43" s="154"/>
      <c r="E43" s="155" t="s">
        <v>341</v>
      </c>
      <c r="F43" s="154">
        <f>SUMIFS('BOQ SUMMARY'!L:L,'BOQ SUMMARY'!A:A,A43,'BOQ SUMMARY'!B:B,"Base")+SUMIFS('BOQ SUMMARY'!L:L,'BOQ SUMMARY'!A:A,A43,'BOQ SUMMARY'!B:B,'EXECUTIVE SUMMARY'!$A$32)</f>
        <v>0</v>
      </c>
      <c r="G43" s="110"/>
    </row>
    <row r="44" spans="1:7">
      <c r="A44" s="187" t="s">
        <v>174</v>
      </c>
      <c r="B44" s="153" t="s">
        <v>175</v>
      </c>
      <c r="C44" s="70">
        <f t="shared" si="1"/>
        <v>0</v>
      </c>
      <c r="D44" s="154"/>
      <c r="E44" s="155" t="s">
        <v>341</v>
      </c>
      <c r="F44" s="154">
        <f>SUMIFS('BOQ SUMMARY'!L:L,'BOQ SUMMARY'!A:A,A44,'BOQ SUMMARY'!B:B,"Base")+SUMIFS('BOQ SUMMARY'!L:L,'BOQ SUMMARY'!A:A,A44,'BOQ SUMMARY'!B:B,'EXECUTIVE SUMMARY'!$A$32)</f>
        <v>0</v>
      </c>
      <c r="G44" s="110"/>
    </row>
    <row r="45" spans="1:7">
      <c r="A45" s="187" t="s">
        <v>176</v>
      </c>
      <c r="B45" s="153" t="s">
        <v>177</v>
      </c>
      <c r="C45" s="70">
        <f t="shared" si="1"/>
        <v>0</v>
      </c>
      <c r="D45" s="154"/>
      <c r="E45" s="155" t="s">
        <v>341</v>
      </c>
      <c r="F45" s="154">
        <f>SUMIFS('BOQ SUMMARY'!L:L,'BOQ SUMMARY'!A:A,A45,'BOQ SUMMARY'!B:B,"Base")+SUMIFS('BOQ SUMMARY'!L:L,'BOQ SUMMARY'!A:A,A45,'BOQ SUMMARY'!B:B,'EXECUTIVE SUMMARY'!$A$32)</f>
        <v>0</v>
      </c>
      <c r="G45" s="110"/>
    </row>
    <row r="46" spans="1:7">
      <c r="A46" s="187" t="s">
        <v>178</v>
      </c>
      <c r="B46" s="153" t="s">
        <v>179</v>
      </c>
      <c r="C46" s="70">
        <f t="shared" si="1"/>
        <v>0</v>
      </c>
      <c r="D46" s="154"/>
      <c r="E46" s="155" t="s">
        <v>341</v>
      </c>
      <c r="F46" s="154">
        <f>SUMIFS('BOQ SUMMARY'!L:L,'BOQ SUMMARY'!A:A,A46,'BOQ SUMMARY'!B:B,"Base")+SUMIFS('BOQ SUMMARY'!L:L,'BOQ SUMMARY'!A:A,A46,'BOQ SUMMARY'!B:B,'EXECUTIVE SUMMARY'!$A$32)</f>
        <v>0</v>
      </c>
      <c r="G46" s="110"/>
    </row>
    <row r="47" spans="1:7">
      <c r="A47" s="187" t="s">
        <v>180</v>
      </c>
      <c r="B47" s="153" t="s">
        <v>181</v>
      </c>
      <c r="C47" s="70">
        <f t="shared" si="1"/>
        <v>0</v>
      </c>
      <c r="D47" s="154"/>
      <c r="E47" s="155" t="s">
        <v>341</v>
      </c>
      <c r="F47" s="154">
        <f>SUMIFS('BOQ SUMMARY'!L:L,'BOQ SUMMARY'!A:A,A47,'BOQ SUMMARY'!B:B,"Base")+SUMIFS('BOQ SUMMARY'!L:L,'BOQ SUMMARY'!A:A,A47,'BOQ SUMMARY'!B:B,'EXECUTIVE SUMMARY'!$A$32)</f>
        <v>0</v>
      </c>
      <c r="G47" s="156"/>
    </row>
    <row r="48" spans="1:7">
      <c r="A48" s="187"/>
      <c r="B48" s="153"/>
      <c r="C48" s="70"/>
      <c r="D48" s="154"/>
      <c r="E48" s="148"/>
      <c r="F48" s="154"/>
      <c r="G48" s="156"/>
    </row>
    <row r="49" spans="1:7" ht="15">
      <c r="A49" s="189"/>
      <c r="B49" s="190" t="s">
        <v>32</v>
      </c>
      <c r="C49" s="107"/>
      <c r="D49" s="107"/>
      <c r="E49" s="107"/>
      <c r="F49" s="107"/>
      <c r="G49" s="107"/>
    </row>
    <row r="50" spans="1:7">
      <c r="A50" s="187" t="s">
        <v>182</v>
      </c>
      <c r="B50" s="153" t="s">
        <v>183</v>
      </c>
      <c r="C50" s="70">
        <f t="shared" ref="C50:C56" si="2">IF(E50="AUD",F50,IF(E50="USD",F50*$F$2,IF(E50="CNY",F50*$F$3,0)))</f>
        <v>0</v>
      </c>
      <c r="D50" s="154"/>
      <c r="E50" s="155" t="s">
        <v>341</v>
      </c>
      <c r="F50" s="154">
        <f>SUMIFS('BOQ SUMMARY'!L:L,'BOQ SUMMARY'!A:A,A50,'BOQ SUMMARY'!B:B,"Base")+SUMIFS('BOQ SUMMARY'!L:L,'BOQ SUMMARY'!A:A,A50,'BOQ SUMMARY'!B:B,'EXECUTIVE SUMMARY'!$A$32)</f>
        <v>0</v>
      </c>
      <c r="G50" s="110"/>
    </row>
    <row r="51" spans="1:7">
      <c r="A51" s="187" t="s">
        <v>184</v>
      </c>
      <c r="B51" s="153" t="s">
        <v>185</v>
      </c>
      <c r="C51" s="70">
        <f t="shared" si="2"/>
        <v>0</v>
      </c>
      <c r="D51" s="154"/>
      <c r="E51" s="155" t="s">
        <v>341</v>
      </c>
      <c r="F51" s="154">
        <f>SUMIFS('BOQ SUMMARY'!L:L,'BOQ SUMMARY'!A:A,A51,'BOQ SUMMARY'!B:B,"Base")+SUMIFS('BOQ SUMMARY'!L:L,'BOQ SUMMARY'!A:A,A51,'BOQ SUMMARY'!B:B,'EXECUTIVE SUMMARY'!$A$32)</f>
        <v>0</v>
      </c>
      <c r="G51" s="161"/>
    </row>
    <row r="52" spans="1:7">
      <c r="A52" s="187" t="s">
        <v>186</v>
      </c>
      <c r="B52" s="153" t="s">
        <v>187</v>
      </c>
      <c r="C52" s="70">
        <f t="shared" si="2"/>
        <v>125332.86</v>
      </c>
      <c r="D52" s="154"/>
      <c r="E52" s="155" t="s">
        <v>341</v>
      </c>
      <c r="F52" s="154">
        <f>SUMIFS('BOQ SUMMARY'!L:L,'BOQ SUMMARY'!A:A,A52,'BOQ SUMMARY'!B:B,"Base")+SUMIFS('BOQ SUMMARY'!L:L,'BOQ SUMMARY'!A:A,A52,'BOQ SUMMARY'!B:B,'EXECUTIVE SUMMARY'!$A$32)</f>
        <v>125332.86</v>
      </c>
      <c r="G52" s="110"/>
    </row>
    <row r="53" spans="1:7">
      <c r="A53" s="187" t="s">
        <v>188</v>
      </c>
      <c r="B53" s="153" t="s">
        <v>189</v>
      </c>
      <c r="C53" s="70">
        <f t="shared" si="2"/>
        <v>0</v>
      </c>
      <c r="D53" s="154"/>
      <c r="E53" s="155" t="s">
        <v>341</v>
      </c>
      <c r="F53" s="154">
        <f>SUMIFS('BOQ SUMMARY'!L:L,'BOQ SUMMARY'!A:A,A53,'BOQ SUMMARY'!B:B,"Base")+SUMIFS('BOQ SUMMARY'!L:L,'BOQ SUMMARY'!A:A,A53,'BOQ SUMMARY'!B:B,'EXECUTIVE SUMMARY'!$A$32)</f>
        <v>0</v>
      </c>
      <c r="G53" s="110"/>
    </row>
    <row r="54" spans="1:7">
      <c r="A54" s="187" t="s">
        <v>190</v>
      </c>
      <c r="B54" s="153" t="s">
        <v>191</v>
      </c>
      <c r="C54" s="70">
        <f t="shared" si="2"/>
        <v>0</v>
      </c>
      <c r="D54" s="154"/>
      <c r="E54" s="155" t="s">
        <v>341</v>
      </c>
      <c r="F54" s="154">
        <f>SUMIFS('BOQ SUMMARY'!L:L,'BOQ SUMMARY'!A:A,A54,'BOQ SUMMARY'!B:B,"Base")+SUMIFS('BOQ SUMMARY'!L:L,'BOQ SUMMARY'!A:A,A54,'BOQ SUMMARY'!B:B,'EXECUTIVE SUMMARY'!$A$32)</f>
        <v>0</v>
      </c>
      <c r="G54" s="110"/>
    </row>
    <row r="55" spans="1:7">
      <c r="A55" s="187" t="s">
        <v>192</v>
      </c>
      <c r="B55" s="153" t="s">
        <v>193</v>
      </c>
      <c r="C55" s="70">
        <f t="shared" si="2"/>
        <v>7700</v>
      </c>
      <c r="D55" s="154"/>
      <c r="E55" s="155" t="s">
        <v>341</v>
      </c>
      <c r="F55" s="154">
        <f>SUMIFS('BOQ SUMMARY'!L:L,'BOQ SUMMARY'!A:A,A55,'BOQ SUMMARY'!B:B,"Base")+SUMIFS('BOQ SUMMARY'!L:L,'BOQ SUMMARY'!A:A,A55,'BOQ SUMMARY'!B:B,'EXECUTIVE SUMMARY'!$A$32)</f>
        <v>7700</v>
      </c>
      <c r="G55" s="110"/>
    </row>
    <row r="56" spans="1:7">
      <c r="A56" s="102" t="s">
        <v>194</v>
      </c>
      <c r="B56" s="162" t="s">
        <v>195</v>
      </c>
      <c r="C56" s="70">
        <f t="shared" si="2"/>
        <v>0</v>
      </c>
      <c r="D56" s="154"/>
      <c r="E56" s="155" t="s">
        <v>341</v>
      </c>
      <c r="F56" s="154">
        <f>SUMIFS('BOQ SUMMARY'!L:L,'BOQ SUMMARY'!A:A,A56,'BOQ SUMMARY'!B:B,"Base")+SUMIFS('BOQ SUMMARY'!L:L,'BOQ SUMMARY'!A:A,A56,'BOQ SUMMARY'!B:B,'EXECUTIVE SUMMARY'!$A$32)</f>
        <v>0</v>
      </c>
      <c r="G56" s="110"/>
    </row>
    <row r="57" spans="1:7" ht="15">
      <c r="A57"/>
      <c r="B57"/>
      <c r="C57"/>
      <c r="D57"/>
      <c r="E57"/>
      <c r="F57"/>
      <c r="G57"/>
    </row>
    <row r="58" spans="1:7" ht="15.75">
      <c r="A58" s="163" t="s">
        <v>342</v>
      </c>
      <c r="B58" s="163"/>
      <c r="C58" s="163"/>
      <c r="D58" s="163"/>
      <c r="E58" s="163"/>
      <c r="F58" s="163"/>
      <c r="G58" s="163"/>
    </row>
    <row r="59" spans="1:7">
      <c r="A59" s="92" t="s">
        <v>20</v>
      </c>
      <c r="B59" s="68" t="s">
        <v>59</v>
      </c>
      <c r="C59" s="93" t="s">
        <v>294</v>
      </c>
      <c r="D59" s="164" t="s">
        <v>295</v>
      </c>
      <c r="E59" s="151"/>
      <c r="F59" s="152" t="s">
        <v>340</v>
      </c>
      <c r="G59" s="95" t="s">
        <v>65</v>
      </c>
    </row>
    <row r="60" spans="1:7" ht="15">
      <c r="A60" s="107"/>
      <c r="B60" s="108" t="s">
        <v>30</v>
      </c>
      <c r="C60" s="98"/>
      <c r="D60" s="98"/>
      <c r="E60" s="98"/>
      <c r="F60" s="98"/>
      <c r="G60" s="101"/>
    </row>
    <row r="61" spans="1:7">
      <c r="A61" s="421" t="s">
        <v>117</v>
      </c>
      <c r="B61" s="432" t="s">
        <v>118</v>
      </c>
      <c r="C61" s="440">
        <f>D61*D62</f>
        <v>0</v>
      </c>
      <c r="D61" s="165"/>
      <c r="E61" s="70" t="s">
        <v>343</v>
      </c>
      <c r="F61" s="154"/>
      <c r="G61" s="166"/>
    </row>
    <row r="62" spans="1:7">
      <c r="A62" s="422"/>
      <c r="B62" s="439"/>
      <c r="C62" s="434"/>
      <c r="D62" s="167">
        <v>150</v>
      </c>
      <c r="E62" s="70" t="s">
        <v>344</v>
      </c>
      <c r="F62" s="154"/>
      <c r="G62" s="168" t="s">
        <v>345</v>
      </c>
    </row>
    <row r="63" spans="1:7">
      <c r="A63" s="423"/>
      <c r="B63" s="433"/>
      <c r="C63" s="435"/>
      <c r="D63" s="165">
        <v>17.52</v>
      </c>
      <c r="E63" s="70" t="s">
        <v>346</v>
      </c>
      <c r="F63" s="154"/>
      <c r="G63" s="169"/>
    </row>
    <row r="64" spans="1:7">
      <c r="A64" s="102" t="s">
        <v>123</v>
      </c>
      <c r="B64" s="103" t="s">
        <v>124</v>
      </c>
      <c r="C64" s="170">
        <f>IF(D78&gt;0,D78*500,0)</f>
        <v>0</v>
      </c>
      <c r="D64" s="171" t="s">
        <v>347</v>
      </c>
      <c r="E64" s="172"/>
      <c r="F64" s="154"/>
      <c r="G64" s="168" t="s">
        <v>348</v>
      </c>
    </row>
    <row r="65" spans="1:9">
      <c r="A65" s="421" t="s">
        <v>125</v>
      </c>
      <c r="B65" s="432" t="s">
        <v>126</v>
      </c>
      <c r="C65" s="424">
        <f>D65*D66</f>
        <v>0</v>
      </c>
      <c r="D65" s="146"/>
      <c r="E65" s="70" t="s">
        <v>349</v>
      </c>
      <c r="F65" s="154"/>
      <c r="G65" s="168" t="s">
        <v>350</v>
      </c>
    </row>
    <row r="66" spans="1:9">
      <c r="A66" s="423"/>
      <c r="B66" s="433"/>
      <c r="C66" s="426"/>
      <c r="D66" s="173">
        <v>50</v>
      </c>
      <c r="E66" s="70" t="s">
        <v>351</v>
      </c>
      <c r="F66" s="154"/>
      <c r="G66" s="169"/>
    </row>
    <row r="67" spans="1:9">
      <c r="A67" s="421" t="s">
        <v>127</v>
      </c>
      <c r="B67" s="432" t="s">
        <v>128</v>
      </c>
      <c r="C67" s="424">
        <f>D67*D68</f>
        <v>0</v>
      </c>
      <c r="D67" s="146"/>
      <c r="E67" s="70" t="s">
        <v>349</v>
      </c>
      <c r="F67" s="154"/>
      <c r="G67" s="168"/>
    </row>
    <row r="68" spans="1:9">
      <c r="A68" s="423"/>
      <c r="B68" s="433"/>
      <c r="C68" s="426"/>
      <c r="D68" s="173"/>
      <c r="E68" s="70" t="s">
        <v>351</v>
      </c>
      <c r="F68" s="154"/>
      <c r="G68" s="169"/>
    </row>
    <row r="69" spans="1:9">
      <c r="A69" s="421" t="s">
        <v>129</v>
      </c>
      <c r="B69" s="432" t="s">
        <v>130</v>
      </c>
      <c r="C69" s="440">
        <f>D69*D70</f>
        <v>0</v>
      </c>
      <c r="D69" s="146"/>
      <c r="E69" s="70" t="s">
        <v>352</v>
      </c>
      <c r="F69" s="154"/>
      <c r="G69" s="169"/>
      <c r="H69" s="157"/>
    </row>
    <row r="70" spans="1:9">
      <c r="A70" s="422"/>
      <c r="B70" s="439"/>
      <c r="C70" s="434"/>
      <c r="D70" s="173">
        <v>60</v>
      </c>
      <c r="E70" s="70" t="s">
        <v>353</v>
      </c>
      <c r="F70" s="154"/>
      <c r="G70" s="169"/>
      <c r="H70" s="157"/>
    </row>
    <row r="71" spans="1:9">
      <c r="A71" s="423"/>
      <c r="B71" s="433"/>
      <c r="C71" s="435"/>
      <c r="D71" s="146"/>
      <c r="E71" s="70" t="s">
        <v>354</v>
      </c>
      <c r="F71" s="154"/>
      <c r="G71" s="169"/>
      <c r="H71" s="157"/>
    </row>
    <row r="72" spans="1:9">
      <c r="A72" s="421" t="s">
        <v>131</v>
      </c>
      <c r="B72" s="432" t="s">
        <v>132</v>
      </c>
      <c r="C72" s="440">
        <f>D72*D73</f>
        <v>0</v>
      </c>
      <c r="D72" s="146"/>
      <c r="E72" s="70" t="s">
        <v>352</v>
      </c>
      <c r="F72" s="154"/>
      <c r="G72" s="169"/>
      <c r="I72" s="159"/>
    </row>
    <row r="73" spans="1:9">
      <c r="A73" s="422"/>
      <c r="B73" s="439"/>
      <c r="C73" s="434"/>
      <c r="D73" s="173">
        <v>200</v>
      </c>
      <c r="E73" s="70" t="s">
        <v>353</v>
      </c>
      <c r="F73" s="154"/>
      <c r="G73" s="169"/>
      <c r="I73" s="159"/>
    </row>
    <row r="74" spans="1:9">
      <c r="A74" s="423"/>
      <c r="B74" s="433"/>
      <c r="C74" s="435"/>
      <c r="D74" s="146">
        <v>3</v>
      </c>
      <c r="E74" s="70" t="s">
        <v>354</v>
      </c>
      <c r="F74" s="154"/>
      <c r="G74" s="169"/>
    </row>
    <row r="75" spans="1:9">
      <c r="A75" s="421" t="s">
        <v>133</v>
      </c>
      <c r="B75" s="432" t="s">
        <v>134</v>
      </c>
      <c r="C75" s="440">
        <f>D75*D76</f>
        <v>0</v>
      </c>
      <c r="D75" s="146"/>
      <c r="E75" s="70" t="s">
        <v>352</v>
      </c>
      <c r="F75" s="154"/>
      <c r="G75" s="169"/>
      <c r="I75" s="160"/>
    </row>
    <row r="76" spans="1:9">
      <c r="A76" s="422"/>
      <c r="B76" s="439"/>
      <c r="C76" s="434"/>
      <c r="D76" s="173"/>
      <c r="E76" s="70" t="s">
        <v>353</v>
      </c>
      <c r="F76" s="154"/>
      <c r="G76" s="169"/>
    </row>
    <row r="77" spans="1:9">
      <c r="A77" s="423"/>
      <c r="B77" s="433"/>
      <c r="C77" s="435"/>
      <c r="D77" s="146"/>
      <c r="E77" s="70" t="s">
        <v>354</v>
      </c>
      <c r="F77" s="154"/>
      <c r="G77" s="169"/>
    </row>
    <row r="78" spans="1:9">
      <c r="A78" s="421" t="s">
        <v>149</v>
      </c>
      <c r="B78" s="432" t="s">
        <v>150</v>
      </c>
      <c r="C78" s="440">
        <f>D78*D79</f>
        <v>0</v>
      </c>
      <c r="D78" s="174"/>
      <c r="E78" s="70" t="s">
        <v>355</v>
      </c>
      <c r="F78" s="154"/>
      <c r="G78" s="168" t="s">
        <v>356</v>
      </c>
    </row>
    <row r="79" spans="1:9">
      <c r="A79" s="423"/>
      <c r="B79" s="433"/>
      <c r="C79" s="435"/>
      <c r="D79" s="173">
        <v>5500</v>
      </c>
      <c r="E79" s="70" t="s">
        <v>357</v>
      </c>
      <c r="F79" s="154"/>
      <c r="G79" s="168" t="s">
        <v>358</v>
      </c>
    </row>
    <row r="80" spans="1:9">
      <c r="A80" s="102" t="s">
        <v>163</v>
      </c>
      <c r="B80" s="103" t="s">
        <v>164</v>
      </c>
      <c r="C80" s="173">
        <v>0</v>
      </c>
      <c r="D80" s="176"/>
      <c r="E80" s="176"/>
      <c r="F80" s="154"/>
      <c r="G80" s="166" t="s">
        <v>359</v>
      </c>
    </row>
    <row r="81" spans="1:7">
      <c r="A81" s="447" t="s">
        <v>204</v>
      </c>
      <c r="B81" s="448" t="s">
        <v>205</v>
      </c>
      <c r="C81" s="424">
        <f>D81*D82</f>
        <v>0</v>
      </c>
      <c r="D81" s="177">
        <f>D61</f>
        <v>0</v>
      </c>
      <c r="E81" s="70" t="s">
        <v>360</v>
      </c>
      <c r="F81" s="154"/>
      <c r="G81" s="110"/>
    </row>
    <row r="82" spans="1:7">
      <c r="A82" s="447"/>
      <c r="B82" s="448"/>
      <c r="C82" s="426"/>
      <c r="D82" s="173">
        <v>300</v>
      </c>
      <c r="E82" s="70" t="s">
        <v>361</v>
      </c>
      <c r="F82" s="154"/>
      <c r="G82" s="110"/>
    </row>
    <row r="83" spans="1:7" ht="15">
      <c r="A83"/>
      <c r="B83"/>
      <c r="C83"/>
      <c r="D83"/>
      <c r="E83"/>
      <c r="F83"/>
      <c r="G83"/>
    </row>
    <row r="84" spans="1:7" ht="15">
      <c r="A84"/>
      <c r="B84"/>
      <c r="C84"/>
      <c r="D84"/>
      <c r="E84"/>
      <c r="F84"/>
      <c r="G84"/>
    </row>
    <row r="85" spans="1:7" ht="15">
      <c r="A85"/>
      <c r="B85"/>
      <c r="C85"/>
      <c r="D85"/>
      <c r="E85"/>
      <c r="F85"/>
      <c r="G85"/>
    </row>
    <row r="86" spans="1:7" ht="15">
      <c r="A86"/>
      <c r="B86"/>
      <c r="C86"/>
      <c r="D86"/>
      <c r="E86"/>
      <c r="F86"/>
      <c r="G86"/>
    </row>
    <row r="87" spans="1:7" ht="15">
      <c r="A87"/>
      <c r="B87"/>
      <c r="C87"/>
      <c r="D87"/>
      <c r="E87"/>
      <c r="F87"/>
      <c r="G87"/>
    </row>
    <row r="88" spans="1:7" ht="15">
      <c r="A88"/>
      <c r="B88"/>
      <c r="C88"/>
      <c r="D88"/>
      <c r="E88"/>
      <c r="F88"/>
      <c r="G88"/>
    </row>
    <row r="89" spans="1:7" ht="15">
      <c r="A89"/>
      <c r="B89"/>
      <c r="C89"/>
      <c r="D89"/>
      <c r="E89"/>
      <c r="F89"/>
      <c r="G89"/>
    </row>
    <row r="90" spans="1:7" ht="15">
      <c r="A90"/>
      <c r="B90"/>
      <c r="C90"/>
      <c r="D90"/>
      <c r="E90"/>
      <c r="F90"/>
      <c r="G90"/>
    </row>
    <row r="91" spans="1:7" ht="15">
      <c r="A91"/>
      <c r="B91"/>
      <c r="C91"/>
      <c r="D91"/>
      <c r="E91"/>
      <c r="F91"/>
      <c r="G91"/>
    </row>
    <row r="92" spans="1:7" ht="15">
      <c r="A92"/>
      <c r="B92"/>
      <c r="C92"/>
      <c r="D92"/>
      <c r="E92"/>
      <c r="F92"/>
      <c r="G92"/>
    </row>
    <row r="93" spans="1:7" ht="15">
      <c r="A93"/>
      <c r="B93"/>
      <c r="C93"/>
      <c r="D93"/>
      <c r="E93"/>
      <c r="F93"/>
      <c r="G93"/>
    </row>
    <row r="94" spans="1:7" ht="15">
      <c r="A94"/>
      <c r="B94"/>
      <c r="C94"/>
      <c r="D94"/>
      <c r="E94"/>
      <c r="F94"/>
      <c r="G94"/>
    </row>
    <row r="95" spans="1:7" ht="15">
      <c r="A95"/>
      <c r="B95"/>
      <c r="C95"/>
      <c r="D95"/>
      <c r="E95"/>
      <c r="F95"/>
      <c r="G95"/>
    </row>
    <row r="96" spans="1:7" ht="15">
      <c r="A96"/>
      <c r="B96"/>
      <c r="C96"/>
      <c r="D96"/>
      <c r="E96"/>
      <c r="F96"/>
      <c r="G96"/>
    </row>
    <row r="97" spans="1:7" ht="15">
      <c r="A97"/>
      <c r="B97"/>
      <c r="C97"/>
      <c r="D97"/>
      <c r="E97"/>
      <c r="F97"/>
      <c r="G97"/>
    </row>
    <row r="98" spans="1:7" ht="15">
      <c r="A98"/>
      <c r="B98"/>
      <c r="C98"/>
      <c r="D98"/>
      <c r="E98"/>
      <c r="F98"/>
      <c r="G98"/>
    </row>
    <row r="99" spans="1:7" ht="15">
      <c r="A99"/>
      <c r="B99"/>
      <c r="C99"/>
      <c r="D99"/>
      <c r="E99"/>
      <c r="F99"/>
      <c r="G99"/>
    </row>
    <row r="100" spans="1:7" ht="15">
      <c r="A100"/>
      <c r="B100"/>
      <c r="C100"/>
      <c r="D100"/>
      <c r="E100"/>
      <c r="F100"/>
      <c r="G100"/>
    </row>
    <row r="101" spans="1:7" ht="15">
      <c r="A101"/>
      <c r="B101"/>
      <c r="C101"/>
      <c r="D101"/>
      <c r="E101"/>
      <c r="F101"/>
      <c r="G101"/>
    </row>
    <row r="102" spans="1:7" ht="15">
      <c r="A102"/>
      <c r="B102"/>
      <c r="C102"/>
      <c r="D102"/>
      <c r="E102"/>
      <c r="F102"/>
      <c r="G102"/>
    </row>
    <row r="103" spans="1:7" ht="15">
      <c r="A103"/>
      <c r="B103"/>
      <c r="C103"/>
      <c r="D103"/>
      <c r="E103"/>
      <c r="F103"/>
      <c r="G103"/>
    </row>
    <row r="104" spans="1:7" ht="15">
      <c r="A104"/>
      <c r="B104"/>
      <c r="C104"/>
      <c r="D104"/>
      <c r="E104"/>
      <c r="F104"/>
      <c r="G104"/>
    </row>
    <row r="105" spans="1:7" ht="15">
      <c r="A105"/>
      <c r="B105"/>
      <c r="C105"/>
      <c r="D105"/>
      <c r="E105"/>
      <c r="F105"/>
      <c r="G105"/>
    </row>
    <row r="106" spans="1:7" ht="15">
      <c r="A106"/>
      <c r="B106"/>
      <c r="C106"/>
      <c r="D106"/>
      <c r="E106"/>
      <c r="F106"/>
      <c r="G106"/>
    </row>
    <row r="107" spans="1:7" ht="15">
      <c r="A107"/>
      <c r="B107"/>
      <c r="C107"/>
      <c r="D107"/>
      <c r="E107"/>
      <c r="F107"/>
      <c r="G107"/>
    </row>
    <row r="108" spans="1:7" ht="15">
      <c r="A108"/>
      <c r="B108"/>
      <c r="C108"/>
      <c r="D108"/>
      <c r="E108"/>
      <c r="F108"/>
      <c r="G108"/>
    </row>
    <row r="109" spans="1:7" ht="15">
      <c r="A109"/>
      <c r="B109"/>
      <c r="C109"/>
      <c r="D109"/>
      <c r="E109"/>
      <c r="F109"/>
      <c r="G109"/>
    </row>
    <row r="110" spans="1:7" ht="15">
      <c r="A110"/>
      <c r="B110"/>
      <c r="C110"/>
      <c r="D110"/>
      <c r="E110"/>
      <c r="F110"/>
      <c r="G110"/>
    </row>
    <row r="111" spans="1:7" ht="15">
      <c r="A111"/>
      <c r="B111"/>
      <c r="C111"/>
      <c r="D111"/>
      <c r="E111"/>
      <c r="F111"/>
      <c r="G111"/>
    </row>
    <row r="112" spans="1:7" ht="15">
      <c r="A112"/>
      <c r="B112"/>
      <c r="C112"/>
      <c r="D112"/>
      <c r="E112"/>
      <c r="F112"/>
      <c r="G112"/>
    </row>
    <row r="114" spans="1:7" ht="15.75">
      <c r="A114" s="163" t="s">
        <v>342</v>
      </c>
      <c r="B114" s="163"/>
      <c r="C114" s="163"/>
      <c r="D114" s="163"/>
      <c r="E114" s="163"/>
      <c r="F114" s="163"/>
      <c r="G114" s="163"/>
    </row>
    <row r="115" spans="1:7">
      <c r="A115" s="92" t="s">
        <v>20</v>
      </c>
      <c r="B115" s="68" t="s">
        <v>59</v>
      </c>
      <c r="C115" s="93" t="s">
        <v>294</v>
      </c>
      <c r="D115" s="164" t="s">
        <v>295</v>
      </c>
      <c r="E115" s="151"/>
      <c r="F115" s="152" t="s">
        <v>340</v>
      </c>
      <c r="G115" s="95" t="s">
        <v>65</v>
      </c>
    </row>
    <row r="116" spans="1:7" ht="15">
      <c r="A116" s="107"/>
      <c r="B116" s="108" t="s">
        <v>30</v>
      </c>
      <c r="C116" s="98"/>
      <c r="D116" s="98"/>
      <c r="E116" s="98"/>
      <c r="F116" s="98"/>
      <c r="G116" s="101"/>
    </row>
    <row r="117" spans="1:7">
      <c r="A117" s="421" t="s">
        <v>117</v>
      </c>
      <c r="B117" s="432" t="s">
        <v>118</v>
      </c>
      <c r="C117" s="440">
        <f>D117*D118</f>
        <v>0</v>
      </c>
      <c r="D117" s="165"/>
      <c r="E117" s="70" t="s">
        <v>343</v>
      </c>
      <c r="F117" s="154"/>
      <c r="G117" s="166"/>
    </row>
    <row r="118" spans="1:7">
      <c r="A118" s="422"/>
      <c r="B118" s="439"/>
      <c r="C118" s="434"/>
      <c r="D118" s="167">
        <v>150</v>
      </c>
      <c r="E118" s="70" t="s">
        <v>344</v>
      </c>
      <c r="F118" s="154"/>
      <c r="G118" s="168" t="s">
        <v>345</v>
      </c>
    </row>
    <row r="119" spans="1:7">
      <c r="A119" s="423"/>
      <c r="B119" s="433"/>
      <c r="C119" s="435"/>
      <c r="D119" s="165">
        <v>17.52</v>
      </c>
      <c r="E119" s="70" t="s">
        <v>346</v>
      </c>
      <c r="F119" s="154"/>
      <c r="G119" s="169"/>
    </row>
    <row r="120" spans="1:7">
      <c r="A120" s="102" t="s">
        <v>123</v>
      </c>
      <c r="B120" s="103" t="s">
        <v>124</v>
      </c>
      <c r="C120" s="170">
        <f>IF(D134&gt;0,D134*500,0)</f>
        <v>0</v>
      </c>
      <c r="D120" s="171" t="s">
        <v>347</v>
      </c>
      <c r="E120" s="172"/>
      <c r="F120" s="154"/>
      <c r="G120" s="168" t="s">
        <v>348</v>
      </c>
    </row>
    <row r="121" spans="1:7">
      <c r="A121" s="421" t="s">
        <v>125</v>
      </c>
      <c r="B121" s="432" t="s">
        <v>126</v>
      </c>
      <c r="C121" s="424">
        <f>D121*D122</f>
        <v>0</v>
      </c>
      <c r="D121" s="146"/>
      <c r="E121" s="70" t="s">
        <v>349</v>
      </c>
      <c r="F121" s="154"/>
      <c r="G121" s="168" t="s">
        <v>350</v>
      </c>
    </row>
    <row r="122" spans="1:7">
      <c r="A122" s="423"/>
      <c r="B122" s="433"/>
      <c r="C122" s="426"/>
      <c r="D122" s="173">
        <v>50</v>
      </c>
      <c r="E122" s="70" t="s">
        <v>351</v>
      </c>
      <c r="F122" s="154"/>
      <c r="G122" s="169"/>
    </row>
    <row r="123" spans="1:7">
      <c r="A123" s="421" t="s">
        <v>127</v>
      </c>
      <c r="B123" s="432" t="s">
        <v>128</v>
      </c>
      <c r="C123" s="424">
        <f>D123*D124</f>
        <v>0</v>
      </c>
      <c r="D123" s="146"/>
      <c r="E123" s="70" t="s">
        <v>349</v>
      </c>
      <c r="F123" s="154"/>
      <c r="G123" s="168"/>
    </row>
    <row r="124" spans="1:7">
      <c r="A124" s="423"/>
      <c r="B124" s="433"/>
      <c r="C124" s="426"/>
      <c r="D124" s="173"/>
      <c r="E124" s="70" t="s">
        <v>351</v>
      </c>
      <c r="F124" s="154"/>
      <c r="G124" s="169"/>
    </row>
    <row r="125" spans="1:7">
      <c r="A125" s="421" t="s">
        <v>129</v>
      </c>
      <c r="B125" s="432" t="s">
        <v>130</v>
      </c>
      <c r="C125" s="440">
        <f>D125*D126</f>
        <v>0</v>
      </c>
      <c r="D125" s="146"/>
      <c r="E125" s="70" t="s">
        <v>352</v>
      </c>
      <c r="F125" s="154"/>
      <c r="G125" s="169"/>
    </row>
    <row r="126" spans="1:7">
      <c r="A126" s="422"/>
      <c r="B126" s="439"/>
      <c r="C126" s="434"/>
      <c r="D126" s="173"/>
      <c r="E126" s="70" t="s">
        <v>353</v>
      </c>
      <c r="F126" s="154"/>
      <c r="G126" s="169"/>
    </row>
    <row r="127" spans="1:7">
      <c r="A127" s="423"/>
      <c r="B127" s="433"/>
      <c r="C127" s="435"/>
      <c r="D127" s="146"/>
      <c r="E127" s="70" t="s">
        <v>354</v>
      </c>
      <c r="F127" s="154"/>
      <c r="G127" s="169"/>
    </row>
    <row r="128" spans="1:7">
      <c r="A128" s="421" t="s">
        <v>131</v>
      </c>
      <c r="B128" s="432" t="s">
        <v>132</v>
      </c>
      <c r="C128" s="440">
        <f>D128*D129</f>
        <v>0</v>
      </c>
      <c r="D128" s="146"/>
      <c r="E128" s="70" t="s">
        <v>352</v>
      </c>
      <c r="F128" s="154"/>
      <c r="G128" s="169"/>
    </row>
    <row r="129" spans="1:7">
      <c r="A129" s="422"/>
      <c r="B129" s="439"/>
      <c r="C129" s="434"/>
      <c r="D129" s="173">
        <v>200</v>
      </c>
      <c r="E129" s="70" t="s">
        <v>353</v>
      </c>
      <c r="F129" s="154"/>
      <c r="G129" s="169"/>
    </row>
    <row r="130" spans="1:7">
      <c r="A130" s="423"/>
      <c r="B130" s="433"/>
      <c r="C130" s="435"/>
      <c r="D130" s="146">
        <v>3</v>
      </c>
      <c r="E130" s="70" t="s">
        <v>354</v>
      </c>
      <c r="F130" s="154"/>
      <c r="G130" s="169"/>
    </row>
    <row r="131" spans="1:7">
      <c r="A131" s="421" t="s">
        <v>133</v>
      </c>
      <c r="B131" s="432" t="s">
        <v>134</v>
      </c>
      <c r="C131" s="440">
        <f>D131*D132</f>
        <v>0</v>
      </c>
      <c r="D131" s="146"/>
      <c r="E131" s="70" t="s">
        <v>352</v>
      </c>
      <c r="F131" s="154"/>
      <c r="G131" s="169"/>
    </row>
    <row r="132" spans="1:7">
      <c r="A132" s="422"/>
      <c r="B132" s="439"/>
      <c r="C132" s="434"/>
      <c r="D132" s="173"/>
      <c r="E132" s="70" t="s">
        <v>353</v>
      </c>
      <c r="F132" s="154"/>
      <c r="G132" s="169"/>
    </row>
    <row r="133" spans="1:7">
      <c r="A133" s="423"/>
      <c r="B133" s="433"/>
      <c r="C133" s="435"/>
      <c r="D133" s="146"/>
      <c r="E133" s="70" t="s">
        <v>354</v>
      </c>
      <c r="F133" s="154"/>
      <c r="G133" s="169"/>
    </row>
    <row r="134" spans="1:7">
      <c r="A134" s="421" t="s">
        <v>149</v>
      </c>
      <c r="B134" s="432" t="s">
        <v>150</v>
      </c>
      <c r="C134" s="440">
        <f>D134*D135</f>
        <v>0</v>
      </c>
      <c r="D134" s="174"/>
      <c r="E134" s="70" t="s">
        <v>355</v>
      </c>
      <c r="F134" s="154"/>
      <c r="G134" s="168" t="s">
        <v>356</v>
      </c>
    </row>
    <row r="135" spans="1:7">
      <c r="A135" s="423"/>
      <c r="B135" s="433"/>
      <c r="C135" s="435"/>
      <c r="D135" s="175">
        <v>5500</v>
      </c>
      <c r="E135" s="70" t="s">
        <v>357</v>
      </c>
      <c r="F135" s="154"/>
      <c r="G135" s="168" t="s">
        <v>358</v>
      </c>
    </row>
    <row r="136" spans="1:7">
      <c r="A136" s="102" t="s">
        <v>163</v>
      </c>
      <c r="B136" s="103" t="s">
        <v>164</v>
      </c>
      <c r="C136" s="173">
        <v>0</v>
      </c>
      <c r="D136" s="176"/>
      <c r="E136" s="176"/>
      <c r="F136" s="154"/>
      <c r="G136" s="166" t="s">
        <v>359</v>
      </c>
    </row>
    <row r="137" spans="1:7">
      <c r="A137" s="447" t="s">
        <v>204</v>
      </c>
      <c r="B137" s="448" t="s">
        <v>205</v>
      </c>
      <c r="C137" s="424">
        <f>D137*D138</f>
        <v>0</v>
      </c>
      <c r="D137" s="177">
        <f>D117</f>
        <v>0</v>
      </c>
      <c r="E137" s="70" t="s">
        <v>360</v>
      </c>
      <c r="F137" s="154"/>
      <c r="G137" s="110"/>
    </row>
    <row r="138" spans="1:7">
      <c r="A138" s="447"/>
      <c r="B138" s="448"/>
      <c r="C138" s="426"/>
      <c r="D138" s="173">
        <v>300</v>
      </c>
      <c r="E138" s="70" t="s">
        <v>361</v>
      </c>
      <c r="F138" s="154"/>
      <c r="G138" s="110"/>
    </row>
  </sheetData>
  <sheetProtection selectLockedCells="1"/>
  <mergeCells count="49">
    <mergeCell ref="A81:A82"/>
    <mergeCell ref="B81:B82"/>
    <mergeCell ref="C81:C82"/>
    <mergeCell ref="A75:A77"/>
    <mergeCell ref="B75:B77"/>
    <mergeCell ref="C75:C77"/>
    <mergeCell ref="A78:A79"/>
    <mergeCell ref="B78:B79"/>
    <mergeCell ref="C78:C79"/>
    <mergeCell ref="A69:A71"/>
    <mergeCell ref="B69:B71"/>
    <mergeCell ref="C69:C71"/>
    <mergeCell ref="A72:A74"/>
    <mergeCell ref="B72:B74"/>
    <mergeCell ref="C72:C74"/>
    <mergeCell ref="D9:G9"/>
    <mergeCell ref="A117:A119"/>
    <mergeCell ref="B117:B119"/>
    <mergeCell ref="C117:C119"/>
    <mergeCell ref="A121:A122"/>
    <mergeCell ref="B121:B122"/>
    <mergeCell ref="C121:C122"/>
    <mergeCell ref="A61:A63"/>
    <mergeCell ref="B61:B63"/>
    <mergeCell ref="C61:C63"/>
    <mergeCell ref="A65:A66"/>
    <mergeCell ref="B65:B66"/>
    <mergeCell ref="C65:C66"/>
    <mergeCell ref="A67:A68"/>
    <mergeCell ref="B67:B68"/>
    <mergeCell ref="C67:C68"/>
    <mergeCell ref="A123:A124"/>
    <mergeCell ref="B123:B124"/>
    <mergeCell ref="C123:C124"/>
    <mergeCell ref="A125:A127"/>
    <mergeCell ref="B125:B127"/>
    <mergeCell ref="C125:C127"/>
    <mergeCell ref="A128:A130"/>
    <mergeCell ref="B128:B130"/>
    <mergeCell ref="C128:C130"/>
    <mergeCell ref="A131:A133"/>
    <mergeCell ref="B131:B133"/>
    <mergeCell ref="C131:C133"/>
    <mergeCell ref="A134:A135"/>
    <mergeCell ref="B134:B135"/>
    <mergeCell ref="C134:C135"/>
    <mergeCell ref="A137:A138"/>
    <mergeCell ref="B137:B138"/>
    <mergeCell ref="C137:C138"/>
  </mergeCells>
  <conditionalFormatting sqref="C10:D10 G10 C11:G11 B120:D120 A136:D136 C115:D116 E116:F116">
    <cfRule type="cellIs" dxfId="418" priority="148" operator="lessThan">
      <formula>0</formula>
    </cfRule>
  </conditionalFormatting>
  <conditionalFormatting sqref="C12:C56">
    <cfRule type="cellIs" dxfId="417" priority="147" operator="lessThan">
      <formula>0</formula>
    </cfRule>
  </conditionalFormatting>
  <conditionalFormatting sqref="A12:B12">
    <cfRule type="cellIs" dxfId="416" priority="146" operator="lessThan">
      <formula>0</formula>
    </cfRule>
  </conditionalFormatting>
  <conditionalFormatting sqref="A14 A16 A18 A20 A22">
    <cfRule type="cellIs" dxfId="415" priority="145" operator="lessThan">
      <formula>0</formula>
    </cfRule>
  </conditionalFormatting>
  <conditionalFormatting sqref="B14 B16 B18 B20 B22">
    <cfRule type="cellIs" dxfId="414" priority="144" operator="lessThan">
      <formula>0</formula>
    </cfRule>
  </conditionalFormatting>
  <conditionalFormatting sqref="G115 D117:E117 A117:B117 A120:A121 D119:E119 B121:C121 A123:B123 A125:B125 A128:B128 A131 A134 A137:B137">
    <cfRule type="cellIs" dxfId="413" priority="143" operator="lessThan">
      <formula>0</formula>
    </cfRule>
  </conditionalFormatting>
  <conditionalFormatting sqref="B131">
    <cfRule type="cellIs" dxfId="412" priority="141" operator="lessThan">
      <formula>0</formula>
    </cfRule>
  </conditionalFormatting>
  <conditionalFormatting sqref="B134">
    <cfRule type="cellIs" dxfId="411" priority="142" operator="lessThan">
      <formula>0</formula>
    </cfRule>
  </conditionalFormatting>
  <conditionalFormatting sqref="G116">
    <cfRule type="cellIs" dxfId="410" priority="140" operator="lessThan">
      <formula>0</formula>
    </cfRule>
  </conditionalFormatting>
  <conditionalFormatting sqref="E134:E135">
    <cfRule type="cellIs" dxfId="409" priority="139" operator="lessThan">
      <formula>0</formula>
    </cfRule>
  </conditionalFormatting>
  <conditionalFormatting sqref="D134:D135">
    <cfRule type="cellIs" dxfId="408" priority="138" operator="lessThan">
      <formula>0</formula>
    </cfRule>
  </conditionalFormatting>
  <conditionalFormatting sqref="C134">
    <cfRule type="cellIs" dxfId="407" priority="137" operator="lessThan">
      <formula>0</formula>
    </cfRule>
  </conditionalFormatting>
  <conditionalFormatting sqref="C117">
    <cfRule type="cellIs" dxfId="406" priority="136" operator="lessThan">
      <formula>0</formula>
    </cfRule>
  </conditionalFormatting>
  <conditionalFormatting sqref="D118:E118">
    <cfRule type="cellIs" dxfId="405" priority="135" operator="lessThan">
      <formula>0</formula>
    </cfRule>
  </conditionalFormatting>
  <conditionalFormatting sqref="D125:E125 D127:E127">
    <cfRule type="cellIs" dxfId="404" priority="134" operator="lessThan">
      <formula>0</formula>
    </cfRule>
  </conditionalFormatting>
  <conditionalFormatting sqref="D126:E126">
    <cfRule type="cellIs" dxfId="403" priority="133" operator="lessThan">
      <formula>0</formula>
    </cfRule>
  </conditionalFormatting>
  <conditionalFormatting sqref="C125">
    <cfRule type="cellIs" dxfId="402" priority="132" operator="lessThan">
      <formula>0</formula>
    </cfRule>
  </conditionalFormatting>
  <conditionalFormatting sqref="D121:E121">
    <cfRule type="cellIs" dxfId="401" priority="131" operator="lessThan">
      <formula>0</formula>
    </cfRule>
  </conditionalFormatting>
  <conditionalFormatting sqref="D122:E122">
    <cfRule type="cellIs" dxfId="400" priority="130" operator="lessThan">
      <formula>0</formula>
    </cfRule>
  </conditionalFormatting>
  <conditionalFormatting sqref="C123">
    <cfRule type="cellIs" dxfId="399" priority="129" operator="lessThan">
      <formula>0</formula>
    </cfRule>
  </conditionalFormatting>
  <conditionalFormatting sqref="D123:E123">
    <cfRule type="cellIs" dxfId="398" priority="128" operator="lessThan">
      <formula>0</formula>
    </cfRule>
  </conditionalFormatting>
  <conditionalFormatting sqref="D124:E124">
    <cfRule type="cellIs" dxfId="397" priority="127" operator="lessThan">
      <formula>0</formula>
    </cfRule>
  </conditionalFormatting>
  <conditionalFormatting sqref="D128:E128 D130:E130">
    <cfRule type="cellIs" dxfId="396" priority="126" operator="lessThan">
      <formula>0</formula>
    </cfRule>
  </conditionalFormatting>
  <conditionalFormatting sqref="D129:E129">
    <cfRule type="cellIs" dxfId="395" priority="125" operator="lessThan">
      <formula>0</formula>
    </cfRule>
  </conditionalFormatting>
  <conditionalFormatting sqref="C128">
    <cfRule type="cellIs" dxfId="394" priority="124" operator="lessThan">
      <formula>0</formula>
    </cfRule>
  </conditionalFormatting>
  <conditionalFormatting sqref="D131:E131 D133:E133">
    <cfRule type="cellIs" dxfId="393" priority="123" operator="lessThan">
      <formula>0</formula>
    </cfRule>
  </conditionalFormatting>
  <conditionalFormatting sqref="D132:E132">
    <cfRule type="cellIs" dxfId="392" priority="122" operator="lessThan">
      <formula>0</formula>
    </cfRule>
  </conditionalFormatting>
  <conditionalFormatting sqref="C131">
    <cfRule type="cellIs" dxfId="391" priority="121" operator="lessThan">
      <formula>0</formula>
    </cfRule>
  </conditionalFormatting>
  <conditionalFormatting sqref="D137:E137">
    <cfRule type="cellIs" dxfId="390" priority="120" operator="lessThan">
      <formula>0</formula>
    </cfRule>
  </conditionalFormatting>
  <conditionalFormatting sqref="D138:E138">
    <cfRule type="cellIs" dxfId="389" priority="119" operator="lessThan">
      <formula>0</formula>
    </cfRule>
  </conditionalFormatting>
  <conditionalFormatting sqref="C137">
    <cfRule type="cellIs" dxfId="388" priority="118" operator="lessThan">
      <formula>0</formula>
    </cfRule>
  </conditionalFormatting>
  <conditionalFormatting sqref="D9">
    <cfRule type="cellIs" dxfId="387" priority="115" operator="lessThan">
      <formula>0</formula>
    </cfRule>
  </conditionalFormatting>
  <conditionalFormatting sqref="A24 A26 A28 A30 A32 A34 A36 A38 A40 A42 A44 A46 A49 A51 A53 A55">
    <cfRule type="cellIs" dxfId="386" priority="111" operator="lessThan">
      <formula>0</formula>
    </cfRule>
  </conditionalFormatting>
  <conditionalFormatting sqref="B24 B26 B28 B30 B32 B34 B36 B38 B40 B42 B44 B46 B49 B51 B53 B55">
    <cfRule type="cellIs" dxfId="385" priority="110" operator="lessThan">
      <formula>0</formula>
    </cfRule>
  </conditionalFormatting>
  <conditionalFormatting sqref="A13:B13">
    <cfRule type="cellIs" dxfId="384" priority="107" operator="lessThan">
      <formula>0</formula>
    </cfRule>
  </conditionalFormatting>
  <conditionalFormatting sqref="A15">
    <cfRule type="cellIs" dxfId="383" priority="106" operator="lessThan">
      <formula>0</formula>
    </cfRule>
  </conditionalFormatting>
  <conditionalFormatting sqref="B15">
    <cfRule type="cellIs" dxfId="382" priority="105" operator="lessThan">
      <formula>0</formula>
    </cfRule>
  </conditionalFormatting>
  <conditionalFormatting sqref="A17">
    <cfRule type="cellIs" dxfId="381" priority="104" operator="lessThan">
      <formula>0</formula>
    </cfRule>
  </conditionalFormatting>
  <conditionalFormatting sqref="B17">
    <cfRule type="cellIs" dxfId="380" priority="103" operator="lessThan">
      <formula>0</formula>
    </cfRule>
  </conditionalFormatting>
  <conditionalFormatting sqref="A19">
    <cfRule type="cellIs" dxfId="379" priority="102" operator="lessThan">
      <formula>0</formula>
    </cfRule>
  </conditionalFormatting>
  <conditionalFormatting sqref="B19">
    <cfRule type="cellIs" dxfId="378" priority="101" operator="lessThan">
      <formula>0</formula>
    </cfRule>
  </conditionalFormatting>
  <conditionalFormatting sqref="A21">
    <cfRule type="cellIs" dxfId="377" priority="100" operator="lessThan">
      <formula>0</formula>
    </cfRule>
  </conditionalFormatting>
  <conditionalFormatting sqref="B21">
    <cfRule type="cellIs" dxfId="376" priority="99" operator="lessThan">
      <formula>0</formula>
    </cfRule>
  </conditionalFormatting>
  <conditionalFormatting sqref="A23">
    <cfRule type="cellIs" dxfId="375" priority="98" operator="lessThan">
      <formula>0</formula>
    </cfRule>
  </conditionalFormatting>
  <conditionalFormatting sqref="B23">
    <cfRule type="cellIs" dxfId="374" priority="97" operator="lessThan">
      <formula>0</formula>
    </cfRule>
  </conditionalFormatting>
  <conditionalFormatting sqref="A25">
    <cfRule type="cellIs" dxfId="373" priority="96" operator="lessThan">
      <formula>0</formula>
    </cfRule>
  </conditionalFormatting>
  <conditionalFormatting sqref="B25">
    <cfRule type="cellIs" dxfId="372" priority="95" operator="lessThan">
      <formula>0</formula>
    </cfRule>
  </conditionalFormatting>
  <conditionalFormatting sqref="A27">
    <cfRule type="cellIs" dxfId="371" priority="94" operator="lessThan">
      <formula>0</formula>
    </cfRule>
  </conditionalFormatting>
  <conditionalFormatting sqref="B27">
    <cfRule type="cellIs" dxfId="370" priority="93" operator="lessThan">
      <formula>0</formula>
    </cfRule>
  </conditionalFormatting>
  <conditionalFormatting sqref="A29">
    <cfRule type="cellIs" dxfId="369" priority="92" operator="lessThan">
      <formula>0</formula>
    </cfRule>
  </conditionalFormatting>
  <conditionalFormatting sqref="B29">
    <cfRule type="cellIs" dxfId="368" priority="91" operator="lessThan">
      <formula>0</formula>
    </cfRule>
  </conditionalFormatting>
  <conditionalFormatting sqref="A31">
    <cfRule type="cellIs" dxfId="367" priority="90" operator="lessThan">
      <formula>0</formula>
    </cfRule>
  </conditionalFormatting>
  <conditionalFormatting sqref="B31">
    <cfRule type="cellIs" dxfId="366" priority="89" operator="lessThan">
      <formula>0</formula>
    </cfRule>
  </conditionalFormatting>
  <conditionalFormatting sqref="A33">
    <cfRule type="cellIs" dxfId="365" priority="88" operator="lessThan">
      <formula>0</formula>
    </cfRule>
  </conditionalFormatting>
  <conditionalFormatting sqref="B33">
    <cfRule type="cellIs" dxfId="364" priority="87" operator="lessThan">
      <formula>0</formula>
    </cfRule>
  </conditionalFormatting>
  <conditionalFormatting sqref="A35">
    <cfRule type="cellIs" dxfId="363" priority="59" operator="lessThan">
      <formula>0</formula>
    </cfRule>
  </conditionalFormatting>
  <conditionalFormatting sqref="B35">
    <cfRule type="cellIs" dxfId="362" priority="58" operator="lessThan">
      <formula>0</formula>
    </cfRule>
  </conditionalFormatting>
  <conditionalFormatting sqref="A37">
    <cfRule type="cellIs" dxfId="361" priority="57" operator="lessThan">
      <formula>0</formula>
    </cfRule>
  </conditionalFormatting>
  <conditionalFormatting sqref="B37">
    <cfRule type="cellIs" dxfId="360" priority="56" operator="lessThan">
      <formula>0</formula>
    </cfRule>
  </conditionalFormatting>
  <conditionalFormatting sqref="A39">
    <cfRule type="cellIs" dxfId="359" priority="55" operator="lessThan">
      <formula>0</formula>
    </cfRule>
  </conditionalFormatting>
  <conditionalFormatting sqref="B39">
    <cfRule type="cellIs" dxfId="358" priority="54" operator="lessThan">
      <formula>0</formula>
    </cfRule>
  </conditionalFormatting>
  <conditionalFormatting sqref="A41">
    <cfRule type="cellIs" dxfId="357" priority="53" operator="lessThan">
      <formula>0</formula>
    </cfRule>
  </conditionalFormatting>
  <conditionalFormatting sqref="B41">
    <cfRule type="cellIs" dxfId="356" priority="52" operator="lessThan">
      <formula>0</formula>
    </cfRule>
  </conditionalFormatting>
  <conditionalFormatting sqref="A43">
    <cfRule type="cellIs" dxfId="355" priority="51" operator="lessThan">
      <formula>0</formula>
    </cfRule>
  </conditionalFormatting>
  <conditionalFormatting sqref="B43">
    <cfRule type="cellIs" dxfId="354" priority="50" operator="lessThan">
      <formula>0</formula>
    </cfRule>
  </conditionalFormatting>
  <conditionalFormatting sqref="A45">
    <cfRule type="cellIs" dxfId="353" priority="49" operator="lessThan">
      <formula>0</formula>
    </cfRule>
  </conditionalFormatting>
  <conditionalFormatting sqref="B45">
    <cfRule type="cellIs" dxfId="352" priority="48" operator="lessThan">
      <formula>0</formula>
    </cfRule>
  </conditionalFormatting>
  <conditionalFormatting sqref="A47:A48">
    <cfRule type="cellIs" dxfId="351" priority="47" operator="lessThan">
      <formula>0</formula>
    </cfRule>
  </conditionalFormatting>
  <conditionalFormatting sqref="B47:B48">
    <cfRule type="cellIs" dxfId="350" priority="46" operator="lessThan">
      <formula>0</formula>
    </cfRule>
  </conditionalFormatting>
  <conditionalFormatting sqref="A50">
    <cfRule type="cellIs" dxfId="349" priority="45" operator="lessThan">
      <formula>0</formula>
    </cfRule>
  </conditionalFormatting>
  <conditionalFormatting sqref="B50">
    <cfRule type="cellIs" dxfId="348" priority="44" operator="lessThan">
      <formula>0</formula>
    </cfRule>
  </conditionalFormatting>
  <conditionalFormatting sqref="A52">
    <cfRule type="cellIs" dxfId="347" priority="43" operator="lessThan">
      <formula>0</formula>
    </cfRule>
  </conditionalFormatting>
  <conditionalFormatting sqref="B52">
    <cfRule type="cellIs" dxfId="346" priority="42" operator="lessThan">
      <formula>0</formula>
    </cfRule>
  </conditionalFormatting>
  <conditionalFormatting sqref="A54">
    <cfRule type="cellIs" dxfId="345" priority="41" operator="lessThan">
      <formula>0</formula>
    </cfRule>
  </conditionalFormatting>
  <conditionalFormatting sqref="B54">
    <cfRule type="cellIs" dxfId="344" priority="40" operator="lessThan">
      <formula>0</formula>
    </cfRule>
  </conditionalFormatting>
  <conditionalFormatting sqref="A56">
    <cfRule type="cellIs" dxfId="343" priority="39" operator="lessThan">
      <formula>0</formula>
    </cfRule>
  </conditionalFormatting>
  <conditionalFormatting sqref="B56">
    <cfRule type="cellIs" dxfId="342" priority="38" operator="lessThan">
      <formula>0</formula>
    </cfRule>
  </conditionalFormatting>
  <conditionalFormatting sqref="B64:D64 A80:D80 C59:D60 E60:F60">
    <cfRule type="cellIs" dxfId="341" priority="27" operator="lessThan">
      <formula>0</formula>
    </cfRule>
  </conditionalFormatting>
  <conditionalFormatting sqref="G59 D61:E61 A61:B61 A64:A65 D63:E63 B65:C65 A67:B67 A69:B69 A72:B72 A75 A78 A81:B81">
    <cfRule type="cellIs" dxfId="340" priority="26" operator="lessThan">
      <formula>0</formula>
    </cfRule>
  </conditionalFormatting>
  <conditionalFormatting sqref="B75">
    <cfRule type="cellIs" dxfId="339" priority="24" operator="lessThan">
      <formula>0</formula>
    </cfRule>
  </conditionalFormatting>
  <conditionalFormatting sqref="B78">
    <cfRule type="cellIs" dxfId="338" priority="25" operator="lessThan">
      <formula>0</formula>
    </cfRule>
  </conditionalFormatting>
  <conditionalFormatting sqref="G60">
    <cfRule type="cellIs" dxfId="337" priority="23" operator="lessThan">
      <formula>0</formula>
    </cfRule>
  </conditionalFormatting>
  <conditionalFormatting sqref="E78:E79">
    <cfRule type="cellIs" dxfId="336" priority="22" operator="lessThan">
      <formula>0</formula>
    </cfRule>
  </conditionalFormatting>
  <conditionalFormatting sqref="D78:D79">
    <cfRule type="cellIs" dxfId="335" priority="21" operator="lessThan">
      <formula>0</formula>
    </cfRule>
  </conditionalFormatting>
  <conditionalFormatting sqref="C78">
    <cfRule type="cellIs" dxfId="334" priority="20" operator="lessThan">
      <formula>0</formula>
    </cfRule>
  </conditionalFormatting>
  <conditionalFormatting sqref="C61">
    <cfRule type="cellIs" dxfId="333" priority="19" operator="lessThan">
      <formula>0</formula>
    </cfRule>
  </conditionalFormatting>
  <conditionalFormatting sqref="D62:E62">
    <cfRule type="cellIs" dxfId="332" priority="18" operator="lessThan">
      <formula>0</formula>
    </cfRule>
  </conditionalFormatting>
  <conditionalFormatting sqref="D69:E69 D71:E71">
    <cfRule type="cellIs" dxfId="331" priority="17" operator="lessThan">
      <formula>0</formula>
    </cfRule>
  </conditionalFormatting>
  <conditionalFormatting sqref="D70:E70">
    <cfRule type="cellIs" dxfId="330" priority="16" operator="lessThan">
      <formula>0</formula>
    </cfRule>
  </conditionalFormatting>
  <conditionalFormatting sqref="C69">
    <cfRule type="cellIs" dxfId="329" priority="15" operator="lessThan">
      <formula>0</formula>
    </cfRule>
  </conditionalFormatting>
  <conditionalFormatting sqref="D65:E65">
    <cfRule type="cellIs" dxfId="328" priority="14" operator="lessThan">
      <formula>0</formula>
    </cfRule>
  </conditionalFormatting>
  <conditionalFormatting sqref="D66:E66">
    <cfRule type="cellIs" dxfId="327" priority="13" operator="lessThan">
      <formula>0</formula>
    </cfRule>
  </conditionalFormatting>
  <conditionalFormatting sqref="C67">
    <cfRule type="cellIs" dxfId="326" priority="12" operator="lessThan">
      <formula>0</formula>
    </cfRule>
  </conditionalFormatting>
  <conditionalFormatting sqref="D67:E67">
    <cfRule type="cellIs" dxfId="325" priority="11" operator="lessThan">
      <formula>0</formula>
    </cfRule>
  </conditionalFormatting>
  <conditionalFormatting sqref="D68:E68">
    <cfRule type="cellIs" dxfId="324" priority="10" operator="lessThan">
      <formula>0</formula>
    </cfRule>
  </conditionalFormatting>
  <conditionalFormatting sqref="D72:E72 D74:E74">
    <cfRule type="cellIs" dxfId="323" priority="9" operator="lessThan">
      <formula>0</formula>
    </cfRule>
  </conditionalFormatting>
  <conditionalFormatting sqref="D73:E73">
    <cfRule type="cellIs" dxfId="322" priority="8" operator="lessThan">
      <formula>0</formula>
    </cfRule>
  </conditionalFormatting>
  <conditionalFormatting sqref="C72">
    <cfRule type="cellIs" dxfId="321" priority="7" operator="lessThan">
      <formula>0</formula>
    </cfRule>
  </conditionalFormatting>
  <conditionalFormatting sqref="D75:E75 D77:E77">
    <cfRule type="cellIs" dxfId="320" priority="6" operator="lessThan">
      <formula>0</formula>
    </cfRule>
  </conditionalFormatting>
  <conditionalFormatting sqref="D76:E76">
    <cfRule type="cellIs" dxfId="319" priority="5" operator="lessThan">
      <formula>0</formula>
    </cfRule>
  </conditionalFormatting>
  <conditionalFormatting sqref="C75">
    <cfRule type="cellIs" dxfId="318" priority="4" operator="lessThan">
      <formula>0</formula>
    </cfRule>
  </conditionalFormatting>
  <conditionalFormatting sqref="D81:E81">
    <cfRule type="cellIs" dxfId="317" priority="3" operator="lessThan">
      <formula>0</formula>
    </cfRule>
  </conditionalFormatting>
  <conditionalFormatting sqref="D82:E82">
    <cfRule type="cellIs" dxfId="316" priority="2" operator="lessThan">
      <formula>0</formula>
    </cfRule>
  </conditionalFormatting>
  <conditionalFormatting sqref="C81">
    <cfRule type="cellIs" dxfId="315" priority="1" operator="lessThan">
      <formula>0</formula>
    </cfRule>
  </conditionalFormatting>
  <dataValidations count="2">
    <dataValidation type="list" allowBlank="1" showInputMessage="1" showErrorMessage="1" sqref="E12:E56" xr:uid="{73065C01-902E-4268-B18F-9C20877DA428}">
      <formula1>"AUD,USD,CNY"</formula1>
    </dataValidation>
    <dataValidation type="list" allowBlank="1" showInputMessage="1" showErrorMessage="1" sqref="D12:D56" xr:uid="{10B6582A-A692-476F-B097-D390457F671C}">
      <formula1>"LOCAL,OVERSEAS"</formula1>
    </dataValidation>
  </dataValidations>
  <printOptions horizontalCentered="1" gridLines="1"/>
  <pageMargins left="0.45" right="0.45" top="0.75" bottom="0.5" header="0.31496062992126" footer="0.31496062992126"/>
  <pageSetup paperSize="8" scale="64" fitToHeight="0" orientation="portrait" r:id="rId1"/>
  <headerFooter>
    <oddHeader>&amp;C&amp;"-,Bold"&amp;KFF0000- CONFIDENTIAL - INTERNAL USE ONLY -</oddHeader>
    <oddFooter>&amp;LPrinted on: &amp;D&amp;C&amp;F - &amp;A&amp;RPg &amp;P of &amp;N</oddFooter>
  </headerFooter>
  <rowBreaks count="1" manualBreakCount="1">
    <brk id="151" max="7" man="1"/>
  </rowBreaks>
  <colBreaks count="1" manualBreakCount="1">
    <brk id="6" max="174"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5E211-A968-435E-BAC8-FF43A2E96D71}">
  <sheetPr codeName="Sheet12">
    <tabColor rgb="FFFFFF00"/>
    <pageSetUpPr fitToPage="1"/>
  </sheetPr>
  <dimension ref="A1:D27"/>
  <sheetViews>
    <sheetView workbookViewId="0">
      <selection activeCell="D35" sqref="D35"/>
    </sheetView>
  </sheetViews>
  <sheetFormatPr defaultColWidth="9.140625" defaultRowHeight="12.75"/>
  <cols>
    <col min="1" max="1" width="13.85546875" style="56" bestFit="1" customWidth="1"/>
    <col min="2" max="2" width="38.5703125" style="75" customWidth="1"/>
    <col min="3" max="3" width="15.42578125" style="52" bestFit="1" customWidth="1"/>
    <col min="4" max="4" width="41.85546875" style="77" customWidth="1" collapsed="1"/>
    <col min="5" max="5" width="3.140625" style="56" customWidth="1"/>
    <col min="6" max="6" width="52.85546875" style="56" customWidth="1"/>
    <col min="7" max="7" width="9.140625" style="56" customWidth="1"/>
    <col min="8" max="16384" width="9.140625" style="56"/>
  </cols>
  <sheetData>
    <row r="1" spans="1:4">
      <c r="A1" s="50" t="s">
        <v>0</v>
      </c>
      <c r="B1" s="51" t="str">
        <f ca="1">'EXECUTIVE SUMMARY'!B1</f>
        <v>T1112</v>
      </c>
    </row>
    <row r="2" spans="1:4">
      <c r="A2" s="50" t="s">
        <v>3</v>
      </c>
      <c r="B2" s="51" t="str">
        <f ca="1">'EXECUTIVE SUMMARY'!B2</f>
        <v/>
      </c>
    </row>
    <row r="3" spans="1:4" s="55" customFormat="1">
      <c r="A3" s="50" t="s">
        <v>5</v>
      </c>
      <c r="B3" s="51" t="str">
        <f>'EXECUTIVE SUMMARY'!B3</f>
        <v>Lendlease</v>
      </c>
      <c r="C3" s="64"/>
      <c r="D3" s="78"/>
    </row>
    <row r="4" spans="1:4" s="55" customFormat="1">
      <c r="A4" s="50" t="s">
        <v>8</v>
      </c>
      <c r="B4" s="51" t="str">
        <f>'EXECUTIVE SUMMARY'!B4</f>
        <v>BVN</v>
      </c>
      <c r="C4" s="64"/>
      <c r="D4" s="78"/>
    </row>
    <row r="5" spans="1:4" s="55" customFormat="1">
      <c r="B5" s="80"/>
      <c r="C5" s="64"/>
      <c r="D5" s="78"/>
    </row>
    <row r="6" spans="1:4" s="55" customFormat="1">
      <c r="A6" s="50" t="s">
        <v>12</v>
      </c>
      <c r="B6" s="63" t="str">
        <f>'EXECUTIVE SUMMARY'!B6</f>
        <v>Andrew Vatiliotis</v>
      </c>
      <c r="C6" s="64"/>
      <c r="D6" s="78"/>
    </row>
    <row r="7" spans="1:4" s="55" customFormat="1">
      <c r="A7" s="50" t="s">
        <v>14</v>
      </c>
      <c r="B7" s="63">
        <f>'EXECUTIVE SUMMARY'!B7</f>
        <v>0</v>
      </c>
      <c r="C7" s="64"/>
      <c r="D7" s="78"/>
    </row>
    <row r="8" spans="1:4" s="55" customFormat="1">
      <c r="A8" s="50" t="s">
        <v>16</v>
      </c>
      <c r="B8" s="66">
        <f>'EXECUTIVE SUMMARY'!B8</f>
        <v>44838</v>
      </c>
      <c r="C8" s="64"/>
      <c r="D8" s="78"/>
    </row>
    <row r="9" spans="1:4" s="55" customFormat="1">
      <c r="B9" s="80"/>
      <c r="C9" s="64"/>
      <c r="D9" s="78"/>
    </row>
    <row r="10" spans="1:4" s="55" customFormat="1" ht="25.5">
      <c r="A10" s="92" t="s">
        <v>20</v>
      </c>
      <c r="B10" s="68" t="s">
        <v>59</v>
      </c>
      <c r="C10" s="93" t="s">
        <v>294</v>
      </c>
      <c r="D10" s="95" t="s">
        <v>65</v>
      </c>
    </row>
    <row r="11" spans="1:4" s="55" customFormat="1" ht="15">
      <c r="A11" s="107"/>
      <c r="B11" s="108" t="s">
        <v>36</v>
      </c>
      <c r="C11" s="98"/>
      <c r="D11" s="101"/>
    </row>
    <row r="12" spans="1:4" s="55" customFormat="1">
      <c r="A12" s="102" t="s">
        <v>244</v>
      </c>
      <c r="B12" s="103" t="s">
        <v>245</v>
      </c>
      <c r="C12" s="186">
        <v>20000</v>
      </c>
      <c r="D12" s="166" t="s">
        <v>362</v>
      </c>
    </row>
    <row r="13" spans="1:4" s="55" customFormat="1">
      <c r="A13" s="102" t="s">
        <v>246</v>
      </c>
      <c r="B13" s="103" t="s">
        <v>247</v>
      </c>
      <c r="C13" s="186">
        <v>2000</v>
      </c>
      <c r="D13" s="166" t="s">
        <v>363</v>
      </c>
    </row>
    <row r="14" spans="1:4" s="55" customFormat="1">
      <c r="A14" s="102" t="s">
        <v>248</v>
      </c>
      <c r="B14" s="103" t="s">
        <v>249</v>
      </c>
      <c r="C14" s="186">
        <v>5000</v>
      </c>
      <c r="D14" s="166" t="s">
        <v>364</v>
      </c>
    </row>
    <row r="15" spans="1:4" s="55" customFormat="1">
      <c r="A15" s="102" t="s">
        <v>250</v>
      </c>
      <c r="B15" s="103" t="s">
        <v>251</v>
      </c>
      <c r="C15" s="186">
        <v>0</v>
      </c>
      <c r="D15" s="166" t="s">
        <v>364</v>
      </c>
    </row>
    <row r="16" spans="1:4" s="55" customFormat="1">
      <c r="A16" s="102" t="s">
        <v>252</v>
      </c>
      <c r="B16" s="103" t="s">
        <v>253</v>
      </c>
      <c r="C16" s="186">
        <v>0</v>
      </c>
      <c r="D16" s="166" t="s">
        <v>364</v>
      </c>
    </row>
    <row r="17" spans="1:4" s="55" customFormat="1">
      <c r="A17" s="102" t="s">
        <v>254</v>
      </c>
      <c r="B17" s="103" t="s">
        <v>255</v>
      </c>
      <c r="C17" s="186">
        <v>0</v>
      </c>
      <c r="D17" s="166" t="s">
        <v>364</v>
      </c>
    </row>
    <row r="18" spans="1:4">
      <c r="A18" s="102" t="s">
        <v>256</v>
      </c>
      <c r="B18" s="103" t="s">
        <v>257</v>
      </c>
      <c r="C18" s="186">
        <v>0</v>
      </c>
      <c r="D18" s="166" t="s">
        <v>364</v>
      </c>
    </row>
    <row r="19" spans="1:4">
      <c r="A19" s="102" t="s">
        <v>258</v>
      </c>
      <c r="B19" s="103" t="s">
        <v>259</v>
      </c>
      <c r="C19" s="186"/>
      <c r="D19" s="166" t="s">
        <v>364</v>
      </c>
    </row>
    <row r="20" spans="1:4">
      <c r="A20" s="102" t="s">
        <v>260</v>
      </c>
      <c r="B20" s="103" t="s">
        <v>261</v>
      </c>
      <c r="C20" s="186">
        <v>0</v>
      </c>
      <c r="D20" s="166" t="s">
        <v>364</v>
      </c>
    </row>
    <row r="21" spans="1:4">
      <c r="A21" s="102" t="s">
        <v>262</v>
      </c>
      <c r="B21" s="103" t="s">
        <v>263</v>
      </c>
      <c r="C21" s="186">
        <v>0</v>
      </c>
      <c r="D21" s="166" t="s">
        <v>364</v>
      </c>
    </row>
    <row r="22" spans="1:4">
      <c r="A22" s="102" t="s">
        <v>264</v>
      </c>
      <c r="B22" s="103" t="s">
        <v>265</v>
      </c>
      <c r="C22" s="186">
        <v>0</v>
      </c>
      <c r="D22" s="166" t="s">
        <v>364</v>
      </c>
    </row>
    <row r="23" spans="1:4">
      <c r="A23" s="102" t="s">
        <v>266</v>
      </c>
      <c r="B23" s="103" t="s">
        <v>267</v>
      </c>
      <c r="C23" s="186">
        <v>30000</v>
      </c>
      <c r="D23" s="166" t="s">
        <v>365</v>
      </c>
    </row>
    <row r="24" spans="1:4">
      <c r="A24" s="102" t="s">
        <v>268</v>
      </c>
      <c r="B24" s="103" t="s">
        <v>269</v>
      </c>
      <c r="C24" s="186">
        <v>0</v>
      </c>
      <c r="D24" s="166" t="s">
        <v>364</v>
      </c>
    </row>
    <row r="25" spans="1:4">
      <c r="A25" s="102" t="s">
        <v>270</v>
      </c>
      <c r="B25" s="103" t="s">
        <v>271</v>
      </c>
      <c r="C25" s="186">
        <v>3000</v>
      </c>
      <c r="D25" s="166" t="s">
        <v>365</v>
      </c>
    </row>
    <row r="26" spans="1:4">
      <c r="A26" s="102" t="s">
        <v>272</v>
      </c>
      <c r="B26" s="103" t="s">
        <v>273</v>
      </c>
      <c r="C26" s="186">
        <v>0</v>
      </c>
      <c r="D26" s="166" t="s">
        <v>364</v>
      </c>
    </row>
    <row r="27" spans="1:4">
      <c r="A27" s="102" t="s">
        <v>274</v>
      </c>
      <c r="B27" s="103" t="s">
        <v>275</v>
      </c>
      <c r="C27" s="186">
        <v>0</v>
      </c>
      <c r="D27" s="166" t="s">
        <v>364</v>
      </c>
    </row>
  </sheetData>
  <sheetProtection selectLockedCells="1"/>
  <conditionalFormatting sqref="C10:D10">
    <cfRule type="cellIs" dxfId="314" priority="15" operator="lessThan">
      <formula>0</formula>
    </cfRule>
  </conditionalFormatting>
  <conditionalFormatting sqref="C12:C27">
    <cfRule type="cellIs" dxfId="313" priority="14" operator="lessThan">
      <formula>0</formula>
    </cfRule>
  </conditionalFormatting>
  <conditionalFormatting sqref="A12:A27 B12:B13">
    <cfRule type="cellIs" dxfId="312" priority="13" operator="lessThan">
      <formula>0</formula>
    </cfRule>
  </conditionalFormatting>
  <conditionalFormatting sqref="A17">
    <cfRule type="cellIs" dxfId="311" priority="12" operator="lessThan">
      <formula>0</formula>
    </cfRule>
  </conditionalFormatting>
  <conditionalFormatting sqref="A19:A23">
    <cfRule type="cellIs" dxfId="310" priority="11" operator="lessThan">
      <formula>0</formula>
    </cfRule>
  </conditionalFormatting>
  <conditionalFormatting sqref="B19">
    <cfRule type="cellIs" dxfId="309" priority="10" operator="lessThan">
      <formula>0</formula>
    </cfRule>
  </conditionalFormatting>
  <conditionalFormatting sqref="B20:B21">
    <cfRule type="cellIs" dxfId="308" priority="9" operator="lessThan">
      <formula>0</formula>
    </cfRule>
  </conditionalFormatting>
  <conditionalFormatting sqref="B22">
    <cfRule type="cellIs" dxfId="307" priority="8" operator="lessThan">
      <formula>0</formula>
    </cfRule>
  </conditionalFormatting>
  <conditionalFormatting sqref="B23">
    <cfRule type="cellIs" dxfId="306" priority="7" operator="lessThan">
      <formula>0</formula>
    </cfRule>
  </conditionalFormatting>
  <conditionalFormatting sqref="A24:B24">
    <cfRule type="cellIs" dxfId="305" priority="6" operator="lessThan">
      <formula>0</formula>
    </cfRule>
  </conditionalFormatting>
  <conditionalFormatting sqref="B25:B27">
    <cfRule type="cellIs" dxfId="304" priority="4" operator="lessThan">
      <formula>0</formula>
    </cfRule>
  </conditionalFormatting>
  <conditionalFormatting sqref="A25:A27">
    <cfRule type="cellIs" dxfId="303" priority="5" operator="lessThan">
      <formula>0</formula>
    </cfRule>
  </conditionalFormatting>
  <conditionalFormatting sqref="B14:B18">
    <cfRule type="cellIs" dxfId="302" priority="3" operator="lessThan">
      <formula>0</formula>
    </cfRule>
  </conditionalFormatting>
  <conditionalFormatting sqref="C11">
    <cfRule type="cellIs" dxfId="301" priority="2" operator="lessThan">
      <formula>0</formula>
    </cfRule>
  </conditionalFormatting>
  <conditionalFormatting sqref="D11">
    <cfRule type="cellIs" dxfId="300" priority="1" operator="lessThan">
      <formula>0</formula>
    </cfRule>
  </conditionalFormatting>
  <printOptions horizontalCentered="1" gridLines="1"/>
  <pageMargins left="0.45" right="0.45" top="0.75" bottom="0.5" header="0.31496062992126" footer="0.31496062992126"/>
  <pageSetup paperSize="8" fitToHeight="0" orientation="portrait" r:id="rId1"/>
  <headerFooter>
    <oddHeader>&amp;C&amp;"-,Bold"&amp;KFF0000- CONFIDENTIAL - INTERNAL USE ONLY -</oddHeader>
    <oddFooter>&amp;LPrinted on: &amp;D&amp;C&amp;F - &amp;A&amp;RPg &amp;P of &amp;N</oddFooter>
  </headerFooter>
  <colBreaks count="1" manualBreakCount="1">
    <brk id="3" max="152"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FD828-F45C-4630-AED9-1466DCD6883C}">
  <sheetPr codeName="Sheet15"/>
  <dimension ref="A1:O53"/>
  <sheetViews>
    <sheetView workbookViewId="0"/>
  </sheetViews>
  <sheetFormatPr defaultRowHeight="15"/>
  <cols>
    <col min="1" max="1" width="14" bestFit="1" customWidth="1"/>
    <col min="2" max="2" width="40.140625" customWidth="1"/>
    <col min="3" max="3" width="23.42578125" customWidth="1"/>
    <col min="4" max="4" width="8.42578125" style="44" customWidth="1"/>
    <col min="5" max="5" width="12.42578125" customWidth="1"/>
    <col min="6" max="6" width="8.42578125" customWidth="1"/>
    <col min="8" max="8" width="15" customWidth="1"/>
    <col min="9" max="10" width="22.42578125" customWidth="1"/>
    <col min="11" max="11" width="10.85546875" bestFit="1" customWidth="1"/>
    <col min="13" max="13" width="12.42578125" bestFit="1" customWidth="1"/>
    <col min="14" max="14" width="16.7109375" bestFit="1" customWidth="1"/>
    <col min="15" max="15" width="17.5703125" bestFit="1" customWidth="1"/>
    <col min="16" max="16" width="26.85546875" bestFit="1" customWidth="1"/>
  </cols>
  <sheetData>
    <row r="1" spans="1:15">
      <c r="A1" s="50" t="s">
        <v>0</v>
      </c>
      <c r="B1" s="51" t="s">
        <v>366</v>
      </c>
    </row>
    <row r="2" spans="1:15" ht="25.5">
      <c r="A2" s="50" t="s">
        <v>3</v>
      </c>
      <c r="B2" s="51">
        <v>0</v>
      </c>
      <c r="M2" s="234" t="s">
        <v>367</v>
      </c>
      <c r="N2" s="46">
        <v>14953</v>
      </c>
      <c r="O2" s="44"/>
    </row>
    <row r="3" spans="1:15" ht="38.25">
      <c r="A3" s="50" t="s">
        <v>5</v>
      </c>
      <c r="B3" s="51" t="s">
        <v>368</v>
      </c>
      <c r="M3" s="234" t="s">
        <v>369</v>
      </c>
      <c r="N3" s="45">
        <v>0.3</v>
      </c>
      <c r="O3" s="44"/>
    </row>
    <row r="4" spans="1:15">
      <c r="A4" s="50" t="s">
        <v>8</v>
      </c>
      <c r="B4" s="51" t="s">
        <v>9</v>
      </c>
      <c r="N4" s="14"/>
      <c r="O4" s="44"/>
    </row>
    <row r="5" spans="1:15">
      <c r="A5" s="55"/>
      <c r="B5" s="80"/>
      <c r="M5" s="234" t="s">
        <v>370</v>
      </c>
      <c r="N5" s="234" t="s">
        <v>371</v>
      </c>
      <c r="O5" s="234" t="s">
        <v>372</v>
      </c>
    </row>
    <row r="6" spans="1:15" ht="25.5">
      <c r="A6" s="50" t="s">
        <v>12</v>
      </c>
      <c r="B6" s="63" t="s">
        <v>13</v>
      </c>
      <c r="M6" s="234" t="s">
        <v>373</v>
      </c>
      <c r="N6" s="234">
        <v>16</v>
      </c>
      <c r="O6" s="234">
        <v>14</v>
      </c>
    </row>
    <row r="7" spans="1:15" ht="25.5">
      <c r="A7" s="50" t="s">
        <v>14</v>
      </c>
      <c r="B7" s="63">
        <v>0</v>
      </c>
      <c r="M7" s="234" t="s">
        <v>374</v>
      </c>
      <c r="N7" s="235">
        <v>125.02904393749947</v>
      </c>
      <c r="O7" s="235">
        <v>142.89033592857081</v>
      </c>
    </row>
    <row r="8" spans="1:15">
      <c r="A8" s="50" t="s">
        <v>16</v>
      </c>
      <c r="B8" s="66">
        <v>44838</v>
      </c>
      <c r="M8" s="234" t="s">
        <v>375</v>
      </c>
      <c r="N8" s="236">
        <f>N6*N2</f>
        <v>239248</v>
      </c>
      <c r="O8" s="236">
        <f>O6*N2*(1+N3)</f>
        <v>272144.60000000003</v>
      </c>
    </row>
    <row r="10" spans="1:15">
      <c r="A10" s="237" t="s">
        <v>376</v>
      </c>
      <c r="B10" s="238" t="s">
        <v>1</v>
      </c>
      <c r="C10" s="238" t="s">
        <v>377</v>
      </c>
      <c r="D10" s="238" t="s">
        <v>378</v>
      </c>
      <c r="E10" s="238" t="s">
        <v>379</v>
      </c>
      <c r="F10" s="238" t="s">
        <v>380</v>
      </c>
      <c r="G10" s="238" t="s">
        <v>381</v>
      </c>
      <c r="H10" s="238" t="s">
        <v>382</v>
      </c>
      <c r="I10" s="239" t="s">
        <v>65</v>
      </c>
    </row>
    <row r="11" spans="1:15">
      <c r="A11" s="196"/>
      <c r="B11" s="240" t="s">
        <v>383</v>
      </c>
      <c r="C11" s="27"/>
      <c r="D11" s="27"/>
      <c r="E11" s="27"/>
      <c r="F11" s="27"/>
      <c r="G11" s="241"/>
      <c r="H11" s="241" t="str">
        <f>IFERROR(IF(ISBLANK(D11),"",C11*G11),G11)</f>
        <v/>
      </c>
      <c r="I11" s="242"/>
    </row>
    <row r="12" spans="1:15">
      <c r="A12" s="196"/>
      <c r="B12" s="27" t="s">
        <v>384</v>
      </c>
      <c r="C12" s="27">
        <v>75</v>
      </c>
      <c r="D12" s="27" t="s">
        <v>385</v>
      </c>
      <c r="E12" s="27">
        <v>222</v>
      </c>
      <c r="F12" s="27" t="s">
        <v>386</v>
      </c>
      <c r="G12" s="243"/>
      <c r="H12" s="241">
        <f t="shared" ref="H12:H16" si="0">IFERROR(IF(ISBLANK(D12),"",C12*G12),G12)</f>
        <v>0</v>
      </c>
      <c r="I12" s="242"/>
    </row>
    <row r="13" spans="1:15">
      <c r="A13" s="196"/>
      <c r="B13" s="27" t="s">
        <v>387</v>
      </c>
      <c r="C13" s="27">
        <v>28</v>
      </c>
      <c r="D13" s="27" t="s">
        <v>385</v>
      </c>
      <c r="E13" s="27">
        <v>10</v>
      </c>
      <c r="F13" s="27" t="s">
        <v>386</v>
      </c>
      <c r="G13" s="243"/>
      <c r="H13" s="241">
        <f>IFERROR(IF(ISBLANK(D13),"",C13*G13),G13)</f>
        <v>0</v>
      </c>
      <c r="I13" s="242"/>
    </row>
    <row r="14" spans="1:15">
      <c r="A14" s="196"/>
      <c r="B14" s="244" t="s">
        <v>388</v>
      </c>
      <c r="C14" s="244">
        <v>2</v>
      </c>
      <c r="D14" s="244" t="s">
        <v>385</v>
      </c>
      <c r="E14" s="244">
        <v>5</v>
      </c>
      <c r="F14" s="27" t="s">
        <v>386</v>
      </c>
      <c r="G14" s="243"/>
      <c r="H14" s="241">
        <f t="shared" si="0"/>
        <v>0</v>
      </c>
      <c r="I14" s="242"/>
    </row>
    <row r="15" spans="1:15">
      <c r="A15" s="196"/>
      <c r="B15" s="244" t="s">
        <v>389</v>
      </c>
      <c r="C15" s="244">
        <v>2</v>
      </c>
      <c r="D15" s="244" t="s">
        <v>385</v>
      </c>
      <c r="E15" s="244">
        <v>14</v>
      </c>
      <c r="F15" s="27" t="s">
        <v>386</v>
      </c>
      <c r="G15" s="241"/>
      <c r="H15" s="241">
        <f t="shared" si="0"/>
        <v>0</v>
      </c>
      <c r="I15" s="242"/>
    </row>
    <row r="16" spans="1:15">
      <c r="A16" s="196"/>
      <c r="B16" s="244" t="s">
        <v>390</v>
      </c>
      <c r="C16" s="244">
        <v>1</v>
      </c>
      <c r="D16" s="244" t="s">
        <v>385</v>
      </c>
      <c r="E16" s="244">
        <v>32</v>
      </c>
      <c r="F16" s="27" t="s">
        <v>386</v>
      </c>
      <c r="G16" s="241"/>
      <c r="H16" s="241">
        <f t="shared" si="0"/>
        <v>0</v>
      </c>
      <c r="I16" s="242"/>
    </row>
    <row r="17" spans="1:9">
      <c r="A17" s="196"/>
      <c r="B17" s="44" t="s">
        <v>391</v>
      </c>
      <c r="C17" s="27">
        <v>1</v>
      </c>
      <c r="D17" s="27" t="s">
        <v>385</v>
      </c>
      <c r="E17" s="27">
        <v>5</v>
      </c>
      <c r="F17" s="27" t="s">
        <v>386</v>
      </c>
      <c r="G17" s="241"/>
      <c r="H17" s="241">
        <f>IFERROR(IF(ISBLANK(D17),"",C17*G17),G17)</f>
        <v>0</v>
      </c>
      <c r="I17" s="242"/>
    </row>
    <row r="18" spans="1:9" ht="13.5" customHeight="1">
      <c r="A18" s="196"/>
      <c r="B18" s="44" t="s">
        <v>392</v>
      </c>
      <c r="C18" s="27">
        <v>1</v>
      </c>
      <c r="D18" s="27" t="s">
        <v>385</v>
      </c>
      <c r="E18" s="27">
        <v>14</v>
      </c>
      <c r="F18" s="27" t="s">
        <v>386</v>
      </c>
      <c r="G18" s="241"/>
      <c r="H18" s="241">
        <f>IFERROR(IF(ISBLANK(D18),"",C18*G18),G18)</f>
        <v>0</v>
      </c>
      <c r="I18" s="242"/>
    </row>
    <row r="19" spans="1:9">
      <c r="A19" s="196"/>
      <c r="B19" s="44"/>
      <c r="C19" s="27"/>
      <c r="D19" s="27"/>
      <c r="E19" s="27"/>
      <c r="F19" s="27"/>
      <c r="G19" s="241"/>
      <c r="H19" s="241" t="str">
        <f>IFERROR(IF(ISBLANK(D19),"",C19*G19),G19)</f>
        <v/>
      </c>
      <c r="I19" s="242"/>
    </row>
    <row r="20" spans="1:9">
      <c r="A20" s="196"/>
      <c r="B20" s="240" t="s">
        <v>393</v>
      </c>
      <c r="C20" s="27"/>
      <c r="D20" s="27"/>
      <c r="E20" s="27"/>
      <c r="F20" s="27"/>
      <c r="G20" s="241"/>
      <c r="H20" s="241"/>
      <c r="I20" s="242"/>
    </row>
    <row r="21" spans="1:9">
      <c r="A21" s="196"/>
      <c r="B21" s="27" t="s">
        <v>384</v>
      </c>
      <c r="C21" s="27"/>
      <c r="D21" s="27"/>
      <c r="E21" s="27"/>
      <c r="F21" s="27" t="s">
        <v>386</v>
      </c>
      <c r="G21" s="241"/>
      <c r="H21" s="241" t="str">
        <f t="shared" ref="H21:H27" si="1">IFERROR(IF(ISBLANK(D21),"",C21*G21),G21)</f>
        <v/>
      </c>
      <c r="I21" s="242"/>
    </row>
    <row r="22" spans="1:9">
      <c r="A22" s="196"/>
      <c r="B22" s="27" t="s">
        <v>394</v>
      </c>
      <c r="C22" s="27"/>
      <c r="D22" s="27" t="s">
        <v>385</v>
      </c>
      <c r="E22" s="27"/>
      <c r="F22" s="27" t="s">
        <v>386</v>
      </c>
      <c r="G22" s="241"/>
      <c r="H22" s="241">
        <f t="shared" si="1"/>
        <v>0</v>
      </c>
      <c r="I22" s="242"/>
    </row>
    <row r="23" spans="1:9">
      <c r="A23" s="196"/>
      <c r="B23" s="27" t="s">
        <v>395</v>
      </c>
      <c r="C23" s="27"/>
      <c r="D23" s="27"/>
      <c r="E23" s="27"/>
      <c r="F23" s="27" t="s">
        <v>386</v>
      </c>
      <c r="G23" s="241"/>
      <c r="H23" s="241" t="str">
        <f t="shared" si="1"/>
        <v/>
      </c>
      <c r="I23" s="242"/>
    </row>
    <row r="24" spans="1:9">
      <c r="A24" s="196"/>
      <c r="B24" s="240"/>
      <c r="C24" s="27"/>
      <c r="D24" s="27"/>
      <c r="E24" s="27"/>
      <c r="F24" s="27"/>
      <c r="G24" s="241"/>
      <c r="H24" s="241" t="str">
        <f t="shared" si="1"/>
        <v/>
      </c>
      <c r="I24" s="242"/>
    </row>
    <row r="25" spans="1:9">
      <c r="A25" s="196"/>
      <c r="B25" s="240" t="s">
        <v>396</v>
      </c>
      <c r="C25" s="27"/>
      <c r="D25" s="27"/>
      <c r="E25" s="27"/>
      <c r="F25" s="27"/>
      <c r="G25" s="241"/>
      <c r="H25" s="241" t="str">
        <f>IFERROR(IF(ISBLANK(D25),"",C26*G25),G25)</f>
        <v/>
      </c>
      <c r="I25" s="242"/>
    </row>
    <row r="26" spans="1:9">
      <c r="A26" s="196"/>
      <c r="B26" s="27" t="s">
        <v>384</v>
      </c>
      <c r="C26" s="27">
        <v>26</v>
      </c>
      <c r="D26" s="27" t="s">
        <v>385</v>
      </c>
      <c r="E26" s="27">
        <v>117</v>
      </c>
      <c r="F26" s="27" t="s">
        <v>386</v>
      </c>
      <c r="G26" s="241"/>
      <c r="H26" s="241">
        <f>IFERROR(IF(ISBLANK(D26),"",#REF!*G26),G26)</f>
        <v>0</v>
      </c>
      <c r="I26" s="242"/>
    </row>
    <row r="27" spans="1:9">
      <c r="A27" s="196"/>
      <c r="B27" s="27" t="s">
        <v>397</v>
      </c>
      <c r="C27" s="27">
        <v>1</v>
      </c>
      <c r="D27" s="27" t="s">
        <v>385</v>
      </c>
      <c r="E27" s="27">
        <v>5</v>
      </c>
      <c r="F27" s="27" t="s">
        <v>386</v>
      </c>
      <c r="G27" s="241"/>
      <c r="H27" s="241">
        <f t="shared" si="1"/>
        <v>0</v>
      </c>
      <c r="I27" s="242"/>
    </row>
    <row r="28" spans="1:9">
      <c r="A28" s="196"/>
      <c r="B28" s="240"/>
      <c r="C28" s="27"/>
      <c r="D28" s="27"/>
      <c r="E28" s="27"/>
      <c r="F28" s="27"/>
      <c r="G28" s="241"/>
      <c r="H28" s="241"/>
      <c r="I28" s="242"/>
    </row>
    <row r="29" spans="1:9">
      <c r="A29" s="196"/>
      <c r="B29" s="240" t="s">
        <v>398</v>
      </c>
      <c r="C29" s="27"/>
      <c r="D29" s="27"/>
      <c r="E29" s="27"/>
      <c r="F29" s="27"/>
      <c r="G29" s="241"/>
      <c r="H29" s="241" t="str">
        <f>IFERROR(IF(ISBLANK(D29),"",C29*G29),G29)</f>
        <v/>
      </c>
      <c r="I29" s="242"/>
    </row>
    <row r="30" spans="1:9">
      <c r="A30" s="196"/>
      <c r="B30" s="44" t="s">
        <v>399</v>
      </c>
      <c r="C30" s="27">
        <v>60</v>
      </c>
      <c r="D30" s="27" t="s">
        <v>385</v>
      </c>
      <c r="E30" s="27">
        <v>81</v>
      </c>
      <c r="F30" s="27" t="s">
        <v>386</v>
      </c>
      <c r="G30" s="241"/>
      <c r="H30" s="241">
        <f>IFERROR(IF(ISBLANK(D30),"",C30*G30),G30)</f>
        <v>0</v>
      </c>
      <c r="I30" s="242"/>
    </row>
    <row r="31" spans="1:9" ht="45">
      <c r="A31" s="196"/>
      <c r="B31" s="27" t="s">
        <v>400</v>
      </c>
      <c r="C31" s="244">
        <v>36</v>
      </c>
      <c r="D31" s="244" t="s">
        <v>385</v>
      </c>
      <c r="E31" s="244">
        <v>143</v>
      </c>
      <c r="F31" s="27" t="s">
        <v>401</v>
      </c>
      <c r="G31" s="241"/>
      <c r="H31" s="241">
        <f t="shared" ref="H31:H32" si="2">IFERROR(IF(ISBLANK(D31),"",C31*G31),G31)</f>
        <v>0</v>
      </c>
      <c r="I31" s="242"/>
    </row>
    <row r="32" spans="1:9">
      <c r="A32" s="196"/>
      <c r="B32" s="27" t="s">
        <v>402</v>
      </c>
      <c r="C32" s="27">
        <v>7</v>
      </c>
      <c r="D32" s="27" t="s">
        <v>385</v>
      </c>
      <c r="E32" s="27">
        <v>11</v>
      </c>
      <c r="F32" s="27" t="s">
        <v>386</v>
      </c>
      <c r="G32" s="241"/>
      <c r="H32" s="241">
        <f t="shared" si="2"/>
        <v>0</v>
      </c>
      <c r="I32" s="242"/>
    </row>
    <row r="33" spans="1:10">
      <c r="A33" s="196"/>
      <c r="B33" s="27"/>
      <c r="C33" s="27"/>
      <c r="D33" s="27"/>
      <c r="E33" s="27"/>
      <c r="F33" s="27"/>
      <c r="G33" s="241"/>
      <c r="H33" s="241"/>
      <c r="I33" s="242"/>
    </row>
    <row r="34" spans="1:10">
      <c r="A34" s="196"/>
      <c r="B34" s="240" t="s">
        <v>403</v>
      </c>
      <c r="C34" s="27"/>
      <c r="D34" s="27"/>
      <c r="E34" s="27"/>
      <c r="F34" s="27"/>
      <c r="G34" s="241"/>
      <c r="H34" s="241" t="str">
        <f t="shared" ref="H34:H50" si="3">IFERROR(IF(ISBLANK(D34),"",C34*G34),G34)</f>
        <v/>
      </c>
      <c r="I34" s="242"/>
    </row>
    <row r="35" spans="1:10">
      <c r="A35" s="196" t="s">
        <v>129</v>
      </c>
      <c r="B35" s="27" t="s">
        <v>404</v>
      </c>
      <c r="C35" s="27">
        <v>4</v>
      </c>
      <c r="D35" s="27" t="s">
        <v>386</v>
      </c>
      <c r="E35" s="27"/>
      <c r="F35" s="27"/>
      <c r="G35" s="241">
        <v>60</v>
      </c>
      <c r="H35" s="241">
        <f t="shared" si="3"/>
        <v>240</v>
      </c>
      <c r="I35" s="242"/>
    </row>
    <row r="36" spans="1:10">
      <c r="A36" s="196" t="s">
        <v>123</v>
      </c>
      <c r="B36" s="27" t="s">
        <v>405</v>
      </c>
      <c r="C36" s="27">
        <v>3</v>
      </c>
      <c r="D36" s="27" t="s">
        <v>406</v>
      </c>
      <c r="E36" s="27"/>
      <c r="F36" s="27"/>
      <c r="G36" s="241">
        <v>85</v>
      </c>
      <c r="H36" s="241">
        <f t="shared" si="3"/>
        <v>255</v>
      </c>
      <c r="I36" s="242"/>
    </row>
    <row r="37" spans="1:10">
      <c r="A37" s="196" t="s">
        <v>139</v>
      </c>
      <c r="B37" s="27" t="s">
        <v>407</v>
      </c>
      <c r="C37" s="27"/>
      <c r="D37" s="27" t="s">
        <v>406</v>
      </c>
      <c r="E37" s="27"/>
      <c r="F37" s="27"/>
      <c r="G37" s="241">
        <v>5.34</v>
      </c>
      <c r="H37" s="241">
        <f t="shared" si="3"/>
        <v>0</v>
      </c>
      <c r="I37" s="242"/>
    </row>
    <row r="38" spans="1:10">
      <c r="A38" s="196" t="s">
        <v>139</v>
      </c>
      <c r="B38" s="27" t="s">
        <v>408</v>
      </c>
      <c r="C38" s="27"/>
      <c r="D38" s="27" t="s">
        <v>385</v>
      </c>
      <c r="E38" s="27"/>
      <c r="F38" s="27"/>
      <c r="G38" s="241">
        <v>2</v>
      </c>
      <c r="H38" s="241">
        <f t="shared" si="3"/>
        <v>0</v>
      </c>
      <c r="I38" s="242"/>
    </row>
    <row r="39" spans="1:10">
      <c r="A39" s="245" t="s">
        <v>192</v>
      </c>
      <c r="B39" s="27" t="s">
        <v>409</v>
      </c>
      <c r="C39" s="27">
        <v>56</v>
      </c>
      <c r="D39" s="27" t="s">
        <v>406</v>
      </c>
      <c r="E39" s="27"/>
      <c r="F39" s="27"/>
      <c r="G39" s="241">
        <v>25</v>
      </c>
      <c r="H39" s="241">
        <f>IFERROR(IF(ISBLANK(D39),"",C39*G39),G39)</f>
        <v>1400</v>
      </c>
      <c r="I39" s="242"/>
    </row>
    <row r="40" spans="1:10">
      <c r="A40" s="196" t="s">
        <v>131</v>
      </c>
      <c r="B40" s="27" t="s">
        <v>410</v>
      </c>
      <c r="C40" s="27">
        <v>0</v>
      </c>
      <c r="D40" s="27" t="s">
        <v>406</v>
      </c>
      <c r="E40" s="27"/>
      <c r="F40" s="27"/>
      <c r="G40" s="241">
        <v>20</v>
      </c>
      <c r="H40" s="241">
        <f t="shared" si="3"/>
        <v>0</v>
      </c>
      <c r="I40" s="242"/>
    </row>
    <row r="41" spans="1:10">
      <c r="A41" s="196" t="s">
        <v>123</v>
      </c>
      <c r="B41" s="27" t="s">
        <v>411</v>
      </c>
      <c r="C41" s="27">
        <v>0</v>
      </c>
      <c r="D41" s="27" t="s">
        <v>406</v>
      </c>
      <c r="E41" s="27"/>
      <c r="F41" s="27"/>
      <c r="G41" s="241">
        <v>40</v>
      </c>
      <c r="H41" s="241">
        <f t="shared" si="3"/>
        <v>0</v>
      </c>
      <c r="I41" s="242"/>
    </row>
    <row r="42" spans="1:10">
      <c r="A42" s="196" t="s">
        <v>135</v>
      </c>
      <c r="B42" s="27" t="s">
        <v>412</v>
      </c>
      <c r="C42" s="27">
        <v>0</v>
      </c>
      <c r="D42" s="27" t="s">
        <v>406</v>
      </c>
      <c r="E42" s="27"/>
      <c r="F42" s="27"/>
      <c r="G42" s="241">
        <v>50</v>
      </c>
      <c r="H42" s="241">
        <f t="shared" si="3"/>
        <v>0</v>
      </c>
      <c r="I42" s="242"/>
    </row>
    <row r="43" spans="1:10">
      <c r="A43" s="245" t="s">
        <v>147</v>
      </c>
      <c r="B43" s="246" t="s">
        <v>413</v>
      </c>
      <c r="C43" s="246"/>
      <c r="D43" s="246" t="s">
        <v>385</v>
      </c>
      <c r="E43" s="27"/>
      <c r="F43" s="27"/>
      <c r="G43" s="247">
        <v>30</v>
      </c>
      <c r="H43" s="241">
        <f t="shared" si="3"/>
        <v>0</v>
      </c>
      <c r="I43" s="248"/>
    </row>
    <row r="44" spans="1:10">
      <c r="A44" s="196"/>
      <c r="B44" s="246"/>
      <c r="C44" s="246"/>
      <c r="D44" s="246"/>
      <c r="E44" s="246"/>
      <c r="F44" s="246"/>
      <c r="G44" s="247"/>
      <c r="H44" s="241" t="str">
        <f t="shared" si="3"/>
        <v/>
      </c>
      <c r="I44" s="248"/>
      <c r="J44" s="197"/>
    </row>
    <row r="45" spans="1:10">
      <c r="A45" s="245"/>
      <c r="B45" s="246"/>
      <c r="C45" s="246"/>
      <c r="D45" s="246"/>
      <c r="E45" s="246"/>
      <c r="F45" s="246"/>
      <c r="G45" s="247"/>
      <c r="H45" s="241" t="str">
        <f t="shared" si="3"/>
        <v/>
      </c>
      <c r="I45" s="248"/>
    </row>
    <row r="46" spans="1:10">
      <c r="A46" s="245"/>
      <c r="B46" s="246"/>
      <c r="C46" s="246"/>
      <c r="D46" s="246"/>
      <c r="E46" s="246"/>
      <c r="F46" s="246"/>
      <c r="G46" s="247"/>
      <c r="H46" s="241" t="str">
        <f t="shared" si="3"/>
        <v/>
      </c>
      <c r="I46" s="248"/>
    </row>
    <row r="47" spans="1:10">
      <c r="A47" s="245"/>
      <c r="B47" s="246"/>
      <c r="C47" s="246"/>
      <c r="D47" s="246"/>
      <c r="E47" s="246"/>
      <c r="F47" s="246"/>
      <c r="G47" s="247"/>
      <c r="H47" s="241" t="str">
        <f>IFERROR(IF(ISBLANK(D47),"",C47*G47),G47)</f>
        <v/>
      </c>
      <c r="I47" s="248"/>
    </row>
    <row r="48" spans="1:10">
      <c r="A48" s="245"/>
      <c r="B48" s="246"/>
      <c r="C48" s="246"/>
      <c r="D48" s="246"/>
      <c r="E48" s="246"/>
      <c r="F48" s="246"/>
      <c r="G48" s="247"/>
      <c r="H48" s="241" t="str">
        <f t="shared" si="3"/>
        <v/>
      </c>
      <c r="I48" s="248"/>
    </row>
    <row r="49" spans="1:9">
      <c r="A49" s="245"/>
      <c r="B49" s="246"/>
      <c r="C49" s="246"/>
      <c r="D49" s="246"/>
      <c r="E49" s="246"/>
      <c r="F49" s="246"/>
      <c r="G49" s="247"/>
      <c r="H49" s="241" t="str">
        <f t="shared" si="3"/>
        <v/>
      </c>
      <c r="I49" s="248"/>
    </row>
    <row r="50" spans="1:9">
      <c r="A50" s="245"/>
      <c r="B50" s="246"/>
      <c r="C50" s="246"/>
      <c r="D50" s="246"/>
      <c r="E50" s="246"/>
      <c r="F50" s="246"/>
      <c r="G50" s="247"/>
      <c r="H50" s="241" t="str">
        <f t="shared" si="3"/>
        <v/>
      </c>
      <c r="I50" s="248"/>
    </row>
    <row r="51" spans="1:9">
      <c r="G51" s="198" t="s">
        <v>414</v>
      </c>
      <c r="H51" s="199">
        <f>SUBTOTAL(109,BQSUM[TOTAL])</f>
        <v>1895</v>
      </c>
    </row>
    <row r="52" spans="1:9">
      <c r="G52" s="198"/>
      <c r="H52" s="199"/>
    </row>
    <row r="53" spans="1:9">
      <c r="G53" s="198"/>
      <c r="H53" s="199"/>
    </row>
  </sheetData>
  <conditionalFormatting sqref="M2:M3">
    <cfRule type="cellIs" dxfId="299" priority="2" operator="lessThan">
      <formula>0</formula>
    </cfRule>
  </conditionalFormatting>
  <conditionalFormatting sqref="M5:O8">
    <cfRule type="cellIs" dxfId="298" priority="1" operator="lessThan">
      <formula>0</formula>
    </cfRule>
  </conditionalFormatting>
  <conditionalFormatting sqref="A25:B26 D25:H26 A27:H50 A11:H24">
    <cfRule type="expression" dxfId="297" priority="3">
      <formula>$G11="EXCL."</formula>
    </cfRule>
    <cfRule type="expression" dxfId="296" priority="4">
      <formula>$G11="N/A"</formula>
    </cfRule>
    <cfRule type="expression" dxfId="295" priority="5">
      <formula>$G11="INCL."</formula>
    </cfRule>
  </conditionalFormatting>
  <conditionalFormatting sqref="C26">
    <cfRule type="expression" dxfId="294" priority="6">
      <formula>$G25="EXCL."</formula>
    </cfRule>
    <cfRule type="expression" dxfId="293" priority="7">
      <formula>$G25="N/A"</formula>
    </cfRule>
    <cfRule type="expression" dxfId="292" priority="8">
      <formula>$G25="INCL."</formula>
    </cfRule>
  </conditionalFormatting>
  <pageMargins left="0.7" right="0.7" top="0.75" bottom="0.75" header="0.3" footer="0.3"/>
  <pageSetup paperSize="9"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6A222-7938-4446-968A-3FD7B67DAFA2}">
  <sheetPr codeName="Sheet16"/>
  <dimension ref="A1:Y82"/>
  <sheetViews>
    <sheetView tabSelected="1" workbookViewId="0">
      <selection activeCell="E12" sqref="E12:E13"/>
    </sheetView>
  </sheetViews>
  <sheetFormatPr defaultRowHeight="15" outlineLevelCol="1"/>
  <cols>
    <col min="1" max="1" width="7.42578125" bestFit="1" customWidth="1"/>
    <col min="2" max="2" width="7.42578125" customWidth="1"/>
    <col min="3" max="3" width="6.42578125" customWidth="1"/>
    <col min="4" max="4" width="9.85546875" customWidth="1"/>
    <col min="5" max="5" width="46.42578125" style="44" customWidth="1"/>
    <col min="8" max="8" width="10" bestFit="1" customWidth="1"/>
    <col min="10" max="10" width="9.42578125" bestFit="1" customWidth="1"/>
    <col min="11" max="11" width="6.5703125" style="39" bestFit="1" customWidth="1"/>
    <col min="12" max="12" width="15.140625" customWidth="1"/>
    <col min="13" max="13" width="11.5703125" customWidth="1"/>
    <col min="14" max="14" width="7.42578125" customWidth="1"/>
    <col min="15" max="15" width="9.42578125" customWidth="1"/>
    <col min="16" max="16" width="12" customWidth="1" outlineLevel="1"/>
    <col min="17" max="17" width="11.42578125" customWidth="1" outlineLevel="1"/>
    <col min="18" max="18" width="9.42578125" customWidth="1" outlineLevel="1"/>
    <col min="19" max="19" width="13" customWidth="1" outlineLevel="1"/>
    <col min="20" max="20" width="25.140625" customWidth="1"/>
    <col min="21" max="21" width="9.85546875" customWidth="1"/>
    <col min="22" max="22" width="37.5703125" style="44" customWidth="1"/>
    <col min="23" max="23" width="17.5703125" customWidth="1"/>
    <col min="24" max="24" width="33.140625" bestFit="1" customWidth="1"/>
    <col min="25" max="25" width="17.7109375" bestFit="1" customWidth="1"/>
  </cols>
  <sheetData>
    <row r="1" spans="1:25" s="44" customFormat="1" ht="28.9" customHeight="1">
      <c r="A1" s="44" t="s">
        <v>415</v>
      </c>
      <c r="B1" s="44" t="s">
        <v>416</v>
      </c>
      <c r="C1" s="44" t="s">
        <v>417</v>
      </c>
      <c r="D1" s="44" t="s">
        <v>418</v>
      </c>
      <c r="E1" s="44" t="s">
        <v>419</v>
      </c>
      <c r="F1" s="205" t="s">
        <v>420</v>
      </c>
      <c r="G1" s="205" t="s">
        <v>421</v>
      </c>
      <c r="H1" s="205" t="s">
        <v>422</v>
      </c>
      <c r="I1" s="205" t="s">
        <v>423</v>
      </c>
      <c r="J1" s="205" t="s">
        <v>424</v>
      </c>
      <c r="K1" s="215" t="s">
        <v>425</v>
      </c>
      <c r="L1" s="214" t="s">
        <v>414</v>
      </c>
      <c r="M1" s="205" t="s">
        <v>426</v>
      </c>
      <c r="N1" s="205" t="s">
        <v>427</v>
      </c>
      <c r="O1" s="205" t="s">
        <v>428</v>
      </c>
      <c r="P1" s="205" t="s">
        <v>429</v>
      </c>
      <c r="Q1" s="205" t="s">
        <v>430</v>
      </c>
      <c r="R1" s="205" t="s">
        <v>431</v>
      </c>
      <c r="S1" s="205" t="s">
        <v>432</v>
      </c>
      <c r="T1" s="205" t="s">
        <v>433</v>
      </c>
      <c r="U1" s="205" t="s">
        <v>434</v>
      </c>
      <c r="V1" s="44" t="s">
        <v>435</v>
      </c>
    </row>
    <row r="2" spans="1:25">
      <c r="A2" s="209" t="s">
        <v>167</v>
      </c>
      <c r="B2" s="209" t="s">
        <v>574</v>
      </c>
      <c r="C2" s="207" t="s">
        <v>575</v>
      </c>
      <c r="D2" t="s">
        <v>576</v>
      </c>
      <c r="E2" s="27" t="s">
        <v>594</v>
      </c>
      <c r="F2" s="14">
        <v>494</v>
      </c>
      <c r="G2" s="14" t="s">
        <v>577</v>
      </c>
      <c r="H2" s="14">
        <v>108</v>
      </c>
      <c r="I2" s="14">
        <v>127</v>
      </c>
      <c r="J2" s="283">
        <f>'[5]BoQ #1'!$E$3</f>
        <v>420</v>
      </c>
      <c r="K2" s="208" t="s">
        <v>578</v>
      </c>
      <c r="L2" s="216">
        <f>IF([5]!Table4[[#This Row],[Unit]]="/Sqm",[5]!Table4[[#This Row],[Sqm]]*[5]!Table4[[#This Row],[Rate]],IF([5]!Table4[[#This Row],[Unit]]="/Count",[5]!Table4[[#This Row],[Count]]*[5]!Table4[[#This Row],[Rate]],IF([5]!Table4[[#This Row],[Unit]]="/Lm",[5]!Table4[[#This Row],[Lm]]*[5]!Table4[[#This Row],[Rate]],IF([5]!Table4[[#This Row],[Unit]]="/Cbm",[5]!Table4[[#This Row],[Cbm]]*[5]!Table4[[#This Row],[Rate]],0))))</f>
        <v>81480</v>
      </c>
      <c r="M2" s="197">
        <v>200</v>
      </c>
      <c r="N2" s="213" t="s">
        <v>578</v>
      </c>
      <c r="O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38800</v>
      </c>
      <c r="P2" s="211" t="e">
        <f>IF([5]!Table4[[#This Row],[Job Sqm?]]="Yes",SUM('[5]TENDER SUMMARY'!$F$102:$F$111)/SQM*[5]!Table4[[#This Row],[Sqm]],0)</f>
        <v>#REF!</v>
      </c>
      <c r="Q2" s="211" t="e">
        <f>IF([5]!Table4[[#This Row],[Job Sqm?]]="Yes",'[5]EXECUTIVE SUMMARY'!$D$26*[5]!Table4[[#This Row],[Sqm]],0)</f>
        <v>#REF!</v>
      </c>
      <c r="R2" s="211" t="e">
        <f>_xlfn.XLOOKUP([5]!Table4[[#This Row],[Code]],'[5]TENDER SUMMARY'!$A$16:$A$152,'[5]TENDER SUMMARY'!$E$16:$E$152)*([5]!Table4[[#This Row],[Total]]+[5]!Table4[[#This Row],[Install Total]])</f>
        <v>#REF!</v>
      </c>
      <c r="S2" s="211">
        <f>IFERROR([5]!Table4[[#This Row],[Total]]+[5]!Table4[[#This Row],[Install Total]]+[5]!Table4[[#This Row],[Margin Total]]+[5]!Table4[[#This Row],[O/H Total]]+[5]!Table4[[#This Row],[Site Total]],"")</f>
        <v>316427.16927071754</v>
      </c>
      <c r="T2" s="204" t="s">
        <v>579</v>
      </c>
      <c r="U2" s="204">
        <v>4</v>
      </c>
      <c r="V2"/>
      <c r="X2" t="s">
        <v>436</v>
      </c>
      <c r="Y2" t="s">
        <v>437</v>
      </c>
    </row>
    <row r="3" spans="1:25">
      <c r="A3" s="209" t="s">
        <v>186</v>
      </c>
      <c r="B3" s="209" t="s">
        <v>574</v>
      </c>
      <c r="C3" s="207" t="s">
        <v>575</v>
      </c>
      <c r="D3" t="s">
        <v>576</v>
      </c>
      <c r="E3" s="44" t="s">
        <v>595</v>
      </c>
      <c r="F3" s="14">
        <v>6</v>
      </c>
      <c r="G3" s="14" t="s">
        <v>577</v>
      </c>
      <c r="H3" s="14">
        <v>1</v>
      </c>
      <c r="I3" s="14">
        <v>2</v>
      </c>
      <c r="J3" s="210">
        <f>SUM('[5]PRODUCTION &amp; PROCUREMENT'!$C$61:$C$82)/3</f>
        <v>12266.43</v>
      </c>
      <c r="K3" s="208" t="s">
        <v>581</v>
      </c>
      <c r="L3" s="216">
        <f>IF([5]!Table4[[#This Row],[Unit]]="/Sqm",[5]!Table4[[#This Row],[Sqm]]*[5]!Table4[[#This Row],[Rate]],IF([5]!Table4[[#This Row],[Unit]]="/Count",[5]!Table4[[#This Row],[Count]]*[5]!Table4[[#This Row],[Rate]],IF([5]!Table4[[#This Row],[Unit]]="/Lm",[5]!Table4[[#This Row],[Lm]]*[5]!Table4[[#This Row],[Rate]],IF([5]!Table4[[#This Row],[Unit]]="/Cbm",[5]!Table4[[#This Row],[Cbm]]*[5]!Table4[[#This Row],[Rate]],0))))</f>
        <v>100800</v>
      </c>
      <c r="M3" s="227" t="s">
        <v>582</v>
      </c>
      <c r="N3" s="213"/>
      <c r="O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48000</v>
      </c>
      <c r="P3" s="211" t="e">
        <f>IF([5]!Table4[[#This Row],[Job Sqm?]]="Yes",SUM('[5]TENDER SUMMARY'!$F$102:$F$111)/SQM*[5]!Table4[[#This Row],[Sqm]],0)</f>
        <v>#REF!</v>
      </c>
      <c r="Q3" s="211" t="e">
        <f>IF([5]!Table4[[#This Row],[Job Sqm?]]="Yes",'[5]EXECUTIVE SUMMARY'!$D$26*[5]!Table4[[#This Row],[Sqm]],0)</f>
        <v>#REF!</v>
      </c>
      <c r="R3" s="211" t="e">
        <f>_xlfn.XLOOKUP([5]!Table4[[#This Row],[Code]],'[5]TENDER SUMMARY'!$A$16:$A$152,'[5]TENDER SUMMARY'!$E$16:$E$152)*([5]!Table4[[#This Row],[Total]]+[5]!Table4[[#This Row],[Install Total]])</f>
        <v>#REF!</v>
      </c>
      <c r="S3" s="211">
        <f>IFERROR([5]!Table4[[#This Row],[Total]]+[5]!Table4[[#This Row],[Install Total]]+[5]!Table4[[#This Row],[Margin Total]]+[5]!Table4[[#This Row],[O/H Total]]+[5]!Table4[[#This Row],[Site Total]],"")</f>
        <v>391456.2918813001</v>
      </c>
      <c r="T3" s="204" t="s">
        <v>438</v>
      </c>
      <c r="U3" s="204">
        <v>3</v>
      </c>
      <c r="V3"/>
      <c r="X3" s="39" t="s">
        <v>580</v>
      </c>
      <c r="Y3">
        <v>1343.0400000000011</v>
      </c>
    </row>
    <row r="4" spans="1:25">
      <c r="A4" s="209" t="s">
        <v>186</v>
      </c>
      <c r="B4" s="209" t="s">
        <v>574</v>
      </c>
      <c r="C4" s="207" t="s">
        <v>575</v>
      </c>
      <c r="D4" t="s">
        <v>576</v>
      </c>
      <c r="E4" s="44" t="s">
        <v>596</v>
      </c>
      <c r="F4" s="14">
        <v>6</v>
      </c>
      <c r="G4" s="14" t="s">
        <v>577</v>
      </c>
      <c r="H4" s="14">
        <v>1</v>
      </c>
      <c r="I4" s="14">
        <v>2</v>
      </c>
      <c r="J4" s="210">
        <v>380</v>
      </c>
      <c r="K4" s="208" t="s">
        <v>578</v>
      </c>
      <c r="L4" s="216">
        <f>IF([5]!Table4[[#This Row],[Unit]]="/Sqm",[5]!Table4[[#This Row],[Sqm]]*[5]!Table4[[#This Row],[Rate]],IF([5]!Table4[[#This Row],[Unit]]="/Count",[5]!Table4[[#This Row],[Count]]*[5]!Table4[[#This Row],[Rate]],IF([5]!Table4[[#This Row],[Unit]]="/Lm",[5]!Table4[[#This Row],[Lm]]*[5]!Table4[[#This Row],[Rate]],IF([5]!Table4[[#This Row],[Unit]]="/Cbm",[5]!Table4[[#This Row],[Cbm]]*[5]!Table4[[#This Row],[Rate]],0))))</f>
        <v>24532.86</v>
      </c>
      <c r="M4" s="227"/>
      <c r="N4" s="213"/>
      <c r="O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 s="211" t="e">
        <f>IF([5]!Table4[[#This Row],[Job Sqm?]]="Yes",SUM('[5]TENDER SUMMARY'!$F$102:$F$111)/SQM*[5]!Table4[[#This Row],[Sqm]],0)</f>
        <v>#REF!</v>
      </c>
      <c r="Q4" s="211" t="e">
        <f>IF([5]!Table4[[#This Row],[Job Sqm?]]="Yes",'[5]EXECUTIVE SUMMARY'!$D$26*[5]!Table4[[#This Row],[Sqm]],0)</f>
        <v>#REF!</v>
      </c>
      <c r="R4" s="211" t="e">
        <f>_xlfn.XLOOKUP([5]!Table4[[#This Row],[Code]],'[5]TENDER SUMMARY'!$A$16:$A$152,'[5]TENDER SUMMARY'!$E$16:$E$152)*([5]!Table4[[#This Row],[Total]]+[5]!Table4[[#This Row],[Install Total]])</f>
        <v>#REF!</v>
      </c>
      <c r="S4" s="211">
        <f>IFERROR([5]!Table4[[#This Row],[Total]]+[5]!Table4[[#This Row],[Install Total]]+[5]!Table4[[#This Row],[Margin Total]]+[5]!Table4[[#This Row],[O/H Total]]+[5]!Table4[[#This Row],[Site Total]],"")</f>
        <v>40971.314476903754</v>
      </c>
      <c r="T4" s="204" t="s">
        <v>438</v>
      </c>
      <c r="U4" s="204">
        <v>3</v>
      </c>
      <c r="V4"/>
      <c r="X4" s="40" t="s">
        <v>441</v>
      </c>
      <c r="Y4">
        <v>447.36</v>
      </c>
    </row>
    <row r="5" spans="1:25">
      <c r="A5" s="245" t="s">
        <v>147</v>
      </c>
      <c r="B5" s="209" t="s">
        <v>574</v>
      </c>
      <c r="C5" s="207"/>
      <c r="D5" t="s">
        <v>576</v>
      </c>
      <c r="E5" s="246" t="s">
        <v>413</v>
      </c>
      <c r="F5" s="14" t="s">
        <v>577</v>
      </c>
      <c r="G5" s="14" t="s">
        <v>577</v>
      </c>
      <c r="H5" s="14">
        <v>108</v>
      </c>
      <c r="I5" s="14" t="s">
        <v>577</v>
      </c>
      <c r="J5" s="210">
        <v>30</v>
      </c>
      <c r="K5" s="208" t="s">
        <v>581</v>
      </c>
      <c r="L5" s="216">
        <f>IF([5]!Table4[[#This Row],[Unit]]="/Sqm",[5]!Table4[[#This Row],[Sqm]]*[5]!Table4[[#This Row],[Rate]],IF([5]!Table4[[#This Row],[Unit]]="/Count",[5]!Table4[[#This Row],[Count]]*[5]!Table4[[#This Row],[Rate]],IF([5]!Table4[[#This Row],[Unit]]="/Lm",[5]!Table4[[#This Row],[Lm]]*[5]!Table4[[#This Row],[Rate]],IF([5]!Table4[[#This Row],[Unit]]="/Cbm",[5]!Table4[[#This Row],[Cbm]]*[5]!Table4[[#This Row],[Rate]],0))))</f>
        <v>12266.43</v>
      </c>
      <c r="M5" s="197"/>
      <c r="N5" s="213"/>
      <c r="O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 s="211" t="e">
        <f>IF([5]!Table4[[#This Row],[Job Sqm?]]="Yes",SUM('[5]TENDER SUMMARY'!$F$102:$F$111)/SQM*[5]!Table4[[#This Row],[Sqm]],0)</f>
        <v>#REF!</v>
      </c>
      <c r="Q5" s="211" t="e">
        <f>IF([5]!Table4[[#This Row],[Job Sqm?]]="Yes",'[5]EXECUTIVE SUMMARY'!$D$26*[5]!Table4[[#This Row],[Sqm]],0)</f>
        <v>#REF!</v>
      </c>
      <c r="R5" s="211" t="e">
        <f>_xlfn.XLOOKUP([5]!Table4[[#This Row],[Code]],'[5]TENDER SUMMARY'!$A$16:$A$152,'[5]TENDER SUMMARY'!$E$16:$E$152)*([5]!Table4[[#This Row],[Total]]+[5]!Table4[[#This Row],[Install Total]])</f>
        <v>#REF!</v>
      </c>
      <c r="S5" s="211">
        <f>IFERROR([5]!Table4[[#This Row],[Total]]+[5]!Table4[[#This Row],[Install Total]]+[5]!Table4[[#This Row],[Margin Total]]+[5]!Table4[[#This Row],[O/H Total]]+[5]!Table4[[#This Row],[Site Total]],"")</f>
        <v>23762.829761590205</v>
      </c>
      <c r="T5" s="204" t="s">
        <v>438</v>
      </c>
      <c r="U5" s="204">
        <v>3</v>
      </c>
      <c r="V5"/>
      <c r="X5" s="251" t="s">
        <v>440</v>
      </c>
      <c r="Y5">
        <v>447.36</v>
      </c>
    </row>
    <row r="6" spans="1:25">
      <c r="A6" s="196" t="s">
        <v>135</v>
      </c>
      <c r="B6" s="209" t="s">
        <v>574</v>
      </c>
      <c r="C6" s="207"/>
      <c r="D6" t="s">
        <v>576</v>
      </c>
      <c r="E6" t="s">
        <v>584</v>
      </c>
      <c r="F6" s="14"/>
      <c r="G6" s="14"/>
      <c r="H6" s="14" t="s">
        <v>577</v>
      </c>
      <c r="I6" s="14">
        <v>64</v>
      </c>
      <c r="J6" s="210">
        <f>[5]SNIP!$D$28</f>
        <v>1.3103181818181817</v>
      </c>
      <c r="K6" s="208" t="s">
        <v>585</v>
      </c>
      <c r="L6" s="216">
        <f>IF([5]!Table4[[#This Row],[Unit]]="/Sqm",[5]!Table4[[#This Row],[Sqm]]*[5]!Table4[[#This Row],[Rate]],IF([5]!Table4[[#This Row],[Unit]]="/Count",[5]!Table4[[#This Row],[Count]]*[5]!Table4[[#This Row],[Rate]],IF([5]!Table4[[#This Row],[Unit]]="/Lm",[5]!Table4[[#This Row],[Lm]]*[5]!Table4[[#This Row],[Rate]],IF([5]!Table4[[#This Row],[Unit]]="/Cbm",[5]!Table4[[#This Row],[Cbm]]*[5]!Table4[[#This Row],[Rate]],0))))</f>
        <v>1410</v>
      </c>
      <c r="M6" s="197"/>
      <c r="N6" s="223"/>
      <c r="O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 s="211" t="e">
        <f>IF([5]!Table4[[#This Row],[Job Sqm?]]="Yes",SUM('[5]TENDER SUMMARY'!$F$102:$F$111)/SQM*[5]!Table4[[#This Row],[Sqm]],0)</f>
        <v>#REF!</v>
      </c>
      <c r="Q6" s="211" t="e">
        <f>IF([5]!Table4[[#This Row],[Job Sqm?]]="Yes",'[5]EXECUTIVE SUMMARY'!$D$26*[5]!Table4[[#This Row],[Sqm]],0)</f>
        <v>#REF!</v>
      </c>
      <c r="R6" s="211" t="e">
        <f>_xlfn.XLOOKUP([5]!Table4[[#This Row],[Code]],'[5]TENDER SUMMARY'!$A$16:$A$152,'[5]TENDER SUMMARY'!$E$16:$E$152)*([5]!Table4[[#This Row],[Total]]+[5]!Table4[[#This Row],[Install Total]])</f>
        <v>#REF!</v>
      </c>
      <c r="S6" s="211">
        <f>IFERROR([5]!Table4[[#This Row],[Total]]+[5]!Table4[[#This Row],[Install Total]]+[5]!Table4[[#This Row],[Margin Total]]+[5]!Table4[[#This Row],[O/H Total]]+[5]!Table4[[#This Row],[Site Total]],"")</f>
        <v>1692</v>
      </c>
      <c r="T6" s="204"/>
      <c r="U6" s="204">
        <v>3.5</v>
      </c>
      <c r="V6"/>
      <c r="X6" s="40" t="s">
        <v>442</v>
      </c>
      <c r="Y6">
        <v>447.84000000000054</v>
      </c>
    </row>
    <row r="7" spans="1:25">
      <c r="A7" s="196" t="s">
        <v>123</v>
      </c>
      <c r="B7" s="209" t="s">
        <v>574</v>
      </c>
      <c r="C7" s="207"/>
      <c r="D7" t="s">
        <v>576</v>
      </c>
      <c r="E7" s="27" t="s">
        <v>583</v>
      </c>
      <c r="F7" s="14" t="s">
        <v>577</v>
      </c>
      <c r="G7" s="14" t="s">
        <v>577</v>
      </c>
      <c r="H7" s="14">
        <v>216</v>
      </c>
      <c r="I7" s="14" t="s">
        <v>577</v>
      </c>
      <c r="J7" s="210" t="s">
        <v>582</v>
      </c>
      <c r="K7" s="208"/>
      <c r="L7" s="216">
        <f>IF([5]!Table4[[#This Row],[Unit]]="/Sqm",[5]!Table4[[#This Row],[Sqm]]*[5]!Table4[[#This Row],[Rate]],IF([5]!Table4[[#This Row],[Unit]]="/Count",[5]!Table4[[#This Row],[Count]]*[5]!Table4[[#This Row],[Rate]],IF([5]!Table4[[#This Row],[Unit]]="/Lm",[5]!Table4[[#This Row],[Lm]]*[5]!Table4[[#This Row],[Rate]],IF([5]!Table4[[#This Row],[Unit]]="/Cbm",[5]!Table4[[#This Row],[Cbm]]*[5]!Table4[[#This Row],[Rate]],0))))</f>
        <v>0</v>
      </c>
      <c r="M7" s="197"/>
      <c r="N7" s="223"/>
      <c r="O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 s="211" t="e">
        <f>IF([5]!Table4[[#This Row],[Job Sqm?]]="Yes",SUM('[5]TENDER SUMMARY'!$F$102:$F$111)/SQM*[5]!Table4[[#This Row],[Sqm]],0)</f>
        <v>#REF!</v>
      </c>
      <c r="Q7" s="211" t="e">
        <f>IF([5]!Table4[[#This Row],[Job Sqm?]]="Yes",'[5]EXECUTIVE SUMMARY'!$D$26*[5]!Table4[[#This Row],[Sqm]],0)</f>
        <v>#REF!</v>
      </c>
      <c r="R7" s="211" t="e">
        <f>_xlfn.XLOOKUP([5]!Table4[[#This Row],[Code]],'[5]TENDER SUMMARY'!$A$16:$A$152,'[5]TENDER SUMMARY'!$E$16:$E$152)*([5]!Table4[[#This Row],[Total]]+[5]!Table4[[#This Row],[Install Total]])</f>
        <v>#REF!</v>
      </c>
      <c r="S7" s="211">
        <f>IFERROR([5]!Table4[[#This Row],[Total]]+[5]!Table4[[#This Row],[Install Total]]+[5]!Table4[[#This Row],[Margin Total]]+[5]!Table4[[#This Row],[O/H Total]]+[5]!Table4[[#This Row],[Site Total]],"")</f>
        <v>0</v>
      </c>
      <c r="T7" s="204" t="s">
        <v>579</v>
      </c>
      <c r="U7" s="204"/>
      <c r="V7"/>
      <c r="X7" s="251" t="s">
        <v>443</v>
      </c>
      <c r="Y7">
        <v>434.88000000000056</v>
      </c>
    </row>
    <row r="8" spans="1:25">
      <c r="A8" s="196" t="s">
        <v>131</v>
      </c>
      <c r="B8" s="209" t="s">
        <v>574</v>
      </c>
      <c r="C8" s="207"/>
      <c r="D8" t="s">
        <v>576</v>
      </c>
      <c r="E8" s="44" t="s">
        <v>587</v>
      </c>
      <c r="F8" s="14" t="s">
        <v>577</v>
      </c>
      <c r="G8" s="14" t="s">
        <v>577</v>
      </c>
      <c r="H8" s="14" t="s">
        <v>577</v>
      </c>
      <c r="I8" s="14">
        <v>64</v>
      </c>
      <c r="J8" s="210">
        <v>25</v>
      </c>
      <c r="K8" s="208" t="s">
        <v>585</v>
      </c>
      <c r="L8" s="216">
        <f>IF([5]!Table4[[#This Row],[Unit]]="/Sqm",[5]!Table4[[#This Row],[Sqm]]*[5]!Table4[[#This Row],[Rate]],IF([5]!Table4[[#This Row],[Unit]]="/Count",[5]!Table4[[#This Row],[Count]]*[5]!Table4[[#This Row],[Rate]],IF([5]!Table4[[#This Row],[Unit]]="/Lm",[5]!Table4[[#This Row],[Lm]]*[5]!Table4[[#This Row],[Rate]],IF([5]!Table4[[#This Row],[Unit]]="/Cbm",[5]!Table4[[#This Row],[Cbm]]*[5]!Table4[[#This Row],[Rate]],0))))</f>
        <v>73.377818181818171</v>
      </c>
      <c r="M8" s="197"/>
      <c r="N8" s="223"/>
      <c r="O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8" s="211" t="e">
        <f>IF([5]!Table4[[#This Row],[Job Sqm?]]="Yes",SUM('[5]TENDER SUMMARY'!$F$102:$F$111)/SQM*[5]!Table4[[#This Row],[Sqm]],0)</f>
        <v>#REF!</v>
      </c>
      <c r="Q8" s="211" t="e">
        <f>IF([5]!Table4[[#This Row],[Job Sqm?]]="Yes",'[5]EXECUTIVE SUMMARY'!$D$26*[5]!Table4[[#This Row],[Sqm]],0)</f>
        <v>#REF!</v>
      </c>
      <c r="R8" s="211" t="e">
        <f>_xlfn.XLOOKUP([5]!Table4[[#This Row],[Code]],'[5]TENDER SUMMARY'!$A$16:$A$152,'[5]TENDER SUMMARY'!$E$16:$E$152)*([5]!Table4[[#This Row],[Total]]+[5]!Table4[[#This Row],[Install Total]])</f>
        <v>#REF!</v>
      </c>
      <c r="S8" s="211">
        <f>IFERROR([5]!Table4[[#This Row],[Total]]+[5]!Table4[[#This Row],[Install Total]]+[5]!Table4[[#This Row],[Margin Total]]+[5]!Table4[[#This Row],[O/H Total]]+[5]!Table4[[#This Row],[Site Total]],"")</f>
        <v>88.053381818181805</v>
      </c>
      <c r="T8" s="204" t="s">
        <v>438</v>
      </c>
      <c r="U8" s="204">
        <v>3</v>
      </c>
      <c r="V8"/>
      <c r="X8" s="251" t="s">
        <v>586</v>
      </c>
      <c r="Y8">
        <v>12.96</v>
      </c>
    </row>
    <row r="9" spans="1:25">
      <c r="A9" s="209" t="s">
        <v>169</v>
      </c>
      <c r="B9" s="209" t="s">
        <v>574</v>
      </c>
      <c r="C9" s="207" t="s">
        <v>575</v>
      </c>
      <c r="D9" t="s">
        <v>588</v>
      </c>
      <c r="E9" s="27" t="s">
        <v>606</v>
      </c>
      <c r="F9" s="23">
        <v>69</v>
      </c>
      <c r="G9" s="14" t="s">
        <v>577</v>
      </c>
      <c r="H9" s="23">
        <v>30</v>
      </c>
      <c r="I9" s="23">
        <v>36</v>
      </c>
      <c r="J9" s="214">
        <f>'[5]BoQ #1'!$E$6</f>
        <v>350</v>
      </c>
      <c r="K9" s="208" t="s">
        <v>578</v>
      </c>
      <c r="L9" s="216">
        <f>IF([5]!Table4[[#This Row],[Unit]]="/Sqm",[5]!Table4[[#This Row],[Sqm]]*[5]!Table4[[#This Row],[Rate]],IF([5]!Table4[[#This Row],[Unit]]="/Count",[5]!Table4[[#This Row],[Count]]*[5]!Table4[[#This Row],[Rate]],IF([5]!Table4[[#This Row],[Unit]]="/Lm",[5]!Table4[[#This Row],[Lm]]*[5]!Table4[[#This Row],[Rate]],IF([5]!Table4[[#This Row],[Unit]]="/Cbm",[5]!Table4[[#This Row],[Cbm]]*[5]!Table4[[#This Row],[Rate]],0))))</f>
        <v>1400</v>
      </c>
      <c r="M9" s="197">
        <v>200</v>
      </c>
      <c r="N9" s="213" t="s">
        <v>578</v>
      </c>
      <c r="O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9" s="211" t="e">
        <f>IF([5]!Table4[[#This Row],[Job Sqm?]]="Yes",SUM('[5]TENDER SUMMARY'!$F$102:$F$111)/SQM*[5]!Table4[[#This Row],[Sqm]],0)</f>
        <v>#REF!</v>
      </c>
      <c r="Q9" s="211" t="e">
        <f>IF([5]!Table4[[#This Row],[Job Sqm?]]="Yes",'[5]EXECUTIVE SUMMARY'!$D$26*[5]!Table4[[#This Row],[Sqm]],0)</f>
        <v>#REF!</v>
      </c>
      <c r="R9" s="211" t="e">
        <f>_xlfn.XLOOKUP([5]!Table4[[#This Row],[Code]],'[5]TENDER SUMMARY'!$A$16:$A$152,'[5]TENDER SUMMARY'!$E$16:$E$152)*([5]!Table4[[#This Row],[Total]]+[5]!Table4[[#This Row],[Install Total]])</f>
        <v>#REF!</v>
      </c>
      <c r="S9" s="211">
        <f>IFERROR([5]!Table4[[#This Row],[Total]]+[5]!Table4[[#This Row],[Install Total]]+[5]!Table4[[#This Row],[Margin Total]]+[5]!Table4[[#This Row],[O/H Total]]+[5]!Table4[[#This Row],[Site Total]],"")</f>
        <v>1680</v>
      </c>
      <c r="T9" s="204" t="s">
        <v>579</v>
      </c>
      <c r="U9" s="44">
        <v>4</v>
      </c>
      <c r="X9" s="40" t="s">
        <v>439</v>
      </c>
      <c r="Y9">
        <v>447.84000000000043</v>
      </c>
    </row>
    <row r="10" spans="1:25">
      <c r="A10" s="209" t="s">
        <v>171</v>
      </c>
      <c r="B10" s="209" t="s">
        <v>574</v>
      </c>
      <c r="C10" s="207" t="s">
        <v>575</v>
      </c>
      <c r="D10" t="s">
        <v>588</v>
      </c>
      <c r="E10" s="27" t="s">
        <v>607</v>
      </c>
      <c r="F10" s="23">
        <v>3</v>
      </c>
      <c r="G10" s="14" t="s">
        <v>577</v>
      </c>
      <c r="H10" s="23">
        <v>1</v>
      </c>
      <c r="I10" s="23">
        <v>1</v>
      </c>
      <c r="J10" s="210">
        <v>380</v>
      </c>
      <c r="K10" s="208" t="s">
        <v>578</v>
      </c>
      <c r="L10" s="216">
        <f>IF([5]!Table4[[#This Row],[Unit]]="/Sqm",[5]!Table4[[#This Row],[Sqm]]*[5]!Table4[[#This Row],[Rate]],IF([5]!Table4[[#This Row],[Unit]]="/Count",[5]!Table4[[#This Row],[Count]]*[5]!Table4[[#This Row],[Rate]],IF([5]!Table4[[#This Row],[Unit]]="/Lm",[5]!Table4[[#This Row],[Lm]]*[5]!Table4[[#This Row],[Rate]],IF([5]!Table4[[#This Row],[Unit]]="/Cbm",[5]!Table4[[#This Row],[Cbm]]*[5]!Table4[[#This Row],[Rate]],0))))</f>
        <v>0</v>
      </c>
      <c r="M10" s="197">
        <v>200</v>
      </c>
      <c r="N10" s="213" t="s">
        <v>578</v>
      </c>
      <c r="O1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0" s="211" t="e">
        <f>IF([5]!Table4[[#This Row],[Job Sqm?]]="Yes",SUM('[5]TENDER SUMMARY'!$F$102:$F$111)/SQM*[5]!Table4[[#This Row],[Sqm]],0)</f>
        <v>#REF!</v>
      </c>
      <c r="Q10" s="211" t="e">
        <f>IF([5]!Table4[[#This Row],[Job Sqm?]]="Yes",'[5]EXECUTIVE SUMMARY'!$D$26*[5]!Table4[[#This Row],[Sqm]],0)</f>
        <v>#REF!</v>
      </c>
      <c r="R10" s="211" t="e">
        <f>_xlfn.XLOOKUP([5]!Table4[[#This Row],[Code]],'[5]TENDER SUMMARY'!$A$16:$A$152,'[5]TENDER SUMMARY'!$E$16:$E$152)*([5]!Table4[[#This Row],[Total]]+[5]!Table4[[#This Row],[Install Total]])</f>
        <v>#REF!</v>
      </c>
      <c r="S10" s="211">
        <f>IFERROR([5]!Table4[[#This Row],[Total]]+[5]!Table4[[#This Row],[Install Total]]+[5]!Table4[[#This Row],[Margin Total]]+[5]!Table4[[#This Row],[O/H Total]]+[5]!Table4[[#This Row],[Site Total]],"")</f>
        <v>0</v>
      </c>
      <c r="T10" s="204" t="s">
        <v>438</v>
      </c>
      <c r="U10" s="44">
        <v>3</v>
      </c>
      <c r="X10" s="251" t="s">
        <v>443</v>
      </c>
      <c r="Y10">
        <v>143.28000000000009</v>
      </c>
    </row>
    <row r="11" spans="1:25">
      <c r="A11" s="245" t="s">
        <v>192</v>
      </c>
      <c r="B11" s="209" t="s">
        <v>574</v>
      </c>
      <c r="C11" s="206"/>
      <c r="D11" t="s">
        <v>588</v>
      </c>
      <c r="E11" s="44" t="s">
        <v>592</v>
      </c>
      <c r="F11" s="14" t="s">
        <v>577</v>
      </c>
      <c r="G11" s="14" t="s">
        <v>577</v>
      </c>
      <c r="H11" s="14" t="s">
        <v>577</v>
      </c>
      <c r="I11" s="14">
        <v>1</v>
      </c>
      <c r="J11" s="210">
        <v>25</v>
      </c>
      <c r="K11" s="208" t="s">
        <v>585</v>
      </c>
      <c r="L11" s="216">
        <f>IF([5]!Table4[[#This Row],[Unit]]="/Sqm",[5]!Table4[[#This Row],[Sqm]]*[5]!Table4[[#This Row],[Rate]],IF([5]!Table4[[#This Row],[Unit]]="/Count",[5]!Table4[[#This Row],[Count]]*[5]!Table4[[#This Row],[Rate]],IF([5]!Table4[[#This Row],[Unit]]="/Lm",[5]!Table4[[#This Row],[Lm]]*[5]!Table4[[#This Row],[Rate]],IF([5]!Table4[[#This Row],[Unit]]="/Cbm",[5]!Table4[[#This Row],[Cbm]]*[5]!Table4[[#This Row],[Rate]],0))))</f>
        <v>7700</v>
      </c>
      <c r="M11" s="212"/>
      <c r="N11" s="213"/>
      <c r="O1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4400</v>
      </c>
      <c r="P11" s="211" t="e">
        <f>IF([5]!Table4[[#This Row],[Job Sqm?]]="Yes",SUM('[5]TENDER SUMMARY'!$F$102:$F$111)/SQM*[5]!Table4[[#This Row],[Sqm]],0)</f>
        <v>#REF!</v>
      </c>
      <c r="Q11" s="211" t="e">
        <f>IF([5]!Table4[[#This Row],[Job Sqm?]]="Yes",'[5]EXECUTIVE SUMMARY'!$D$26*[5]!Table4[[#This Row],[Sqm]],0)</f>
        <v>#REF!</v>
      </c>
      <c r="R11" s="211" t="e">
        <f>_xlfn.XLOOKUP([5]!Table4[[#This Row],[Code]],'[5]TENDER SUMMARY'!$A$16:$A$152,'[5]TENDER SUMMARY'!$E$16:$E$152)*([5]!Table4[[#This Row],[Total]]+[5]!Table4[[#This Row],[Install Total]])</f>
        <v>#REF!</v>
      </c>
      <c r="S11" s="211">
        <f>IFERROR([5]!Table4[[#This Row],[Total]]+[5]!Table4[[#This Row],[Install Total]]+[5]!Table4[[#This Row],[Margin Total]]+[5]!Table4[[#This Row],[O/H Total]]+[5]!Table4[[#This Row],[Site Total]],"")</f>
        <v>34035.493422452513</v>
      </c>
      <c r="T11" s="204" t="s">
        <v>438</v>
      </c>
      <c r="U11" s="204">
        <v>3</v>
      </c>
      <c r="V11"/>
      <c r="X11" s="251" t="s">
        <v>589</v>
      </c>
      <c r="Y11">
        <v>291.60000000000036</v>
      </c>
    </row>
    <row r="12" spans="1:25">
      <c r="A12" s="196" t="s">
        <v>139</v>
      </c>
      <c r="B12" s="209" t="s">
        <v>574</v>
      </c>
      <c r="C12" s="207"/>
      <c r="D12" t="s">
        <v>588</v>
      </c>
      <c r="E12" s="27" t="s">
        <v>407</v>
      </c>
      <c r="F12" s="14" t="s">
        <v>577</v>
      </c>
      <c r="G12" s="14" t="s">
        <v>577</v>
      </c>
      <c r="H12" s="14" t="s">
        <v>577</v>
      </c>
      <c r="I12" s="14">
        <v>127</v>
      </c>
      <c r="J12" s="219">
        <v>5.34</v>
      </c>
      <c r="K12" s="208" t="s">
        <v>585</v>
      </c>
      <c r="L12" s="216">
        <f>IF([5]!Table4[[#This Row],[Unit]]="/Sqm",[5]!Table4[[#This Row],[Sqm]]*[5]!Table4[[#This Row],[Rate]],IF([5]!Table4[[#This Row],[Unit]]="/Count",[5]!Table4[[#This Row],[Count]]*[5]!Table4[[#This Row],[Rate]],IF([5]!Table4[[#This Row],[Unit]]="/Lm",[5]!Table4[[#This Row],[Lm]]*[5]!Table4[[#This Row],[Rate]],IF([5]!Table4[[#This Row],[Unit]]="/Cbm",[5]!Table4[[#This Row],[Cbm]]*[5]!Table4[[#This Row],[Rate]],0))))</f>
        <v>8400</v>
      </c>
      <c r="M12" s="212"/>
      <c r="N12" s="213"/>
      <c r="O1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4800</v>
      </c>
      <c r="P12" s="211" t="e">
        <f>IF([5]!Table4[[#This Row],[Job Sqm?]]="Yes",SUM('[5]TENDER SUMMARY'!$F$102:$F$111)/SQM*[5]!Table4[[#This Row],[Sqm]],0)</f>
        <v>#REF!</v>
      </c>
      <c r="Q12" s="211" t="e">
        <f>IF([5]!Table4[[#This Row],[Job Sqm?]]="Yes",'[5]EXECUTIVE SUMMARY'!$D$26*[5]!Table4[[#This Row],[Sqm]],0)</f>
        <v>#REF!</v>
      </c>
      <c r="R12" s="211" t="e">
        <f>_xlfn.XLOOKUP([5]!Table4[[#This Row],[Code]],'[5]TENDER SUMMARY'!$A$16:$A$152,'[5]TENDER SUMMARY'!$E$16:$E$152)*([5]!Table4[[#This Row],[Total]]+[5]!Table4[[#This Row],[Install Total]])</f>
        <v>#REF!</v>
      </c>
      <c r="S12" s="211">
        <f>IFERROR([5]!Table4[[#This Row],[Total]]+[5]!Table4[[#This Row],[Install Total]]+[5]!Table4[[#This Row],[Margin Total]]+[5]!Table4[[#This Row],[O/H Total]]+[5]!Table4[[#This Row],[Site Total]],"")</f>
        <v>37129.629188130013</v>
      </c>
      <c r="T12" s="204" t="s">
        <v>438</v>
      </c>
      <c r="U12" s="204">
        <v>3</v>
      </c>
      <c r="V12"/>
      <c r="X12" s="251" t="s">
        <v>590</v>
      </c>
      <c r="Y12">
        <v>12.96</v>
      </c>
    </row>
    <row r="13" spans="1:25">
      <c r="A13" s="196" t="s">
        <v>139</v>
      </c>
      <c r="B13" s="209" t="s">
        <v>574</v>
      </c>
      <c r="C13" s="206"/>
      <c r="D13" t="s">
        <v>588</v>
      </c>
      <c r="E13" s="27" t="s">
        <v>408</v>
      </c>
      <c r="F13" s="14" t="s">
        <v>577</v>
      </c>
      <c r="G13" s="14" t="s">
        <v>577</v>
      </c>
      <c r="H13" s="14">
        <v>293</v>
      </c>
      <c r="I13" s="14" t="s">
        <v>577</v>
      </c>
      <c r="J13" s="219">
        <v>2</v>
      </c>
      <c r="K13" s="208" t="s">
        <v>581</v>
      </c>
      <c r="L13" s="216">
        <f>IF([5]!Table4[[#This Row],[Unit]]="/Sqm",[5]!Table4[[#This Row],[Sqm]]*[5]!Table4[[#This Row],[Rate]],IF([5]!Table4[[#This Row],[Unit]]="/Count",[5]!Table4[[#This Row],[Count]]*[5]!Table4[[#This Row],[Rate]],IF([5]!Table4[[#This Row],[Unit]]="/Lm",[5]!Table4[[#This Row],[Lm]]*[5]!Table4[[#This Row],[Rate]],IF([5]!Table4[[#This Row],[Unit]]="/Cbm",[5]!Table4[[#This Row],[Cbm]]*[5]!Table4[[#This Row],[Rate]],0))))</f>
        <v>1140</v>
      </c>
      <c r="M13" s="212"/>
      <c r="N13" s="213"/>
      <c r="O1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600</v>
      </c>
      <c r="P13" s="211" t="e">
        <f>IF([5]!Table4[[#This Row],[Job Sqm?]]="Yes",SUM('[5]TENDER SUMMARY'!$F$102:$F$111)/SQM*[5]!Table4[[#This Row],[Sqm]],0)</f>
        <v>#REF!</v>
      </c>
      <c r="Q13" s="211" t="e">
        <f>IF([5]!Table4[[#This Row],[Job Sqm?]]="Yes",'[5]EXECUTIVE SUMMARY'!$D$26*[5]!Table4[[#This Row],[Sqm]],0)</f>
        <v>#REF!</v>
      </c>
      <c r="R13" s="211" t="e">
        <f>_xlfn.XLOOKUP([5]!Table4[[#This Row],[Code]],'[5]TENDER SUMMARY'!$A$16:$A$152,'[5]TENDER SUMMARY'!$E$16:$E$152)*([5]!Table4[[#This Row],[Total]]+[5]!Table4[[#This Row],[Install Total]])</f>
        <v>#REF!</v>
      </c>
      <c r="S13" s="211">
        <f>IFERROR([5]!Table4[[#This Row],[Total]]+[5]!Table4[[#This Row],[Install Total]]+[5]!Table4[[#This Row],[Margin Total]]+[5]!Table4[[#This Row],[O/H Total]]+[5]!Table4[[#This Row],[Site Total]],"")</f>
        <v>4749.2036485162516</v>
      </c>
      <c r="T13" s="204" t="s">
        <v>438</v>
      </c>
      <c r="U13" s="204">
        <v>3</v>
      </c>
      <c r="V13"/>
      <c r="X13" s="39" t="s">
        <v>591</v>
      </c>
      <c r="Y13">
        <v>149.06249999999997</v>
      </c>
    </row>
    <row r="14" spans="1:25">
      <c r="B14" s="209"/>
      <c r="C14" s="206"/>
      <c r="F14" s="14"/>
      <c r="G14" s="14"/>
      <c r="H14" s="14"/>
      <c r="I14" s="14"/>
      <c r="J14" s="210"/>
      <c r="K14" s="208"/>
      <c r="L14" s="216">
        <f>IF([5]!Table4[[#This Row],[Unit]]="/Sqm",[5]!Table4[[#This Row],[Sqm]]*[5]!Table4[[#This Row],[Rate]],IF([5]!Table4[[#This Row],[Unit]]="/Count",[5]!Table4[[#This Row],[Count]]*[5]!Table4[[#This Row],[Rate]],IF([5]!Table4[[#This Row],[Unit]]="/Lm",[5]!Table4[[#This Row],[Lm]]*[5]!Table4[[#This Row],[Rate]],IF([5]!Table4[[#This Row],[Unit]]="/Cbm",[5]!Table4[[#This Row],[Cbm]]*[5]!Table4[[#This Row],[Rate]],0))))</f>
        <v>25</v>
      </c>
      <c r="M14" s="212"/>
      <c r="N14" s="213"/>
      <c r="O1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4" s="211" t="e">
        <f>IF([5]!Table4[[#This Row],[Job Sqm?]]="Yes",SUM('[5]TENDER SUMMARY'!$F$102:$F$111)/SQM*[5]!Table4[[#This Row],[Sqm]],0)</f>
        <v>#REF!</v>
      </c>
      <c r="Q14" s="211" t="e">
        <f>IF([5]!Table4[[#This Row],[Job Sqm?]]="Yes",'[5]EXECUTIVE SUMMARY'!$D$26*[5]!Table4[[#This Row],[Sqm]],0)</f>
        <v>#REF!</v>
      </c>
      <c r="R14" s="211" t="e">
        <f>_xlfn.XLOOKUP([5]!Table4[[#This Row],[Code]],'[5]TENDER SUMMARY'!$A$16:$A$152,'[5]TENDER SUMMARY'!$E$16:$E$152)*([5]!Table4[[#This Row],[Total]]+[5]!Table4[[#This Row],[Install Total]])</f>
        <v>#REF!</v>
      </c>
      <c r="S14" s="211">
        <f>IFERROR([5]!Table4[[#This Row],[Total]]+[5]!Table4[[#This Row],[Install Total]]+[5]!Table4[[#This Row],[Margin Total]]+[5]!Table4[[#This Row],[O/H Total]]+[5]!Table4[[#This Row],[Site Total]],"")</f>
        <v>30</v>
      </c>
      <c r="T14" s="204"/>
      <c r="U14" s="204"/>
      <c r="V14"/>
      <c r="X14" s="40" t="s">
        <v>441</v>
      </c>
      <c r="Y14">
        <v>49.687499999999993</v>
      </c>
    </row>
    <row r="15" spans="1:25">
      <c r="B15" s="209"/>
      <c r="C15" s="206"/>
      <c r="F15" s="14"/>
      <c r="G15" s="14"/>
      <c r="H15" s="14"/>
      <c r="I15" s="14"/>
      <c r="J15" s="210"/>
      <c r="K15" s="208"/>
      <c r="L15" s="216">
        <f>IF([5]!Table4[[#This Row],[Unit]]="/Sqm",[5]!Table4[[#This Row],[Sqm]]*[5]!Table4[[#This Row],[Rate]],IF([5]!Table4[[#This Row],[Unit]]="/Count",[5]!Table4[[#This Row],[Count]]*[5]!Table4[[#This Row],[Rate]],IF([5]!Table4[[#This Row],[Unit]]="/Lm",[5]!Table4[[#This Row],[Lm]]*[5]!Table4[[#This Row],[Rate]],IF([5]!Table4[[#This Row],[Unit]]="/Cbm",[5]!Table4[[#This Row],[Cbm]]*[5]!Table4[[#This Row],[Rate]],0))))</f>
        <v>496.62</v>
      </c>
      <c r="M15" s="212"/>
      <c r="N15" s="213"/>
      <c r="O1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5" s="211" t="e">
        <f>IF([5]!Table4[[#This Row],[Job Sqm?]]="Yes",SUM('[5]TENDER SUMMARY'!$F$102:$F$111)/SQM*[5]!Table4[[#This Row],[Sqm]],0)</f>
        <v>#REF!</v>
      </c>
      <c r="Q15" s="211" t="e">
        <f>IF([5]!Table4[[#This Row],[Job Sqm?]]="Yes",'[5]EXECUTIVE SUMMARY'!$D$26*[5]!Table4[[#This Row],[Sqm]],0)</f>
        <v>#REF!</v>
      </c>
      <c r="R15" s="211" t="e">
        <f>_xlfn.XLOOKUP([5]!Table4[[#This Row],[Code]],'[5]TENDER SUMMARY'!$A$16:$A$152,'[5]TENDER SUMMARY'!$E$16:$E$152)*([5]!Table4[[#This Row],[Total]]+[5]!Table4[[#This Row],[Install Total]])</f>
        <v>#REF!</v>
      </c>
      <c r="S15" s="211">
        <f>IFERROR([5]!Table4[[#This Row],[Total]]+[5]!Table4[[#This Row],[Install Total]]+[5]!Table4[[#This Row],[Margin Total]]+[5]!Table4[[#This Row],[O/H Total]]+[5]!Table4[[#This Row],[Site Total]],"")</f>
        <v>595.94399999999996</v>
      </c>
      <c r="T15" s="204"/>
      <c r="U15" s="204"/>
      <c r="V15"/>
      <c r="X15" s="251" t="s">
        <v>440</v>
      </c>
      <c r="Y15">
        <v>49.687499999999993</v>
      </c>
    </row>
    <row r="16" spans="1:25">
      <c r="A16" s="209"/>
      <c r="B16" s="209"/>
      <c r="C16" s="207"/>
      <c r="F16" s="14"/>
      <c r="G16" s="14"/>
      <c r="H16" s="14"/>
      <c r="I16" s="14"/>
      <c r="J16" s="210"/>
      <c r="K16" s="208"/>
      <c r="L16" s="216">
        <f>IF([5]!Table4[[#This Row],[Unit]]="/Sqm",[5]!Table4[[#This Row],[Sqm]]*[5]!Table4[[#This Row],[Rate]],IF([5]!Table4[[#This Row],[Unit]]="/Count",[5]!Table4[[#This Row],[Count]]*[5]!Table4[[#This Row],[Rate]],IF([5]!Table4[[#This Row],[Unit]]="/Lm",[5]!Table4[[#This Row],[Lm]]*[5]!Table4[[#This Row],[Rate]],IF([5]!Table4[[#This Row],[Unit]]="/Cbm",[5]!Table4[[#This Row],[Cbm]]*[5]!Table4[[#This Row],[Rate]],0))))</f>
        <v>448</v>
      </c>
      <c r="M16" s="197"/>
      <c r="N16" s="213"/>
      <c r="O1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6" s="211" t="e">
        <f>IF([5]!Table4[[#This Row],[Job Sqm?]]="Yes",SUM('[5]TENDER SUMMARY'!$F$102:$F$111)/SQM*[5]!Table4[[#This Row],[Sqm]],0)</f>
        <v>#REF!</v>
      </c>
      <c r="Q16" s="211" t="e">
        <f>IF([5]!Table4[[#This Row],[Job Sqm?]]="Yes",'[5]EXECUTIVE SUMMARY'!$D$26*[5]!Table4[[#This Row],[Sqm]],0)</f>
        <v>#REF!</v>
      </c>
      <c r="R16" s="211" t="e">
        <f>_xlfn.XLOOKUP([5]!Table4[[#This Row],[Code]],'[5]TENDER SUMMARY'!$A$16:$A$152,'[5]TENDER SUMMARY'!$E$16:$E$152)*([5]!Table4[[#This Row],[Total]]+[5]!Table4[[#This Row],[Install Total]])</f>
        <v>#REF!</v>
      </c>
      <c r="S16" s="211">
        <f>IFERROR([5]!Table4[[#This Row],[Total]]+[5]!Table4[[#This Row],[Install Total]]+[5]!Table4[[#This Row],[Margin Total]]+[5]!Table4[[#This Row],[O/H Total]]+[5]!Table4[[#This Row],[Site Total]],"")</f>
        <v>537.6</v>
      </c>
      <c r="T16" s="204"/>
      <c r="U16" s="204"/>
      <c r="V16"/>
      <c r="X16" s="40" t="s">
        <v>442</v>
      </c>
      <c r="Y16">
        <v>49.687499999999986</v>
      </c>
    </row>
    <row r="17" spans="1:25">
      <c r="A17" s="209"/>
      <c r="B17" s="209"/>
      <c r="C17" s="207"/>
      <c r="F17" s="14"/>
      <c r="G17" s="14"/>
      <c r="H17" s="14"/>
      <c r="I17" s="14"/>
      <c r="J17" s="210"/>
      <c r="K17" s="208"/>
      <c r="L17" s="216">
        <f>IF([5]!Table4[[#This Row],[Unit]]="/Sqm",[5]!Table4[[#This Row],[Sqm]]*[5]!Table4[[#This Row],[Rate]],IF([5]!Table4[[#This Row],[Unit]]="/Count",[5]!Table4[[#This Row],[Count]]*[5]!Table4[[#This Row],[Rate]],IF([5]!Table4[[#This Row],[Unit]]="/Lm",[5]!Table4[[#This Row],[Lm]]*[5]!Table4[[#This Row],[Rate]],IF([5]!Table4[[#This Row],[Unit]]="/Cbm",[5]!Table4[[#This Row],[Cbm]]*[5]!Table4[[#This Row],[Rate]],0))))</f>
        <v>0</v>
      </c>
      <c r="M17" s="212"/>
      <c r="N17" s="213"/>
      <c r="O1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7" s="211" t="e">
        <f>IF([5]!Table4[[#This Row],[Job Sqm?]]="Yes",SUM('[5]TENDER SUMMARY'!$F$102:$F$111)/SQM*[5]!Table4[[#This Row],[Sqm]],0)</f>
        <v>#REF!</v>
      </c>
      <c r="Q17" s="211" t="e">
        <f>IF([5]!Table4[[#This Row],[Job Sqm?]]="Yes",'[5]EXECUTIVE SUMMARY'!$D$26*[5]!Table4[[#This Row],[Sqm]],0)</f>
        <v>#REF!</v>
      </c>
      <c r="R17" s="211" t="e">
        <f>_xlfn.XLOOKUP([5]!Table4[[#This Row],[Code]],'[5]TENDER SUMMARY'!$A$16:$A$152,'[5]TENDER SUMMARY'!$E$16:$E$152)*([5]!Table4[[#This Row],[Total]]+[5]!Table4[[#This Row],[Install Total]])</f>
        <v>#REF!</v>
      </c>
      <c r="S17" s="211">
        <f>IFERROR([5]!Table4[[#This Row],[Total]]+[5]!Table4[[#This Row],[Install Total]]+[5]!Table4[[#This Row],[Margin Total]]+[5]!Table4[[#This Row],[O/H Total]]+[5]!Table4[[#This Row],[Site Total]],"")</f>
        <v>0</v>
      </c>
      <c r="T17" s="204"/>
      <c r="U17" s="44"/>
      <c r="X17" s="251" t="s">
        <v>443</v>
      </c>
      <c r="Y17">
        <v>46.919999999999987</v>
      </c>
    </row>
    <row r="18" spans="1:25">
      <c r="B18" s="209"/>
      <c r="C18" s="207"/>
      <c r="F18" s="14"/>
      <c r="G18" s="14"/>
      <c r="H18" s="14"/>
      <c r="I18" s="14"/>
      <c r="J18" s="210"/>
      <c r="K18" s="208"/>
      <c r="L18" s="216">
        <f>IF([5]!Table4[[#This Row],[Unit]]="/Sqm",[5]!Table4[[#This Row],[Sqm]]*[5]!Table4[[#This Row],[Rate]],IF([5]!Table4[[#This Row],[Unit]]="/Count",[5]!Table4[[#This Row],[Count]]*[5]!Table4[[#This Row],[Rate]],IF([5]!Table4[[#This Row],[Unit]]="/Lm",[5]!Table4[[#This Row],[Lm]]*[5]!Table4[[#This Row],[Rate]],IF([5]!Table4[[#This Row],[Unit]]="/Cbm",[5]!Table4[[#This Row],[Cbm]]*[5]!Table4[[#This Row],[Rate]],0))))</f>
        <v>0</v>
      </c>
      <c r="M18" s="212"/>
      <c r="N18" s="213"/>
      <c r="O1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8" s="211" t="e">
        <f>IF([5]!Table4[[#This Row],[Job Sqm?]]="Yes",SUM('[5]TENDER SUMMARY'!$F$102:$F$111)/SQM*[5]!Table4[[#This Row],[Sqm]],0)</f>
        <v>#REF!</v>
      </c>
      <c r="Q18" s="211" t="e">
        <f>IF([5]!Table4[[#This Row],[Job Sqm?]]="Yes",'[5]EXECUTIVE SUMMARY'!$D$26*[5]!Table4[[#This Row],[Sqm]],0)</f>
        <v>#REF!</v>
      </c>
      <c r="R18" s="211" t="e">
        <f>_xlfn.XLOOKUP([5]!Table4[[#This Row],[Code]],'[5]TENDER SUMMARY'!$A$16:$A$152,'[5]TENDER SUMMARY'!$E$16:$E$152)*([5]!Table4[[#This Row],[Total]]+[5]!Table4[[#This Row],[Install Total]])</f>
        <v>#REF!</v>
      </c>
      <c r="S18" s="211">
        <f>IFERROR([5]!Table4[[#This Row],[Total]]+[5]!Table4[[#This Row],[Install Total]]+[5]!Table4[[#This Row],[Margin Total]]+[5]!Table4[[#This Row],[O/H Total]]+[5]!Table4[[#This Row],[Site Total]],"")</f>
        <v>0</v>
      </c>
      <c r="T18" s="204"/>
      <c r="U18" s="204"/>
      <c r="V18"/>
      <c r="X18" s="251" t="s">
        <v>593</v>
      </c>
      <c r="Y18">
        <v>2.7675000000000001</v>
      </c>
    </row>
    <row r="19" spans="1:25">
      <c r="B19" s="209"/>
      <c r="C19" s="207"/>
      <c r="F19" s="14"/>
      <c r="G19" s="14"/>
      <c r="H19" s="14"/>
      <c r="I19" s="14"/>
      <c r="J19" s="210"/>
      <c r="K19" s="208"/>
      <c r="L19" s="216">
        <f>IF([5]!Table4[[#This Row],[Unit]]="/Sqm",[5]!Table4[[#This Row],[Sqm]]*[5]!Table4[[#This Row],[Rate]],IF([5]!Table4[[#This Row],[Unit]]="/Count",[5]!Table4[[#This Row],[Count]]*[5]!Table4[[#This Row],[Rate]],IF([5]!Table4[[#This Row],[Unit]]="/Lm",[5]!Table4[[#This Row],[Lm]]*[5]!Table4[[#This Row],[Rate]],IF([5]!Table4[[#This Row],[Unit]]="/Cbm",[5]!Table4[[#This Row],[Cbm]]*[5]!Table4[[#This Row],[Rate]],0))))</f>
        <v>0</v>
      </c>
      <c r="M19" s="212"/>
      <c r="N19" s="213"/>
      <c r="O1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19" s="211" t="e">
        <f>IF([5]!Table4[[#This Row],[Job Sqm?]]="Yes",SUM('[5]TENDER SUMMARY'!$F$102:$F$111)/SQM*[5]!Table4[[#This Row],[Sqm]],0)</f>
        <v>#REF!</v>
      </c>
      <c r="Q19" s="211" t="e">
        <f>IF([5]!Table4[[#This Row],[Job Sqm?]]="Yes",'[5]EXECUTIVE SUMMARY'!$D$26*[5]!Table4[[#This Row],[Sqm]],0)</f>
        <v>#REF!</v>
      </c>
      <c r="R19" s="211" t="e">
        <f>_xlfn.XLOOKUP([5]!Table4[[#This Row],[Code]],'[5]TENDER SUMMARY'!$A$16:$A$152,'[5]TENDER SUMMARY'!$E$16:$E$152)*([5]!Table4[[#This Row],[Total]]+[5]!Table4[[#This Row],[Install Total]])</f>
        <v>#REF!</v>
      </c>
      <c r="S19" s="211">
        <f>IFERROR([5]!Table4[[#This Row],[Total]]+[5]!Table4[[#This Row],[Install Total]]+[5]!Table4[[#This Row],[Margin Total]]+[5]!Table4[[#This Row],[O/H Total]]+[5]!Table4[[#This Row],[Site Total]],"")</f>
        <v>0</v>
      </c>
      <c r="T19" s="204"/>
      <c r="U19" s="204"/>
      <c r="V19"/>
      <c r="X19" s="40" t="s">
        <v>439</v>
      </c>
      <c r="Y19">
        <v>49.687499999999986</v>
      </c>
    </row>
    <row r="20" spans="1:25">
      <c r="B20" s="209"/>
      <c r="C20" s="207"/>
      <c r="F20" s="14"/>
      <c r="G20" s="14"/>
      <c r="H20" s="14"/>
      <c r="I20" s="14"/>
      <c r="J20" s="210"/>
      <c r="K20" s="208"/>
      <c r="L20" s="216">
        <f>IF([5]!Table4[[#This Row],[Unit]]="/Sqm",[5]!Table4[[#This Row],[Sqm]]*[5]!Table4[[#This Row],[Rate]],IF([5]!Table4[[#This Row],[Unit]]="/Count",[5]!Table4[[#This Row],[Count]]*[5]!Table4[[#This Row],[Rate]],IF([5]!Table4[[#This Row],[Unit]]="/Lm",[5]!Table4[[#This Row],[Lm]]*[5]!Table4[[#This Row],[Rate]],IF([5]!Table4[[#This Row],[Unit]]="/Cbm",[5]!Table4[[#This Row],[Cbm]]*[5]!Table4[[#This Row],[Rate]],0))))</f>
        <v>0</v>
      </c>
      <c r="M20" s="212"/>
      <c r="N20" s="213"/>
      <c r="O2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0" s="211" t="e">
        <f>IF([5]!Table4[[#This Row],[Job Sqm?]]="Yes",SUM('[5]TENDER SUMMARY'!$F$102:$F$111)/SQM*[5]!Table4[[#This Row],[Sqm]],0)</f>
        <v>#REF!</v>
      </c>
      <c r="Q20" s="211" t="e">
        <f>IF([5]!Table4[[#This Row],[Job Sqm?]]="Yes",'[5]EXECUTIVE SUMMARY'!$D$26*[5]!Table4[[#This Row],[Sqm]],0)</f>
        <v>#REF!</v>
      </c>
      <c r="R20" s="211" t="e">
        <f>_xlfn.XLOOKUP([5]!Table4[[#This Row],[Code]],'[5]TENDER SUMMARY'!$A$16:$A$152,'[5]TENDER SUMMARY'!$E$16:$E$152)*([5]!Table4[[#This Row],[Total]]+[5]!Table4[[#This Row],[Install Total]])</f>
        <v>#REF!</v>
      </c>
      <c r="S20" s="211">
        <f>IFERROR([5]!Table4[[#This Row],[Total]]+[5]!Table4[[#This Row],[Install Total]]+[5]!Table4[[#This Row],[Margin Total]]+[5]!Table4[[#This Row],[O/H Total]]+[5]!Table4[[#This Row],[Site Total]],"")</f>
        <v>0</v>
      </c>
      <c r="T20" s="204"/>
      <c r="U20" s="204"/>
      <c r="V20"/>
      <c r="X20" s="251" t="s">
        <v>443</v>
      </c>
      <c r="Y20">
        <v>46.919999999999987</v>
      </c>
    </row>
    <row r="21" spans="1:25">
      <c r="B21" s="209"/>
      <c r="C21" s="206"/>
      <c r="F21" s="14"/>
      <c r="G21" s="14"/>
      <c r="H21" s="14"/>
      <c r="I21" s="14"/>
      <c r="J21" s="210"/>
      <c r="K21" s="208"/>
      <c r="L21" s="216">
        <f>IF([5]!Table4[[#This Row],[Unit]]="/Sqm",[5]!Table4[[#This Row],[Sqm]]*[5]!Table4[[#This Row],[Rate]],IF([5]!Table4[[#This Row],[Unit]]="/Count",[5]!Table4[[#This Row],[Count]]*[5]!Table4[[#This Row],[Rate]],IF([5]!Table4[[#This Row],[Unit]]="/Lm",[5]!Table4[[#This Row],[Lm]]*[5]!Table4[[#This Row],[Rate]],IF([5]!Table4[[#This Row],[Unit]]="/Cbm",[5]!Table4[[#This Row],[Cbm]]*[5]!Table4[[#This Row],[Rate]],0))))</f>
        <v>0</v>
      </c>
      <c r="M21" s="212"/>
      <c r="N21" s="213"/>
      <c r="O2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1" s="211" t="e">
        <f>IF([5]!Table4[[#This Row],[Job Sqm?]]="Yes",SUM('[5]TENDER SUMMARY'!$F$102:$F$111)/SQM*[5]!Table4[[#This Row],[Sqm]],0)</f>
        <v>#REF!</v>
      </c>
      <c r="Q21" s="211" t="e">
        <f>IF([5]!Table4[[#This Row],[Job Sqm?]]="Yes",'[5]EXECUTIVE SUMMARY'!$D$26*[5]!Table4[[#This Row],[Sqm]],0)</f>
        <v>#REF!</v>
      </c>
      <c r="R21" s="211" t="e">
        <f>_xlfn.XLOOKUP([5]!Table4[[#This Row],[Code]],'[5]TENDER SUMMARY'!$A$16:$A$152,'[5]TENDER SUMMARY'!$E$16:$E$152)*([5]!Table4[[#This Row],[Total]]+[5]!Table4[[#This Row],[Install Total]])</f>
        <v>#REF!</v>
      </c>
      <c r="S21" s="211">
        <f>IFERROR([5]!Table4[[#This Row],[Total]]+[5]!Table4[[#This Row],[Install Total]]+[5]!Table4[[#This Row],[Margin Total]]+[5]!Table4[[#This Row],[O/H Total]]+[5]!Table4[[#This Row],[Site Total]],"")</f>
        <v>0</v>
      </c>
      <c r="T21" s="204"/>
      <c r="U21" s="204"/>
      <c r="V21"/>
      <c r="X21" s="251" t="s">
        <v>593</v>
      </c>
      <c r="Y21">
        <v>2.7675000000000001</v>
      </c>
    </row>
    <row r="22" spans="1:25">
      <c r="B22" s="209"/>
      <c r="C22" s="206"/>
      <c r="F22" s="14"/>
      <c r="G22" s="14"/>
      <c r="H22" s="14"/>
      <c r="I22" s="14"/>
      <c r="J22" s="210"/>
      <c r="K22" s="208"/>
      <c r="L22" s="216">
        <f>IF([5]!Table4[[#This Row],[Unit]]="/Sqm",[5]!Table4[[#This Row],[Sqm]]*[5]!Table4[[#This Row],[Rate]],IF([5]!Table4[[#This Row],[Unit]]="/Count",[5]!Table4[[#This Row],[Count]]*[5]!Table4[[#This Row],[Rate]],IF([5]!Table4[[#This Row],[Unit]]="/Lm",[5]!Table4[[#This Row],[Lm]]*[5]!Table4[[#This Row],[Rate]],IF([5]!Table4[[#This Row],[Unit]]="/Cbm",[5]!Table4[[#This Row],[Cbm]]*[5]!Table4[[#This Row],[Rate]],0))))</f>
        <v>0</v>
      </c>
      <c r="M22" s="212"/>
      <c r="N22" s="213"/>
      <c r="O2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2" s="211" t="e">
        <f>IF([5]!Table4[[#This Row],[Job Sqm?]]="Yes",SUM('[5]TENDER SUMMARY'!$F$102:$F$111)/SQM*[5]!Table4[[#This Row],[Sqm]],0)</f>
        <v>#REF!</v>
      </c>
      <c r="Q22" s="211" t="e">
        <f>IF([5]!Table4[[#This Row],[Job Sqm?]]="Yes",'[5]EXECUTIVE SUMMARY'!$D$26*[5]!Table4[[#This Row],[Sqm]],0)</f>
        <v>#REF!</v>
      </c>
      <c r="R22" s="211" t="e">
        <f>_xlfn.XLOOKUP([5]!Table4[[#This Row],[Code]],'[5]TENDER SUMMARY'!$A$16:$A$152,'[5]TENDER SUMMARY'!$E$16:$E$152)*([5]!Table4[[#This Row],[Total]]+[5]!Table4[[#This Row],[Install Total]])</f>
        <v>#REF!</v>
      </c>
      <c r="S22" s="211">
        <f>IFERROR([5]!Table4[[#This Row],[Total]]+[5]!Table4[[#This Row],[Install Total]]+[5]!Table4[[#This Row],[Margin Total]]+[5]!Table4[[#This Row],[O/H Total]]+[5]!Table4[[#This Row],[Site Total]],"")</f>
        <v>0</v>
      </c>
      <c r="T22" s="204"/>
      <c r="U22" s="204"/>
      <c r="V22"/>
      <c r="X22" s="39" t="s">
        <v>440</v>
      </c>
      <c r="Y22">
        <v>0</v>
      </c>
    </row>
    <row r="23" spans="1:25">
      <c r="B23" s="209"/>
      <c r="C23" s="207"/>
      <c r="F23" s="14"/>
      <c r="G23" s="14"/>
      <c r="H23" s="14"/>
      <c r="I23" s="14"/>
      <c r="J23" s="210"/>
      <c r="K23" s="208"/>
      <c r="L23" s="216">
        <f>IF([5]!Table4[[#This Row],[Unit]]="/Sqm",[5]!Table4[[#This Row],[Sqm]]*[5]!Table4[[#This Row],[Rate]],IF([5]!Table4[[#This Row],[Unit]]="/Count",[5]!Table4[[#This Row],[Count]]*[5]!Table4[[#This Row],[Rate]],IF([5]!Table4[[#This Row],[Unit]]="/Lm",[5]!Table4[[#This Row],[Lm]]*[5]!Table4[[#This Row],[Rate]],IF([5]!Table4[[#This Row],[Unit]]="/Cbm",[5]!Table4[[#This Row],[Cbm]]*[5]!Table4[[#This Row],[Rate]],0))))</f>
        <v>0</v>
      </c>
      <c r="M23" s="212"/>
      <c r="N23" s="213"/>
      <c r="O2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3" s="211" t="e">
        <f>IF([5]!Table4[[#This Row],[Job Sqm?]]="Yes",SUM('[5]TENDER SUMMARY'!$F$102:$F$111)/SQM*[5]!Table4[[#This Row],[Sqm]],0)</f>
        <v>#REF!</v>
      </c>
      <c r="Q23" s="211" t="e">
        <f>IF([5]!Table4[[#This Row],[Job Sqm?]]="Yes",'[5]EXECUTIVE SUMMARY'!$D$26*[5]!Table4[[#This Row],[Sqm]],0)</f>
        <v>#REF!</v>
      </c>
      <c r="R23" s="211" t="e">
        <f>_xlfn.XLOOKUP([5]!Table4[[#This Row],[Code]],'[5]TENDER SUMMARY'!$A$16:$A$152,'[5]TENDER SUMMARY'!$E$16:$E$152)*([5]!Table4[[#This Row],[Total]]+[5]!Table4[[#This Row],[Install Total]])</f>
        <v>#REF!</v>
      </c>
      <c r="S23" s="211">
        <f>IFERROR([5]!Table4[[#This Row],[Total]]+[5]!Table4[[#This Row],[Install Total]]+[5]!Table4[[#This Row],[Margin Total]]+[5]!Table4[[#This Row],[O/H Total]]+[5]!Table4[[#This Row],[Site Total]],"")</f>
        <v>0</v>
      </c>
      <c r="T23" s="204"/>
      <c r="U23" s="204"/>
      <c r="V23"/>
      <c r="X23" s="40" t="s">
        <v>440</v>
      </c>
      <c r="Y23">
        <v>0</v>
      </c>
    </row>
    <row r="24" spans="1:25">
      <c r="B24" s="209"/>
      <c r="C24" s="206"/>
      <c r="F24" s="14"/>
      <c r="G24" s="14"/>
      <c r="H24" s="14"/>
      <c r="I24" s="14"/>
      <c r="J24" s="210"/>
      <c r="K24" s="208"/>
      <c r="L24" s="216">
        <f>IF([5]!Table4[[#This Row],[Unit]]="/Sqm",[5]!Table4[[#This Row],[Sqm]]*[5]!Table4[[#This Row],[Rate]],IF([5]!Table4[[#This Row],[Unit]]="/Count",[5]!Table4[[#This Row],[Count]]*[5]!Table4[[#This Row],[Rate]],IF([5]!Table4[[#This Row],[Unit]]="/Lm",[5]!Table4[[#This Row],[Lm]]*[5]!Table4[[#This Row],[Rate]],IF([5]!Table4[[#This Row],[Unit]]="/Cbm",[5]!Table4[[#This Row],[Cbm]]*[5]!Table4[[#This Row],[Rate]],0))))</f>
        <v>0</v>
      </c>
      <c r="M24" s="212"/>
      <c r="N24" s="213"/>
      <c r="O2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4" s="211" t="e">
        <f>IF([5]!Table4[[#This Row],[Job Sqm?]]="Yes",SUM('[5]TENDER SUMMARY'!$F$102:$F$111)/SQM*[5]!Table4[[#This Row],[Sqm]],0)</f>
        <v>#REF!</v>
      </c>
      <c r="Q24" s="211" t="e">
        <f>IF([5]!Table4[[#This Row],[Job Sqm?]]="Yes",'[5]EXECUTIVE SUMMARY'!$D$26*[5]!Table4[[#This Row],[Sqm]],0)</f>
        <v>#REF!</v>
      </c>
      <c r="R24" s="211" t="e">
        <f>_xlfn.XLOOKUP([5]!Table4[[#This Row],[Code]],'[5]TENDER SUMMARY'!$A$16:$A$152,'[5]TENDER SUMMARY'!$E$16:$E$152)*([5]!Table4[[#This Row],[Total]]+[5]!Table4[[#This Row],[Install Total]])</f>
        <v>#REF!</v>
      </c>
      <c r="S24" s="211">
        <f>IFERROR([5]!Table4[[#This Row],[Total]]+[5]!Table4[[#This Row],[Install Total]]+[5]!Table4[[#This Row],[Margin Total]]+[5]!Table4[[#This Row],[O/H Total]]+[5]!Table4[[#This Row],[Site Total]],"")</f>
        <v>0</v>
      </c>
      <c r="T24" s="204"/>
      <c r="U24" s="204"/>
      <c r="V24"/>
      <c r="X24" s="251" t="s">
        <v>440</v>
      </c>
      <c r="Y24">
        <v>0</v>
      </c>
    </row>
    <row r="25" spans="1:25">
      <c r="B25" s="209"/>
      <c r="C25" s="207"/>
      <c r="F25" s="14"/>
      <c r="G25" s="14"/>
      <c r="H25" s="14"/>
      <c r="I25" s="14"/>
      <c r="J25" s="210"/>
      <c r="K25" s="208"/>
      <c r="L25" s="216">
        <f>IF([5]!Table4[[#This Row],[Unit]]="/Sqm",[5]!Table4[[#This Row],[Sqm]]*[5]!Table4[[#This Row],[Rate]],IF([5]!Table4[[#This Row],[Unit]]="/Count",[5]!Table4[[#This Row],[Count]]*[5]!Table4[[#This Row],[Rate]],IF([5]!Table4[[#This Row],[Unit]]="/Lm",[5]!Table4[[#This Row],[Lm]]*[5]!Table4[[#This Row],[Rate]],IF([5]!Table4[[#This Row],[Unit]]="/Cbm",[5]!Table4[[#This Row],[Cbm]]*[5]!Table4[[#This Row],[Rate]],0))))</f>
        <v>0</v>
      </c>
      <c r="M25" s="197"/>
      <c r="N25" s="213"/>
      <c r="O2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5" s="211" t="e">
        <f>IF([5]!Table4[[#This Row],[Job Sqm?]]="Yes",SUM('[5]TENDER SUMMARY'!$F$102:$F$111)/SQM*[5]!Table4[[#This Row],[Sqm]],0)</f>
        <v>#REF!</v>
      </c>
      <c r="Q25" s="211" t="e">
        <f>IF([5]!Table4[[#This Row],[Job Sqm?]]="Yes",'[5]EXECUTIVE SUMMARY'!$D$26*[5]!Table4[[#This Row],[Sqm]],0)</f>
        <v>#REF!</v>
      </c>
      <c r="R25" s="211" t="e">
        <f>_xlfn.XLOOKUP([5]!Table4[[#This Row],[Code]],'[5]TENDER SUMMARY'!$A$16:$A$152,'[5]TENDER SUMMARY'!$E$16:$E$152)*([5]!Table4[[#This Row],[Total]]+[5]!Table4[[#This Row],[Install Total]])</f>
        <v>#REF!</v>
      </c>
      <c r="S25" s="211">
        <f>IFERROR([5]!Table4[[#This Row],[Total]]+[5]!Table4[[#This Row],[Install Total]]+[5]!Table4[[#This Row],[Margin Total]]+[5]!Table4[[#This Row],[O/H Total]]+[5]!Table4[[#This Row],[Site Total]],"")</f>
        <v>0</v>
      </c>
      <c r="T25" s="204"/>
      <c r="U25" s="204"/>
      <c r="V25"/>
      <c r="X25" s="39" t="s">
        <v>444</v>
      </c>
      <c r="Y25">
        <v>1492.1025000000011</v>
      </c>
    </row>
    <row r="26" spans="1:25">
      <c r="B26" s="209"/>
      <c r="C26" s="206"/>
      <c r="E26" s="284"/>
      <c r="F26" s="14"/>
      <c r="G26" s="14"/>
      <c r="H26" s="14"/>
      <c r="I26" s="14"/>
      <c r="J26" s="210"/>
      <c r="K26" s="208"/>
      <c r="L26" s="216">
        <f>IF([5]!Table4[[#This Row],[Unit]]="/Sqm",[5]!Table4[[#This Row],[Sqm]]*[5]!Table4[[#This Row],[Rate]],IF([5]!Table4[[#This Row],[Unit]]="/Count",[5]!Table4[[#This Row],[Count]]*[5]!Table4[[#This Row],[Rate]],IF([5]!Table4[[#This Row],[Unit]]="/Lm",[5]!Table4[[#This Row],[Lm]]*[5]!Table4[[#This Row],[Rate]],IF([5]!Table4[[#This Row],[Unit]]="/Cbm",[5]!Table4[[#This Row],[Cbm]]*[5]!Table4[[#This Row],[Rate]],0))))</f>
        <v>0</v>
      </c>
      <c r="M26" s="212"/>
      <c r="N26" s="213"/>
      <c r="O2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6" s="211" t="e">
        <f>IF([5]!Table4[[#This Row],[Job Sqm?]]="Yes",SUM('[5]TENDER SUMMARY'!$F$102:$F$111)/SQM*[5]!Table4[[#This Row],[Sqm]],0)</f>
        <v>#REF!</v>
      </c>
      <c r="Q26" s="211" t="e">
        <f>IF([5]!Table4[[#This Row],[Job Sqm?]]="Yes",'[5]EXECUTIVE SUMMARY'!$D$26*[5]!Table4[[#This Row],[Sqm]],0)</f>
        <v>#REF!</v>
      </c>
      <c r="R26" s="211" t="e">
        <f>_xlfn.XLOOKUP([5]!Table4[[#This Row],[Code]],'[5]TENDER SUMMARY'!$A$16:$A$152,'[5]TENDER SUMMARY'!$E$16:$E$152)*([5]!Table4[[#This Row],[Total]]+[5]!Table4[[#This Row],[Install Total]])</f>
        <v>#REF!</v>
      </c>
      <c r="S26" s="211">
        <f>IFERROR([5]!Table4[[#This Row],[Total]]+[5]!Table4[[#This Row],[Install Total]]+[5]!Table4[[#This Row],[Margin Total]]+[5]!Table4[[#This Row],[O/H Total]]+[5]!Table4[[#This Row],[Site Total]],"")</f>
        <v>0</v>
      </c>
      <c r="T26" s="204"/>
      <c r="U26" s="204"/>
      <c r="V26"/>
    </row>
    <row r="27" spans="1:25">
      <c r="B27" s="209"/>
      <c r="C27" s="206"/>
      <c r="F27" s="14"/>
      <c r="G27" s="14"/>
      <c r="H27" s="14"/>
      <c r="I27" s="14"/>
      <c r="J27" s="210"/>
      <c r="K27" s="208"/>
      <c r="L27" s="216">
        <f>IF([5]!Table4[[#This Row],[Unit]]="/Sqm",[5]!Table4[[#This Row],[Sqm]]*[5]!Table4[[#This Row],[Rate]],IF([5]!Table4[[#This Row],[Unit]]="/Count",[5]!Table4[[#This Row],[Count]]*[5]!Table4[[#This Row],[Rate]],IF([5]!Table4[[#This Row],[Unit]]="/Lm",[5]!Table4[[#This Row],[Lm]]*[5]!Table4[[#This Row],[Rate]],IF([5]!Table4[[#This Row],[Unit]]="/Cbm",[5]!Table4[[#This Row],[Cbm]]*[5]!Table4[[#This Row],[Rate]],0))))</f>
        <v>0</v>
      </c>
      <c r="M27" s="212"/>
      <c r="N27" s="213"/>
      <c r="O2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7" s="211" t="e">
        <f>IF([5]!Table4[[#This Row],[Job Sqm?]]="Yes",SUM('[5]TENDER SUMMARY'!$F$102:$F$111)/SQM*[5]!Table4[[#This Row],[Sqm]],0)</f>
        <v>#REF!</v>
      </c>
      <c r="Q27" s="211" t="e">
        <f>IF([5]!Table4[[#This Row],[Job Sqm?]]="Yes",'[5]EXECUTIVE SUMMARY'!$D$26*[5]!Table4[[#This Row],[Sqm]],0)</f>
        <v>#REF!</v>
      </c>
      <c r="R27" s="211" t="e">
        <f>_xlfn.XLOOKUP([5]!Table4[[#This Row],[Code]],'[5]TENDER SUMMARY'!$A$16:$A$152,'[5]TENDER SUMMARY'!$E$16:$E$152)*([5]!Table4[[#This Row],[Total]]+[5]!Table4[[#This Row],[Install Total]])</f>
        <v>#REF!</v>
      </c>
      <c r="S27" s="211">
        <f>IFERROR([5]!Table4[[#This Row],[Total]]+[5]!Table4[[#This Row],[Install Total]]+[5]!Table4[[#This Row],[Margin Total]]+[5]!Table4[[#This Row],[O/H Total]]+[5]!Table4[[#This Row],[Site Total]],"")</f>
        <v>0</v>
      </c>
      <c r="T27" s="204"/>
      <c r="U27" s="204"/>
      <c r="V27"/>
    </row>
    <row r="28" spans="1:25">
      <c r="B28" s="209"/>
      <c r="C28" s="206"/>
      <c r="F28" s="14"/>
      <c r="G28" s="14"/>
      <c r="H28" s="14"/>
      <c r="I28" s="14"/>
      <c r="J28" s="219"/>
      <c r="K28" s="208"/>
      <c r="L28" s="216">
        <f>IF([5]!Table4[[#This Row],[Unit]]="/Sqm",[5]!Table4[[#This Row],[Sqm]]*[5]!Table4[[#This Row],[Rate]],IF([5]!Table4[[#This Row],[Unit]]="/Count",[5]!Table4[[#This Row],[Count]]*[5]!Table4[[#This Row],[Rate]],IF([5]!Table4[[#This Row],[Unit]]="/Lm",[5]!Table4[[#This Row],[Lm]]*[5]!Table4[[#This Row],[Rate]],IF([5]!Table4[[#This Row],[Unit]]="/Cbm",[5]!Table4[[#This Row],[Cbm]]*[5]!Table4[[#This Row],[Rate]],0))))</f>
        <v>0</v>
      </c>
      <c r="M28" s="212"/>
      <c r="N28" s="213"/>
      <c r="O2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8" s="211" t="e">
        <f>IF([5]!Table4[[#This Row],[Job Sqm?]]="Yes",SUM('[5]TENDER SUMMARY'!$F$102:$F$111)/SQM*[5]!Table4[[#This Row],[Sqm]],0)</f>
        <v>#REF!</v>
      </c>
      <c r="Q28" s="211" t="e">
        <f>IF([5]!Table4[[#This Row],[Job Sqm?]]="Yes",'[5]EXECUTIVE SUMMARY'!$D$26*[5]!Table4[[#This Row],[Sqm]],0)</f>
        <v>#REF!</v>
      </c>
      <c r="R28" s="211" t="e">
        <f>_xlfn.XLOOKUP([5]!Table4[[#This Row],[Code]],'[5]TENDER SUMMARY'!$A$16:$A$152,'[5]TENDER SUMMARY'!$E$16:$E$152)*([5]!Table4[[#This Row],[Total]]+[5]!Table4[[#This Row],[Install Total]])</f>
        <v>#REF!</v>
      </c>
      <c r="S28" s="211">
        <f>IFERROR([5]!Table4[[#This Row],[Total]]+[5]!Table4[[#This Row],[Install Total]]+[5]!Table4[[#This Row],[Margin Total]]+[5]!Table4[[#This Row],[O/H Total]]+[5]!Table4[[#This Row],[Site Total]],"")</f>
        <v>0</v>
      </c>
      <c r="T28" s="204"/>
      <c r="U28" s="204"/>
      <c r="V28"/>
    </row>
    <row r="29" spans="1:25">
      <c r="A29" s="209"/>
      <c r="B29" s="209"/>
      <c r="C29" s="207"/>
      <c r="F29" s="14"/>
      <c r="G29" s="14"/>
      <c r="H29" s="14"/>
      <c r="I29" s="14"/>
      <c r="J29" s="210"/>
      <c r="K29" s="208"/>
      <c r="L29" s="216">
        <f>IF([5]!Table4[[#This Row],[Unit]]="/Sqm",[5]!Table4[[#This Row],[Sqm]]*[5]!Table4[[#This Row],[Rate]],IF([5]!Table4[[#This Row],[Unit]]="/Count",[5]!Table4[[#This Row],[Count]]*[5]!Table4[[#This Row],[Rate]],IF([5]!Table4[[#This Row],[Unit]]="/Lm",[5]!Table4[[#This Row],[Lm]]*[5]!Table4[[#This Row],[Rate]],IF([5]!Table4[[#This Row],[Unit]]="/Cbm",[5]!Table4[[#This Row],[Cbm]]*[5]!Table4[[#This Row],[Rate]],0))))</f>
        <v>0</v>
      </c>
      <c r="M29" s="197"/>
      <c r="N29" s="213"/>
      <c r="O2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29" s="211" t="e">
        <f>IF([5]!Table4[[#This Row],[Job Sqm?]]="Yes",SUM('[5]TENDER SUMMARY'!$F$102:$F$111)/SQM*[5]!Table4[[#This Row],[Sqm]],0)</f>
        <v>#REF!</v>
      </c>
      <c r="Q29" s="211" t="e">
        <f>IF([5]!Table4[[#This Row],[Job Sqm?]]="Yes",'[5]EXECUTIVE SUMMARY'!$D$26*[5]!Table4[[#This Row],[Sqm]],0)</f>
        <v>#REF!</v>
      </c>
      <c r="R29" s="211" t="e">
        <f>_xlfn.XLOOKUP([5]!Table4[[#This Row],[Code]],'[5]TENDER SUMMARY'!$A$16:$A$152,'[5]TENDER SUMMARY'!$E$16:$E$152)*([5]!Table4[[#This Row],[Total]]+[5]!Table4[[#This Row],[Install Total]])</f>
        <v>#REF!</v>
      </c>
      <c r="S29" s="211">
        <f>IFERROR([5]!Table4[[#This Row],[Total]]+[5]!Table4[[#This Row],[Install Total]]+[5]!Table4[[#This Row],[Margin Total]]+[5]!Table4[[#This Row],[O/H Total]]+[5]!Table4[[#This Row],[Site Total]],"")</f>
        <v>0</v>
      </c>
      <c r="T29" s="204"/>
      <c r="U29" s="204"/>
      <c r="V29"/>
    </row>
    <row r="30" spans="1:25">
      <c r="B30" s="209"/>
      <c r="C30" s="206"/>
      <c r="F30" s="14"/>
      <c r="G30" s="14"/>
      <c r="H30" s="14"/>
      <c r="I30" s="14"/>
      <c r="J30" s="210"/>
      <c r="K30" s="208"/>
      <c r="L30" s="216">
        <f>IF([5]!Table4[[#This Row],[Unit]]="/Sqm",[5]!Table4[[#This Row],[Sqm]]*[5]!Table4[[#This Row],[Rate]],IF([5]!Table4[[#This Row],[Unit]]="/Count",[5]!Table4[[#This Row],[Count]]*[5]!Table4[[#This Row],[Rate]],IF([5]!Table4[[#This Row],[Unit]]="/Lm",[5]!Table4[[#This Row],[Lm]]*[5]!Table4[[#This Row],[Rate]],IF([5]!Table4[[#This Row],[Unit]]="/Cbm",[5]!Table4[[#This Row],[Cbm]]*[5]!Table4[[#This Row],[Rate]],0))))</f>
        <v>0</v>
      </c>
      <c r="M30" s="212"/>
      <c r="N30" s="213"/>
      <c r="O3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0" s="211" t="e">
        <f>IF([5]!Table4[[#This Row],[Job Sqm?]]="Yes",SUM('[5]TENDER SUMMARY'!$F$102:$F$111)/SQM*[5]!Table4[[#This Row],[Sqm]],0)</f>
        <v>#REF!</v>
      </c>
      <c r="Q30" s="211" t="e">
        <f>IF([5]!Table4[[#This Row],[Job Sqm?]]="Yes",'[5]EXECUTIVE SUMMARY'!$D$26*[5]!Table4[[#This Row],[Sqm]],0)</f>
        <v>#REF!</v>
      </c>
      <c r="R30" s="211" t="e">
        <f>_xlfn.XLOOKUP([5]!Table4[[#This Row],[Code]],'[5]TENDER SUMMARY'!$A$16:$A$152,'[5]TENDER SUMMARY'!$E$16:$E$152)*([5]!Table4[[#This Row],[Total]]+[5]!Table4[[#This Row],[Install Total]])</f>
        <v>#REF!</v>
      </c>
      <c r="S30" s="211">
        <f>IFERROR([5]!Table4[[#This Row],[Total]]+[5]!Table4[[#This Row],[Install Total]]+[5]!Table4[[#This Row],[Margin Total]]+[5]!Table4[[#This Row],[O/H Total]]+[5]!Table4[[#This Row],[Site Total]],"")</f>
        <v>0</v>
      </c>
      <c r="T30" s="204"/>
      <c r="U30" s="204"/>
      <c r="V30"/>
    </row>
    <row r="31" spans="1:25">
      <c r="B31" s="209"/>
      <c r="C31" s="206"/>
      <c r="F31" s="14"/>
      <c r="G31" s="14"/>
      <c r="H31" s="14"/>
      <c r="I31" s="14"/>
      <c r="J31" s="210"/>
      <c r="K31" s="208"/>
      <c r="L31" s="216">
        <f>IF([5]!Table4[[#This Row],[Unit]]="/Sqm",[5]!Table4[[#This Row],[Sqm]]*[5]!Table4[[#This Row],[Rate]],IF([5]!Table4[[#This Row],[Unit]]="/Count",[5]!Table4[[#This Row],[Count]]*[5]!Table4[[#This Row],[Rate]],IF([5]!Table4[[#This Row],[Unit]]="/Lm",[5]!Table4[[#This Row],[Lm]]*[5]!Table4[[#This Row],[Rate]],IF([5]!Table4[[#This Row],[Unit]]="/Cbm",[5]!Table4[[#This Row],[Cbm]]*[5]!Table4[[#This Row],[Rate]],0))))</f>
        <v>0</v>
      </c>
      <c r="M31" s="212"/>
      <c r="N31" s="213"/>
      <c r="O3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1" s="211" t="e">
        <f>IF([5]!Table4[[#This Row],[Job Sqm?]]="Yes",SUM('[5]TENDER SUMMARY'!$F$102:$F$111)/SQM*[5]!Table4[[#This Row],[Sqm]],0)</f>
        <v>#REF!</v>
      </c>
      <c r="Q31" s="211" t="e">
        <f>IF([5]!Table4[[#This Row],[Job Sqm?]]="Yes",'[5]EXECUTIVE SUMMARY'!$D$26*[5]!Table4[[#This Row],[Sqm]],0)</f>
        <v>#REF!</v>
      </c>
      <c r="R31" s="211" t="e">
        <f>_xlfn.XLOOKUP([5]!Table4[[#This Row],[Code]],'[5]TENDER SUMMARY'!$A$16:$A$152,'[5]TENDER SUMMARY'!$E$16:$E$152)*([5]!Table4[[#This Row],[Total]]+[5]!Table4[[#This Row],[Install Total]])</f>
        <v>#REF!</v>
      </c>
      <c r="S31" s="211">
        <f>IFERROR([5]!Table4[[#This Row],[Total]]+[5]!Table4[[#This Row],[Install Total]]+[5]!Table4[[#This Row],[Margin Total]]+[5]!Table4[[#This Row],[O/H Total]]+[5]!Table4[[#This Row],[Site Total]],"")</f>
        <v>0</v>
      </c>
      <c r="T31" s="204"/>
      <c r="U31" s="204"/>
      <c r="V31"/>
    </row>
    <row r="32" spans="1:25">
      <c r="B32" s="209"/>
      <c r="C32" s="206"/>
      <c r="F32" s="14"/>
      <c r="G32" s="14"/>
      <c r="H32" s="14"/>
      <c r="I32" s="14"/>
      <c r="J32" s="210"/>
      <c r="K32" s="208"/>
      <c r="L32" s="216">
        <f>IF([5]!Table4[[#This Row],[Unit]]="/Sqm",[5]!Table4[[#This Row],[Sqm]]*[5]!Table4[[#This Row],[Rate]],IF([5]!Table4[[#This Row],[Unit]]="/Count",[5]!Table4[[#This Row],[Count]]*[5]!Table4[[#This Row],[Rate]],IF([5]!Table4[[#This Row],[Unit]]="/Lm",[5]!Table4[[#This Row],[Lm]]*[5]!Table4[[#This Row],[Rate]],IF([5]!Table4[[#This Row],[Unit]]="/Cbm",[5]!Table4[[#This Row],[Cbm]]*[5]!Table4[[#This Row],[Rate]],0))))</f>
        <v>0</v>
      </c>
      <c r="M32" s="212"/>
      <c r="N32" s="213"/>
      <c r="O3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2" s="211" t="e">
        <f>IF([5]!Table4[[#This Row],[Job Sqm?]]="Yes",SUM('[5]TENDER SUMMARY'!$F$102:$F$111)/SQM*[5]!Table4[[#This Row],[Sqm]],0)</f>
        <v>#REF!</v>
      </c>
      <c r="Q32" s="211" t="e">
        <f>IF([5]!Table4[[#This Row],[Job Sqm?]]="Yes",'[5]EXECUTIVE SUMMARY'!$D$26*[5]!Table4[[#This Row],[Sqm]],0)</f>
        <v>#REF!</v>
      </c>
      <c r="R32" s="211" t="e">
        <f>_xlfn.XLOOKUP([5]!Table4[[#This Row],[Code]],'[5]TENDER SUMMARY'!$A$16:$A$152,'[5]TENDER SUMMARY'!$E$16:$E$152)*([5]!Table4[[#This Row],[Total]]+[5]!Table4[[#This Row],[Install Total]])</f>
        <v>#REF!</v>
      </c>
      <c r="S32" s="211">
        <f>IFERROR([5]!Table4[[#This Row],[Total]]+[5]!Table4[[#This Row],[Install Total]]+[5]!Table4[[#This Row],[Margin Total]]+[5]!Table4[[#This Row],[O/H Total]]+[5]!Table4[[#This Row],[Site Total]],"")</f>
        <v>0</v>
      </c>
      <c r="T32" s="204"/>
      <c r="U32" s="204"/>
      <c r="V32"/>
    </row>
    <row r="33" spans="1:22">
      <c r="B33" s="209"/>
      <c r="C33" s="206"/>
      <c r="F33" s="14"/>
      <c r="G33" s="14"/>
      <c r="H33" s="14"/>
      <c r="I33" s="14"/>
      <c r="J33" s="210"/>
      <c r="K33" s="208"/>
      <c r="L33" s="216">
        <f>IF([5]!Table4[[#This Row],[Unit]]="/Sqm",[5]!Table4[[#This Row],[Sqm]]*[5]!Table4[[#This Row],[Rate]],IF([5]!Table4[[#This Row],[Unit]]="/Count",[5]!Table4[[#This Row],[Count]]*[5]!Table4[[#This Row],[Rate]],IF([5]!Table4[[#This Row],[Unit]]="/Lm",[5]!Table4[[#This Row],[Lm]]*[5]!Table4[[#This Row],[Rate]],IF([5]!Table4[[#This Row],[Unit]]="/Cbm",[5]!Table4[[#This Row],[Cbm]]*[5]!Table4[[#This Row],[Rate]],0))))</f>
        <v>0</v>
      </c>
      <c r="M33" s="212"/>
      <c r="N33" s="213"/>
      <c r="O3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3" s="211" t="e">
        <f>IF([5]!Table4[[#This Row],[Job Sqm?]]="Yes",SUM('[5]TENDER SUMMARY'!$F$102:$F$111)/SQM*[5]!Table4[[#This Row],[Sqm]],0)</f>
        <v>#REF!</v>
      </c>
      <c r="Q33" s="211" t="e">
        <f>IF([5]!Table4[[#This Row],[Job Sqm?]]="Yes",'[5]EXECUTIVE SUMMARY'!$D$26*[5]!Table4[[#This Row],[Sqm]],0)</f>
        <v>#REF!</v>
      </c>
      <c r="R33" s="211" t="e">
        <f>_xlfn.XLOOKUP([5]!Table4[[#This Row],[Code]],'[5]TENDER SUMMARY'!$A$16:$A$152,'[5]TENDER SUMMARY'!$E$16:$E$152)*([5]!Table4[[#This Row],[Total]]+[5]!Table4[[#This Row],[Install Total]])</f>
        <v>#REF!</v>
      </c>
      <c r="S33" s="211">
        <f>IFERROR([5]!Table4[[#This Row],[Total]]+[5]!Table4[[#This Row],[Install Total]]+[5]!Table4[[#This Row],[Margin Total]]+[5]!Table4[[#This Row],[O/H Total]]+[5]!Table4[[#This Row],[Site Total]],"")</f>
        <v>0</v>
      </c>
      <c r="T33" s="204"/>
      <c r="U33" s="204"/>
      <c r="V33"/>
    </row>
    <row r="34" spans="1:22">
      <c r="A34" s="209"/>
      <c r="B34" s="209"/>
      <c r="C34" s="207"/>
      <c r="F34" s="14"/>
      <c r="G34" s="14"/>
      <c r="H34" s="14"/>
      <c r="I34" s="14"/>
      <c r="J34" s="210"/>
      <c r="K34" s="208"/>
      <c r="L34" s="216">
        <f>IF([5]!Table4[[#This Row],[Unit]]="/Sqm",[5]!Table4[[#This Row],[Sqm]]*[5]!Table4[[#This Row],[Rate]],IF([5]!Table4[[#This Row],[Unit]]="/Count",[5]!Table4[[#This Row],[Count]]*[5]!Table4[[#This Row],[Rate]],IF([5]!Table4[[#This Row],[Unit]]="/Lm",[5]!Table4[[#This Row],[Lm]]*[5]!Table4[[#This Row],[Rate]],IF([5]!Table4[[#This Row],[Unit]]="/Cbm",[5]!Table4[[#This Row],[Cbm]]*[5]!Table4[[#This Row],[Rate]],0))))</f>
        <v>0</v>
      </c>
      <c r="M34" s="197"/>
      <c r="N34" s="213"/>
      <c r="O3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4" s="211" t="e">
        <f>IF([5]!Table4[[#This Row],[Job Sqm?]]="Yes",SUM('[5]TENDER SUMMARY'!$F$102:$F$111)/SQM*[5]!Table4[[#This Row],[Sqm]],0)</f>
        <v>#REF!</v>
      </c>
      <c r="Q34" s="211" t="e">
        <f>IF([5]!Table4[[#This Row],[Job Sqm?]]="Yes",'[5]EXECUTIVE SUMMARY'!$D$26*[5]!Table4[[#This Row],[Sqm]],0)</f>
        <v>#REF!</v>
      </c>
      <c r="R34" s="211" t="e">
        <f>_xlfn.XLOOKUP([5]!Table4[[#This Row],[Code]],'[5]TENDER SUMMARY'!$A$16:$A$152,'[5]TENDER SUMMARY'!$E$16:$E$152)*([5]!Table4[[#This Row],[Total]]+[5]!Table4[[#This Row],[Install Total]])</f>
        <v>#REF!</v>
      </c>
      <c r="S34" s="211">
        <f>IFERROR([5]!Table4[[#This Row],[Total]]+[5]!Table4[[#This Row],[Install Total]]+[5]!Table4[[#This Row],[Margin Total]]+[5]!Table4[[#This Row],[O/H Total]]+[5]!Table4[[#This Row],[Site Total]],"")</f>
        <v>0</v>
      </c>
      <c r="T34" s="204"/>
      <c r="U34" s="204"/>
      <c r="V34"/>
    </row>
    <row r="35" spans="1:22">
      <c r="B35" s="209"/>
      <c r="C35" s="207"/>
      <c r="F35" s="14"/>
      <c r="G35" s="14"/>
      <c r="H35" s="14"/>
      <c r="I35" s="14"/>
      <c r="J35" s="210"/>
      <c r="K35" s="208"/>
      <c r="L35" s="216">
        <f>IF([5]!Table4[[#This Row],[Unit]]="/Sqm",[5]!Table4[[#This Row],[Sqm]]*[5]!Table4[[#This Row],[Rate]],IF([5]!Table4[[#This Row],[Unit]]="/Count",[5]!Table4[[#This Row],[Count]]*[5]!Table4[[#This Row],[Rate]],IF([5]!Table4[[#This Row],[Unit]]="/Lm",[5]!Table4[[#This Row],[Lm]]*[5]!Table4[[#This Row],[Rate]],IF([5]!Table4[[#This Row],[Unit]]="/Cbm",[5]!Table4[[#This Row],[Cbm]]*[5]!Table4[[#This Row],[Rate]],0))))</f>
        <v>0</v>
      </c>
      <c r="M35" s="197"/>
      <c r="N35" s="213"/>
      <c r="O3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5" s="211" t="e">
        <f>IF([5]!Table4[[#This Row],[Job Sqm?]]="Yes",SUM('[5]TENDER SUMMARY'!$F$102:$F$111)/SQM*[5]!Table4[[#This Row],[Sqm]],0)</f>
        <v>#REF!</v>
      </c>
      <c r="Q35" s="211" t="e">
        <f>IF([5]!Table4[[#This Row],[Job Sqm?]]="Yes",'[5]EXECUTIVE SUMMARY'!$D$26*[5]!Table4[[#This Row],[Sqm]],0)</f>
        <v>#REF!</v>
      </c>
      <c r="R35" s="211" t="e">
        <f>_xlfn.XLOOKUP([5]!Table4[[#This Row],[Code]],'[5]TENDER SUMMARY'!$A$16:$A$152,'[5]TENDER SUMMARY'!$E$16:$E$152)*([5]!Table4[[#This Row],[Total]]+[5]!Table4[[#This Row],[Install Total]])</f>
        <v>#REF!</v>
      </c>
      <c r="S35" s="211">
        <f>IFERROR([5]!Table4[[#This Row],[Total]]+[5]!Table4[[#This Row],[Install Total]]+[5]!Table4[[#This Row],[Margin Total]]+[5]!Table4[[#This Row],[O/H Total]]+[5]!Table4[[#This Row],[Site Total]],"")</f>
        <v>0</v>
      </c>
      <c r="T35" s="204"/>
      <c r="U35" s="204"/>
      <c r="V35"/>
    </row>
    <row r="36" spans="1:22">
      <c r="B36" s="209"/>
      <c r="C36" s="207"/>
      <c r="F36" s="14"/>
      <c r="G36" s="14"/>
      <c r="H36" s="14"/>
      <c r="I36" s="14"/>
      <c r="J36" s="210"/>
      <c r="K36" s="208"/>
      <c r="L36" s="216">
        <f>IF([5]!Table4[[#This Row],[Unit]]="/Sqm",[5]!Table4[[#This Row],[Sqm]]*[5]!Table4[[#This Row],[Rate]],IF([5]!Table4[[#This Row],[Unit]]="/Count",[5]!Table4[[#This Row],[Count]]*[5]!Table4[[#This Row],[Rate]],IF([5]!Table4[[#This Row],[Unit]]="/Lm",[5]!Table4[[#This Row],[Lm]]*[5]!Table4[[#This Row],[Rate]],IF([5]!Table4[[#This Row],[Unit]]="/Cbm",[5]!Table4[[#This Row],[Cbm]]*[5]!Table4[[#This Row],[Rate]],0))))</f>
        <v>0</v>
      </c>
      <c r="M36" s="197"/>
      <c r="N36" s="213"/>
      <c r="O3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6" s="211" t="e">
        <f>IF([5]!Table4[[#This Row],[Job Sqm?]]="Yes",SUM('[5]TENDER SUMMARY'!$F$102:$F$111)/SQM*[5]!Table4[[#This Row],[Sqm]],0)</f>
        <v>#REF!</v>
      </c>
      <c r="Q36" s="211" t="e">
        <f>IF([5]!Table4[[#This Row],[Job Sqm?]]="Yes",'[5]EXECUTIVE SUMMARY'!$D$26*[5]!Table4[[#This Row],[Sqm]],0)</f>
        <v>#REF!</v>
      </c>
      <c r="R36" s="211" t="e">
        <f>_xlfn.XLOOKUP([5]!Table4[[#This Row],[Code]],'[5]TENDER SUMMARY'!$A$16:$A$152,'[5]TENDER SUMMARY'!$E$16:$E$152)*([5]!Table4[[#This Row],[Total]]+[5]!Table4[[#This Row],[Install Total]])</f>
        <v>#REF!</v>
      </c>
      <c r="S36" s="211">
        <f>IFERROR([5]!Table4[[#This Row],[Total]]+[5]!Table4[[#This Row],[Install Total]]+[5]!Table4[[#This Row],[Margin Total]]+[5]!Table4[[#This Row],[O/H Total]]+[5]!Table4[[#This Row],[Site Total]],"")</f>
        <v>0</v>
      </c>
      <c r="T36" s="204"/>
      <c r="U36" s="204"/>
      <c r="V36"/>
    </row>
    <row r="37" spans="1:22">
      <c r="B37" s="209"/>
      <c r="C37" s="207"/>
      <c r="F37" s="14"/>
      <c r="G37" s="14"/>
      <c r="H37" s="14"/>
      <c r="I37" s="14"/>
      <c r="J37" s="210"/>
      <c r="K37" s="208"/>
      <c r="L37" s="216">
        <f>IF([5]!Table4[[#This Row],[Unit]]="/Sqm",[5]!Table4[[#This Row],[Sqm]]*[5]!Table4[[#This Row],[Rate]],IF([5]!Table4[[#This Row],[Unit]]="/Count",[5]!Table4[[#This Row],[Count]]*[5]!Table4[[#This Row],[Rate]],IF([5]!Table4[[#This Row],[Unit]]="/Lm",[5]!Table4[[#This Row],[Lm]]*[5]!Table4[[#This Row],[Rate]],IF([5]!Table4[[#This Row],[Unit]]="/Cbm",[5]!Table4[[#This Row],[Cbm]]*[5]!Table4[[#This Row],[Rate]],0))))</f>
        <v>0</v>
      </c>
      <c r="M37" s="197"/>
      <c r="N37" s="213"/>
      <c r="O3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7" s="211" t="e">
        <f>IF([5]!Table4[[#This Row],[Job Sqm?]]="Yes",SUM('[5]TENDER SUMMARY'!$F$102:$F$111)/SQM*[5]!Table4[[#This Row],[Sqm]],0)</f>
        <v>#REF!</v>
      </c>
      <c r="Q37" s="211" t="e">
        <f>IF([5]!Table4[[#This Row],[Job Sqm?]]="Yes",'[5]EXECUTIVE SUMMARY'!$D$26*[5]!Table4[[#This Row],[Sqm]],0)</f>
        <v>#REF!</v>
      </c>
      <c r="R37" s="211" t="e">
        <f>_xlfn.XLOOKUP([5]!Table4[[#This Row],[Code]],'[5]TENDER SUMMARY'!$A$16:$A$152,'[5]TENDER SUMMARY'!$E$16:$E$152)*([5]!Table4[[#This Row],[Total]]+[5]!Table4[[#This Row],[Install Total]])</f>
        <v>#REF!</v>
      </c>
      <c r="S37" s="211">
        <f>IFERROR([5]!Table4[[#This Row],[Total]]+[5]!Table4[[#This Row],[Install Total]]+[5]!Table4[[#This Row],[Margin Total]]+[5]!Table4[[#This Row],[O/H Total]]+[5]!Table4[[#This Row],[Site Total]],"")</f>
        <v>0</v>
      </c>
      <c r="T37" s="204"/>
      <c r="U37" s="204"/>
      <c r="V37"/>
    </row>
    <row r="38" spans="1:22">
      <c r="B38" s="209"/>
      <c r="C38" s="206"/>
      <c r="F38" s="14"/>
      <c r="G38" s="14"/>
      <c r="H38" s="14"/>
      <c r="I38" s="14"/>
      <c r="J38" s="210"/>
      <c r="K38" s="208"/>
      <c r="L38" s="216">
        <f>IF([5]!Table4[[#This Row],[Unit]]="/Sqm",[5]!Table4[[#This Row],[Sqm]]*[5]!Table4[[#This Row],[Rate]],IF([5]!Table4[[#This Row],[Unit]]="/Count",[5]!Table4[[#This Row],[Count]]*[5]!Table4[[#This Row],[Rate]],IF([5]!Table4[[#This Row],[Unit]]="/Lm",[5]!Table4[[#This Row],[Lm]]*[5]!Table4[[#This Row],[Rate]],IF([5]!Table4[[#This Row],[Unit]]="/Cbm",[5]!Table4[[#This Row],[Cbm]]*[5]!Table4[[#This Row],[Rate]],0))))</f>
        <v>0</v>
      </c>
      <c r="M38" s="212"/>
      <c r="N38" s="213"/>
      <c r="O3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8" s="211" t="e">
        <f>IF([5]!Table4[[#This Row],[Job Sqm?]]="Yes",SUM('[5]TENDER SUMMARY'!$F$102:$F$111)/SQM*[5]!Table4[[#This Row],[Sqm]],0)</f>
        <v>#REF!</v>
      </c>
      <c r="Q38" s="211" t="e">
        <f>IF([5]!Table4[[#This Row],[Job Sqm?]]="Yes",'[5]EXECUTIVE SUMMARY'!$D$26*[5]!Table4[[#This Row],[Sqm]],0)</f>
        <v>#REF!</v>
      </c>
      <c r="R38" s="211" t="e">
        <f>_xlfn.XLOOKUP([5]!Table4[[#This Row],[Code]],'[5]TENDER SUMMARY'!$A$16:$A$152,'[5]TENDER SUMMARY'!$E$16:$E$152)*([5]!Table4[[#This Row],[Total]]+[5]!Table4[[#This Row],[Install Total]])</f>
        <v>#REF!</v>
      </c>
      <c r="S38" s="211">
        <f>IFERROR([5]!Table4[[#This Row],[Total]]+[5]!Table4[[#This Row],[Install Total]]+[5]!Table4[[#This Row],[Margin Total]]+[5]!Table4[[#This Row],[O/H Total]]+[5]!Table4[[#This Row],[Site Total]],"")</f>
        <v>0</v>
      </c>
      <c r="T38" s="205"/>
      <c r="U38" s="204"/>
      <c r="V38"/>
    </row>
    <row r="39" spans="1:22">
      <c r="B39" s="209"/>
      <c r="C39" s="206"/>
      <c r="F39" s="14"/>
      <c r="G39" s="14"/>
      <c r="H39" s="14"/>
      <c r="I39" s="14"/>
      <c r="J39" s="210"/>
      <c r="K39" s="208"/>
      <c r="L39" s="216">
        <f>IF([5]!Table4[[#This Row],[Unit]]="/Sqm",[5]!Table4[[#This Row],[Sqm]]*[5]!Table4[[#This Row],[Rate]],IF([5]!Table4[[#This Row],[Unit]]="/Count",[5]!Table4[[#This Row],[Count]]*[5]!Table4[[#This Row],[Rate]],IF([5]!Table4[[#This Row],[Unit]]="/Lm",[5]!Table4[[#This Row],[Lm]]*[5]!Table4[[#This Row],[Rate]],IF([5]!Table4[[#This Row],[Unit]]="/Cbm",[5]!Table4[[#This Row],[Cbm]]*[5]!Table4[[#This Row],[Rate]],0))))</f>
        <v>0</v>
      </c>
      <c r="M39" s="212"/>
      <c r="N39" s="213"/>
      <c r="O3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39" s="211" t="e">
        <f>IF([5]!Table4[[#This Row],[Job Sqm?]]="Yes",SUM('[5]TENDER SUMMARY'!$F$102:$F$111)/SQM*[5]!Table4[[#This Row],[Sqm]],0)</f>
        <v>#REF!</v>
      </c>
      <c r="Q39" s="211" t="e">
        <f>IF([5]!Table4[[#This Row],[Job Sqm?]]="Yes",'[5]EXECUTIVE SUMMARY'!$D$26*[5]!Table4[[#This Row],[Sqm]],0)</f>
        <v>#REF!</v>
      </c>
      <c r="R39" s="211" t="e">
        <f>_xlfn.XLOOKUP([5]!Table4[[#This Row],[Code]],'[5]TENDER SUMMARY'!$A$16:$A$152,'[5]TENDER SUMMARY'!$E$16:$E$152)*([5]!Table4[[#This Row],[Total]]+[5]!Table4[[#This Row],[Install Total]])</f>
        <v>#REF!</v>
      </c>
      <c r="S39" s="211">
        <f>IFERROR([5]!Table4[[#This Row],[Total]]+[5]!Table4[[#This Row],[Install Total]]+[5]!Table4[[#This Row],[Margin Total]]+[5]!Table4[[#This Row],[O/H Total]]+[5]!Table4[[#This Row],[Site Total]],"")</f>
        <v>0</v>
      </c>
      <c r="T39" s="205"/>
      <c r="U39" s="204"/>
      <c r="V39"/>
    </row>
    <row r="40" spans="1:22">
      <c r="B40" s="209"/>
      <c r="C40" s="206"/>
      <c r="F40" s="14"/>
      <c r="G40" s="14"/>
      <c r="H40" s="14"/>
      <c r="I40" s="14"/>
      <c r="J40" s="210"/>
      <c r="K40" s="208"/>
      <c r="L40" s="216">
        <f>IF([5]!Table4[[#This Row],[Unit]]="/Sqm",[5]!Table4[[#This Row],[Sqm]]*[5]!Table4[[#This Row],[Rate]],IF([5]!Table4[[#This Row],[Unit]]="/Count",[5]!Table4[[#This Row],[Count]]*[5]!Table4[[#This Row],[Rate]],IF([5]!Table4[[#This Row],[Unit]]="/Lm",[5]!Table4[[#This Row],[Lm]]*[5]!Table4[[#This Row],[Rate]],IF([5]!Table4[[#This Row],[Unit]]="/Cbm",[5]!Table4[[#This Row],[Cbm]]*[5]!Table4[[#This Row],[Rate]],0))))</f>
        <v>0</v>
      </c>
      <c r="M40" s="212"/>
      <c r="N40" s="213"/>
      <c r="O4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0" s="211" t="e">
        <f>IF([5]!Table4[[#This Row],[Job Sqm?]]="Yes",SUM('[5]TENDER SUMMARY'!$F$102:$F$111)/SQM*[5]!Table4[[#This Row],[Sqm]],0)</f>
        <v>#REF!</v>
      </c>
      <c r="Q40" s="211" t="e">
        <f>IF([5]!Table4[[#This Row],[Job Sqm?]]="Yes",'[5]EXECUTIVE SUMMARY'!$D$26*[5]!Table4[[#This Row],[Sqm]],0)</f>
        <v>#REF!</v>
      </c>
      <c r="R40" s="211" t="e">
        <f>_xlfn.XLOOKUP([5]!Table4[[#This Row],[Code]],'[5]TENDER SUMMARY'!$A$16:$A$152,'[5]TENDER SUMMARY'!$E$16:$E$152)*([5]!Table4[[#This Row],[Total]]+[5]!Table4[[#This Row],[Install Total]])</f>
        <v>#REF!</v>
      </c>
      <c r="S40" s="211">
        <f>IFERROR([5]!Table4[[#This Row],[Total]]+[5]!Table4[[#This Row],[Install Total]]+[5]!Table4[[#This Row],[Margin Total]]+[5]!Table4[[#This Row],[O/H Total]]+[5]!Table4[[#This Row],[Site Total]],"")</f>
        <v>0</v>
      </c>
      <c r="T40" s="205"/>
      <c r="U40" s="204"/>
      <c r="V40"/>
    </row>
    <row r="41" spans="1:22">
      <c r="A41" s="196"/>
      <c r="B41" s="209"/>
      <c r="C41" s="207"/>
      <c r="E41" s="27"/>
      <c r="F41" s="14"/>
      <c r="G41" s="14"/>
      <c r="H41" s="14"/>
      <c r="I41" s="14"/>
      <c r="J41" s="210"/>
      <c r="K41" s="208"/>
      <c r="L41" s="216">
        <f>IF([5]!Table4[[#This Row],[Unit]]="/Sqm",[5]!Table4[[#This Row],[Sqm]]*[5]!Table4[[#This Row],[Rate]],IF([5]!Table4[[#This Row],[Unit]]="/Count",[5]!Table4[[#This Row],[Count]]*[5]!Table4[[#This Row],[Rate]],IF([5]!Table4[[#This Row],[Unit]]="/Lm",[5]!Table4[[#This Row],[Lm]]*[5]!Table4[[#This Row],[Rate]],IF([5]!Table4[[#This Row],[Unit]]="/Cbm",[5]!Table4[[#This Row],[Cbm]]*[5]!Table4[[#This Row],[Rate]],0))))</f>
        <v>0</v>
      </c>
      <c r="M41" s="212"/>
      <c r="N41" s="213"/>
      <c r="O4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1" s="211" t="e">
        <f>IF([5]!Table4[[#This Row],[Job Sqm?]]="Yes",SUM('[5]TENDER SUMMARY'!$F$102:$F$111)/SQM*[5]!Table4[[#This Row],[Sqm]],0)</f>
        <v>#REF!</v>
      </c>
      <c r="Q41" s="211" t="e">
        <f>IF([5]!Table4[[#This Row],[Job Sqm?]]="Yes",'[5]EXECUTIVE SUMMARY'!$D$26*[5]!Table4[[#This Row],[Sqm]],0)</f>
        <v>#REF!</v>
      </c>
      <c r="R41" s="211" t="e">
        <f>_xlfn.XLOOKUP([5]!Table4[[#This Row],[Code]],'[5]TENDER SUMMARY'!$A$16:$A$152,'[5]TENDER SUMMARY'!$E$16:$E$152)*([5]!Table4[[#This Row],[Total]]+[5]!Table4[[#This Row],[Install Total]])</f>
        <v>#REF!</v>
      </c>
      <c r="S41" s="211">
        <f>IFERROR([5]!Table4[[#This Row],[Total]]+[5]!Table4[[#This Row],[Install Total]]+[5]!Table4[[#This Row],[Margin Total]]+[5]!Table4[[#This Row],[O/H Total]]+[5]!Table4[[#This Row],[Site Total]],"")</f>
        <v>0</v>
      </c>
      <c r="T41" s="204"/>
      <c r="U41" s="204"/>
      <c r="V41"/>
    </row>
    <row r="42" spans="1:22">
      <c r="B42" s="209"/>
      <c r="C42" s="207"/>
      <c r="F42" s="14"/>
      <c r="G42" s="14"/>
      <c r="H42" s="14"/>
      <c r="I42" s="14"/>
      <c r="J42" s="210"/>
      <c r="K42" s="208"/>
      <c r="L42" s="216">
        <f>IF([5]!Table4[[#This Row],[Unit]]="/Sqm",[5]!Table4[[#This Row],[Sqm]]*[5]!Table4[[#This Row],[Rate]],IF([5]!Table4[[#This Row],[Unit]]="/Count",[5]!Table4[[#This Row],[Count]]*[5]!Table4[[#This Row],[Rate]],IF([5]!Table4[[#This Row],[Unit]]="/Lm",[5]!Table4[[#This Row],[Lm]]*[5]!Table4[[#This Row],[Rate]],IF([5]!Table4[[#This Row],[Unit]]="/Cbm",[5]!Table4[[#This Row],[Cbm]]*[5]!Table4[[#This Row],[Rate]],0))))</f>
        <v>0</v>
      </c>
      <c r="M42" s="212"/>
      <c r="N42" s="213"/>
      <c r="O4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2" s="211" t="e">
        <f>IF([5]!Table4[[#This Row],[Job Sqm?]]="Yes",SUM('[5]TENDER SUMMARY'!$F$102:$F$111)/SQM*[5]!Table4[[#This Row],[Sqm]],0)</f>
        <v>#REF!</v>
      </c>
      <c r="Q42" s="211" t="e">
        <f>IF([5]!Table4[[#This Row],[Job Sqm?]]="Yes",'[5]EXECUTIVE SUMMARY'!$D$26*[5]!Table4[[#This Row],[Sqm]],0)</f>
        <v>#REF!</v>
      </c>
      <c r="R42" s="211" t="e">
        <f>_xlfn.XLOOKUP([5]!Table4[[#This Row],[Code]],'[5]TENDER SUMMARY'!$A$16:$A$152,'[5]TENDER SUMMARY'!$E$16:$E$152)*([5]!Table4[[#This Row],[Total]]+[5]!Table4[[#This Row],[Install Total]])</f>
        <v>#REF!</v>
      </c>
      <c r="S42" s="211">
        <f>IFERROR([5]!Table4[[#This Row],[Total]]+[5]!Table4[[#This Row],[Install Total]]+[5]!Table4[[#This Row],[Margin Total]]+[5]!Table4[[#This Row],[O/H Total]]+[5]!Table4[[#This Row],[Site Total]],"")</f>
        <v>0</v>
      </c>
      <c r="T42" s="204"/>
      <c r="U42" s="205"/>
      <c r="V42"/>
    </row>
    <row r="43" spans="1:22">
      <c r="B43" s="209"/>
      <c r="C43" s="206"/>
      <c r="F43" s="14"/>
      <c r="G43" s="14"/>
      <c r="H43" s="14"/>
      <c r="I43" s="14"/>
      <c r="J43" s="210"/>
      <c r="K43" s="208"/>
      <c r="L43" s="216">
        <f>IF([5]!Table4[[#This Row],[Unit]]="/Sqm",[5]!Table4[[#This Row],[Sqm]]*[5]!Table4[[#This Row],[Rate]],IF([5]!Table4[[#This Row],[Unit]]="/Count",[5]!Table4[[#This Row],[Count]]*[5]!Table4[[#This Row],[Rate]],IF([5]!Table4[[#This Row],[Unit]]="/Lm",[5]!Table4[[#This Row],[Lm]]*[5]!Table4[[#This Row],[Rate]],IF([5]!Table4[[#This Row],[Unit]]="/Cbm",[5]!Table4[[#This Row],[Cbm]]*[5]!Table4[[#This Row],[Rate]],0))))</f>
        <v>0</v>
      </c>
      <c r="M43" s="212"/>
      <c r="N43" s="213"/>
      <c r="O4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3" s="211" t="e">
        <f>IF([5]!Table4[[#This Row],[Job Sqm?]]="Yes",SUM('[5]TENDER SUMMARY'!$F$102:$F$111)/SQM*[5]!Table4[[#This Row],[Sqm]],0)</f>
        <v>#REF!</v>
      </c>
      <c r="Q43" s="211" t="e">
        <f>IF([5]!Table4[[#This Row],[Job Sqm?]]="Yes",'[5]EXECUTIVE SUMMARY'!$D$26*[5]!Table4[[#This Row],[Sqm]],0)</f>
        <v>#REF!</v>
      </c>
      <c r="R43" s="211" t="e">
        <f>_xlfn.XLOOKUP([5]!Table4[[#This Row],[Code]],'[5]TENDER SUMMARY'!$A$16:$A$152,'[5]TENDER SUMMARY'!$E$16:$E$152)*([5]!Table4[[#This Row],[Total]]+[5]!Table4[[#This Row],[Install Total]])</f>
        <v>#REF!</v>
      </c>
      <c r="S43" s="211">
        <f>IFERROR([5]!Table4[[#This Row],[Total]]+[5]!Table4[[#This Row],[Install Total]]+[5]!Table4[[#This Row],[Margin Total]]+[5]!Table4[[#This Row],[O/H Total]]+[5]!Table4[[#This Row],[Site Total]],"")</f>
        <v>0</v>
      </c>
      <c r="T43" s="204"/>
      <c r="U43" s="204"/>
      <c r="V43"/>
    </row>
    <row r="44" spans="1:22">
      <c r="B44" s="209"/>
      <c r="C44" s="206"/>
      <c r="F44" s="14"/>
      <c r="G44" s="14"/>
      <c r="H44" s="14"/>
      <c r="I44" s="14"/>
      <c r="J44" s="210"/>
      <c r="K44" s="208"/>
      <c r="L44" s="216">
        <f>IF([5]!Table4[[#This Row],[Unit]]="/Sqm",[5]!Table4[[#This Row],[Sqm]]*[5]!Table4[[#This Row],[Rate]],IF([5]!Table4[[#This Row],[Unit]]="/Count",[5]!Table4[[#This Row],[Count]]*[5]!Table4[[#This Row],[Rate]],IF([5]!Table4[[#This Row],[Unit]]="/Lm",[5]!Table4[[#This Row],[Lm]]*[5]!Table4[[#This Row],[Rate]],IF([5]!Table4[[#This Row],[Unit]]="/Cbm",[5]!Table4[[#This Row],[Cbm]]*[5]!Table4[[#This Row],[Rate]],0))))</f>
        <v>0</v>
      </c>
      <c r="M44" s="212"/>
      <c r="N44" s="213"/>
      <c r="O4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4" s="211" t="e">
        <f>IF([5]!Table4[[#This Row],[Job Sqm?]]="Yes",SUM('[5]TENDER SUMMARY'!$F$102:$F$111)/SQM*[5]!Table4[[#This Row],[Sqm]],0)</f>
        <v>#REF!</v>
      </c>
      <c r="Q44" s="211" t="e">
        <f>IF([5]!Table4[[#This Row],[Job Sqm?]]="Yes",'[5]EXECUTIVE SUMMARY'!$D$26*[5]!Table4[[#This Row],[Sqm]],0)</f>
        <v>#REF!</v>
      </c>
      <c r="R44" s="211" t="e">
        <f>_xlfn.XLOOKUP([5]!Table4[[#This Row],[Code]],'[5]TENDER SUMMARY'!$A$16:$A$152,'[5]TENDER SUMMARY'!$E$16:$E$152)*([5]!Table4[[#This Row],[Total]]+[5]!Table4[[#This Row],[Install Total]])</f>
        <v>#REF!</v>
      </c>
      <c r="S44" s="211">
        <f>IFERROR([5]!Table4[[#This Row],[Total]]+[5]!Table4[[#This Row],[Install Total]]+[5]!Table4[[#This Row],[Margin Total]]+[5]!Table4[[#This Row],[O/H Total]]+[5]!Table4[[#This Row],[Site Total]],"")</f>
        <v>0</v>
      </c>
      <c r="T44" s="204"/>
      <c r="U44" s="204"/>
      <c r="V44"/>
    </row>
    <row r="45" spans="1:22">
      <c r="B45" s="209"/>
      <c r="C45" s="206"/>
      <c r="F45" s="14"/>
      <c r="G45" s="14"/>
      <c r="H45" s="14"/>
      <c r="I45" s="14"/>
      <c r="J45" s="210"/>
      <c r="K45" s="208"/>
      <c r="L45" s="216">
        <f>IF([5]!Table4[[#This Row],[Unit]]="/Sqm",[5]!Table4[[#This Row],[Sqm]]*[5]!Table4[[#This Row],[Rate]],IF([5]!Table4[[#This Row],[Unit]]="/Count",[5]!Table4[[#This Row],[Count]]*[5]!Table4[[#This Row],[Rate]],IF([5]!Table4[[#This Row],[Unit]]="/Lm",[5]!Table4[[#This Row],[Lm]]*[5]!Table4[[#This Row],[Rate]],IF([5]!Table4[[#This Row],[Unit]]="/Cbm",[5]!Table4[[#This Row],[Cbm]]*[5]!Table4[[#This Row],[Rate]],0))))</f>
        <v>0</v>
      </c>
      <c r="M45" s="212"/>
      <c r="N45" s="213"/>
      <c r="O4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5" s="211" t="e">
        <f>IF([5]!Table4[[#This Row],[Job Sqm?]]="Yes",SUM('[5]TENDER SUMMARY'!$F$102:$F$111)/SQM*[5]!Table4[[#This Row],[Sqm]],0)</f>
        <v>#REF!</v>
      </c>
      <c r="Q45" s="211" t="e">
        <f>IF([5]!Table4[[#This Row],[Job Sqm?]]="Yes",'[5]EXECUTIVE SUMMARY'!$D$26*[5]!Table4[[#This Row],[Sqm]],0)</f>
        <v>#REF!</v>
      </c>
      <c r="R45" s="211" t="e">
        <f>_xlfn.XLOOKUP([5]!Table4[[#This Row],[Code]],'[5]TENDER SUMMARY'!$A$16:$A$152,'[5]TENDER SUMMARY'!$E$16:$E$152)*([5]!Table4[[#This Row],[Total]]+[5]!Table4[[#This Row],[Install Total]])</f>
        <v>#REF!</v>
      </c>
      <c r="S45" s="211">
        <f>IFERROR([5]!Table4[[#This Row],[Total]]+[5]!Table4[[#This Row],[Install Total]]+[5]!Table4[[#This Row],[Margin Total]]+[5]!Table4[[#This Row],[O/H Total]]+[5]!Table4[[#This Row],[Site Total]],"")</f>
        <v>0</v>
      </c>
      <c r="T45" s="204"/>
      <c r="U45" s="204"/>
      <c r="V45"/>
    </row>
    <row r="46" spans="1:22">
      <c r="B46" s="209"/>
      <c r="C46" s="206"/>
      <c r="F46" s="14"/>
      <c r="G46" s="14"/>
      <c r="H46" s="14"/>
      <c r="I46" s="14"/>
      <c r="J46" s="210"/>
      <c r="K46" s="208"/>
      <c r="L46" s="216">
        <f>IF([5]!Table4[[#This Row],[Unit]]="/Sqm",[5]!Table4[[#This Row],[Sqm]]*[5]!Table4[[#This Row],[Rate]],IF([5]!Table4[[#This Row],[Unit]]="/Count",[5]!Table4[[#This Row],[Count]]*[5]!Table4[[#This Row],[Rate]],IF([5]!Table4[[#This Row],[Unit]]="/Lm",[5]!Table4[[#This Row],[Lm]]*[5]!Table4[[#This Row],[Rate]],IF([5]!Table4[[#This Row],[Unit]]="/Cbm",[5]!Table4[[#This Row],[Cbm]]*[5]!Table4[[#This Row],[Rate]],0))))</f>
        <v>0</v>
      </c>
      <c r="M46" s="212"/>
      <c r="N46" s="213"/>
      <c r="O4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6" s="211" t="e">
        <f>IF([5]!Table4[[#This Row],[Job Sqm?]]="Yes",SUM('[5]TENDER SUMMARY'!$F$102:$F$111)/SQM*[5]!Table4[[#This Row],[Sqm]],0)</f>
        <v>#REF!</v>
      </c>
      <c r="Q46" s="211" t="e">
        <f>IF([5]!Table4[[#This Row],[Job Sqm?]]="Yes",'[5]EXECUTIVE SUMMARY'!$D$26*[5]!Table4[[#This Row],[Sqm]],0)</f>
        <v>#REF!</v>
      </c>
      <c r="R46" s="211" t="e">
        <f>_xlfn.XLOOKUP([5]!Table4[[#This Row],[Code]],'[5]TENDER SUMMARY'!$A$16:$A$152,'[5]TENDER SUMMARY'!$E$16:$E$152)*([5]!Table4[[#This Row],[Total]]+[5]!Table4[[#This Row],[Install Total]])</f>
        <v>#REF!</v>
      </c>
      <c r="S46" s="211">
        <f>IFERROR([5]!Table4[[#This Row],[Total]]+[5]!Table4[[#This Row],[Install Total]]+[5]!Table4[[#This Row],[Margin Total]]+[5]!Table4[[#This Row],[O/H Total]]+[5]!Table4[[#This Row],[Site Total]],"")</f>
        <v>0</v>
      </c>
      <c r="T46" s="204"/>
      <c r="U46" s="204"/>
      <c r="V46"/>
    </row>
    <row r="47" spans="1:22">
      <c r="B47" s="209"/>
      <c r="C47" s="206"/>
      <c r="F47" s="14"/>
      <c r="G47" s="14"/>
      <c r="H47" s="14"/>
      <c r="I47" s="14"/>
      <c r="J47" s="210"/>
      <c r="K47" s="208"/>
      <c r="L47" s="216">
        <f>IF([5]!Table4[[#This Row],[Unit]]="/Sqm",[5]!Table4[[#This Row],[Sqm]]*[5]!Table4[[#This Row],[Rate]],IF([5]!Table4[[#This Row],[Unit]]="/Count",[5]!Table4[[#This Row],[Count]]*[5]!Table4[[#This Row],[Rate]],IF([5]!Table4[[#This Row],[Unit]]="/Lm",[5]!Table4[[#This Row],[Lm]]*[5]!Table4[[#This Row],[Rate]],IF([5]!Table4[[#This Row],[Unit]]="/Cbm",[5]!Table4[[#This Row],[Cbm]]*[5]!Table4[[#This Row],[Rate]],0))))</f>
        <v>0</v>
      </c>
      <c r="M47" s="212"/>
      <c r="N47" s="213"/>
      <c r="O4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7" s="211" t="e">
        <f>IF([5]!Table4[[#This Row],[Job Sqm?]]="Yes",SUM('[5]TENDER SUMMARY'!$F$102:$F$111)/SQM*[5]!Table4[[#This Row],[Sqm]],0)</f>
        <v>#REF!</v>
      </c>
      <c r="Q47" s="211" t="e">
        <f>IF([5]!Table4[[#This Row],[Job Sqm?]]="Yes",'[5]EXECUTIVE SUMMARY'!$D$26*[5]!Table4[[#This Row],[Sqm]],0)</f>
        <v>#REF!</v>
      </c>
      <c r="R47" s="211" t="e">
        <f>_xlfn.XLOOKUP([5]!Table4[[#This Row],[Code]],'[5]TENDER SUMMARY'!$A$16:$A$152,'[5]TENDER SUMMARY'!$E$16:$E$152)*([5]!Table4[[#This Row],[Total]]+[5]!Table4[[#This Row],[Install Total]])</f>
        <v>#REF!</v>
      </c>
      <c r="S47" s="211">
        <f>IFERROR([5]!Table4[[#This Row],[Total]]+[5]!Table4[[#This Row],[Install Total]]+[5]!Table4[[#This Row],[Margin Total]]+[5]!Table4[[#This Row],[O/H Total]]+[5]!Table4[[#This Row],[Site Total]],"")</f>
        <v>0</v>
      </c>
      <c r="T47" s="204"/>
      <c r="U47" s="204"/>
      <c r="V47"/>
    </row>
    <row r="48" spans="1:22">
      <c r="B48" s="209"/>
      <c r="C48" s="206"/>
      <c r="F48" s="14"/>
      <c r="G48" s="14"/>
      <c r="H48" s="14"/>
      <c r="I48" s="14"/>
      <c r="J48" s="210"/>
      <c r="K48" s="208"/>
      <c r="L48" s="216">
        <f>IF([5]!Table4[[#This Row],[Unit]]="/Sqm",[5]!Table4[[#This Row],[Sqm]]*[5]!Table4[[#This Row],[Rate]],IF([5]!Table4[[#This Row],[Unit]]="/Count",[5]!Table4[[#This Row],[Count]]*[5]!Table4[[#This Row],[Rate]],IF([5]!Table4[[#This Row],[Unit]]="/Lm",[5]!Table4[[#This Row],[Lm]]*[5]!Table4[[#This Row],[Rate]],IF([5]!Table4[[#This Row],[Unit]]="/Cbm",[5]!Table4[[#This Row],[Cbm]]*[5]!Table4[[#This Row],[Rate]],0))))</f>
        <v>0</v>
      </c>
      <c r="M48" s="212"/>
      <c r="N48" s="213"/>
      <c r="O4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8" s="211" t="e">
        <f>IF([5]!Table4[[#This Row],[Job Sqm?]]="Yes",SUM('[5]TENDER SUMMARY'!$F$102:$F$111)/SQM*[5]!Table4[[#This Row],[Sqm]],0)</f>
        <v>#REF!</v>
      </c>
      <c r="Q48" s="211" t="e">
        <f>IF([5]!Table4[[#This Row],[Job Sqm?]]="Yes",'[5]EXECUTIVE SUMMARY'!$D$26*[5]!Table4[[#This Row],[Sqm]],0)</f>
        <v>#REF!</v>
      </c>
      <c r="R48" s="211" t="e">
        <f>_xlfn.XLOOKUP([5]!Table4[[#This Row],[Code]],'[5]TENDER SUMMARY'!$A$16:$A$152,'[5]TENDER SUMMARY'!$E$16:$E$152)*([5]!Table4[[#This Row],[Total]]+[5]!Table4[[#This Row],[Install Total]])</f>
        <v>#REF!</v>
      </c>
      <c r="S48" s="211">
        <f>IFERROR([5]!Table4[[#This Row],[Total]]+[5]!Table4[[#This Row],[Install Total]]+[5]!Table4[[#This Row],[Margin Total]]+[5]!Table4[[#This Row],[O/H Total]]+[5]!Table4[[#This Row],[Site Total]],"")</f>
        <v>0</v>
      </c>
      <c r="T48" s="205"/>
      <c r="U48" s="205"/>
      <c r="V48"/>
    </row>
    <row r="49" spans="1:22">
      <c r="A49" s="196"/>
      <c r="B49" s="209"/>
      <c r="C49" s="206"/>
      <c r="E49" s="27"/>
      <c r="F49" s="14"/>
      <c r="G49" s="14"/>
      <c r="H49" s="14"/>
      <c r="I49" s="14"/>
      <c r="J49" s="210"/>
      <c r="K49" s="208"/>
      <c r="L49" s="216">
        <f>IF([5]!Table4[[#This Row],[Unit]]="/Sqm",[5]!Table4[[#This Row],[Sqm]]*[5]!Table4[[#This Row],[Rate]],IF([5]!Table4[[#This Row],[Unit]]="/Count",[5]!Table4[[#This Row],[Count]]*[5]!Table4[[#This Row],[Rate]],IF([5]!Table4[[#This Row],[Unit]]="/Lm",[5]!Table4[[#This Row],[Lm]]*[5]!Table4[[#This Row],[Rate]],IF([5]!Table4[[#This Row],[Unit]]="/Cbm",[5]!Table4[[#This Row],[Cbm]]*[5]!Table4[[#This Row],[Rate]],0))))</f>
        <v>0</v>
      </c>
      <c r="M49" s="212"/>
      <c r="N49" s="213"/>
      <c r="O4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49" s="211" t="e">
        <f>IF([5]!Table4[[#This Row],[Job Sqm?]]="Yes",SUM('[5]TENDER SUMMARY'!$F$102:$F$111)/SQM*[5]!Table4[[#This Row],[Sqm]],0)</f>
        <v>#REF!</v>
      </c>
      <c r="Q49" s="211" t="e">
        <f>IF([5]!Table4[[#This Row],[Job Sqm?]]="Yes",'[5]EXECUTIVE SUMMARY'!$D$26*[5]!Table4[[#This Row],[Sqm]],0)</f>
        <v>#REF!</v>
      </c>
      <c r="R49" s="211" t="e">
        <f>_xlfn.XLOOKUP([5]!Table4[[#This Row],[Code]],'[5]TENDER SUMMARY'!$A$16:$A$152,'[5]TENDER SUMMARY'!$E$16:$E$152)*([5]!Table4[[#This Row],[Total]]+[5]!Table4[[#This Row],[Install Total]])</f>
        <v>#REF!</v>
      </c>
      <c r="S49" s="211">
        <f>IFERROR([5]!Table4[[#This Row],[Total]]+[5]!Table4[[#This Row],[Install Total]]+[5]!Table4[[#This Row],[Margin Total]]+[5]!Table4[[#This Row],[O/H Total]]+[5]!Table4[[#This Row],[Site Total]],"")</f>
        <v>0</v>
      </c>
      <c r="T49" s="205"/>
      <c r="U49" s="204"/>
      <c r="V49"/>
    </row>
    <row r="50" spans="1:22">
      <c r="B50" s="209"/>
      <c r="C50" s="206"/>
      <c r="F50" s="14"/>
      <c r="G50" s="14"/>
      <c r="H50" s="232"/>
      <c r="I50" s="14"/>
      <c r="J50" s="210"/>
      <c r="K50" s="208"/>
      <c r="L50" s="216">
        <f>IF([5]!Table4[[#This Row],[Unit]]="/Sqm",[5]!Table4[[#This Row],[Sqm]]*[5]!Table4[[#This Row],[Rate]],IF([5]!Table4[[#This Row],[Unit]]="/Count",[5]!Table4[[#This Row],[Count]]*[5]!Table4[[#This Row],[Rate]],IF([5]!Table4[[#This Row],[Unit]]="/Lm",[5]!Table4[[#This Row],[Lm]]*[5]!Table4[[#This Row],[Rate]],IF([5]!Table4[[#This Row],[Unit]]="/Cbm",[5]!Table4[[#This Row],[Cbm]]*[5]!Table4[[#This Row],[Rate]],0))))</f>
        <v>0</v>
      </c>
      <c r="M50" s="197"/>
      <c r="N50" s="213"/>
      <c r="O5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0" s="211" t="e">
        <f>IF([5]!Table4[[#This Row],[Job Sqm?]]="Yes",SUM('[5]TENDER SUMMARY'!$F$102:$F$111)/SQM*[5]!Table4[[#This Row],[Sqm]],0)</f>
        <v>#REF!</v>
      </c>
      <c r="Q50" s="211" t="e">
        <f>IF([5]!Table4[[#This Row],[Job Sqm?]]="Yes",'[5]EXECUTIVE SUMMARY'!$D$26*[5]!Table4[[#This Row],[Sqm]],0)</f>
        <v>#REF!</v>
      </c>
      <c r="R50" s="211" t="e">
        <f>_xlfn.XLOOKUP([5]!Table4[[#This Row],[Code]],'[5]TENDER SUMMARY'!$A$16:$A$152,'[5]TENDER SUMMARY'!$E$16:$E$152)*([5]!Table4[[#This Row],[Total]]+[5]!Table4[[#This Row],[Install Total]])</f>
        <v>#REF!</v>
      </c>
      <c r="S50" s="211">
        <f>IFERROR([5]!Table4[[#This Row],[Total]]+[5]!Table4[[#This Row],[Install Total]]+[5]!Table4[[#This Row],[Margin Total]]+[5]!Table4[[#This Row],[O/H Total]]+[5]!Table4[[#This Row],[Site Total]],"")</f>
        <v>0</v>
      </c>
      <c r="T50" s="204"/>
      <c r="U50" s="204"/>
      <c r="V50"/>
    </row>
    <row r="51" spans="1:22">
      <c r="B51" s="209"/>
      <c r="C51" s="206"/>
      <c r="F51" s="14"/>
      <c r="G51" s="14"/>
      <c r="H51" s="232"/>
      <c r="I51" s="14"/>
      <c r="J51" s="210"/>
      <c r="K51" s="208"/>
      <c r="L51" s="216">
        <f>IF([5]!Table4[[#This Row],[Unit]]="/Sqm",[5]!Table4[[#This Row],[Sqm]]*[5]!Table4[[#This Row],[Rate]],IF([5]!Table4[[#This Row],[Unit]]="/Count",[5]!Table4[[#This Row],[Count]]*[5]!Table4[[#This Row],[Rate]],IF([5]!Table4[[#This Row],[Unit]]="/Lm",[5]!Table4[[#This Row],[Lm]]*[5]!Table4[[#This Row],[Rate]],IF([5]!Table4[[#This Row],[Unit]]="/Cbm",[5]!Table4[[#This Row],[Cbm]]*[5]!Table4[[#This Row],[Rate]],0))))</f>
        <v>0</v>
      </c>
      <c r="M51" s="197"/>
      <c r="N51" s="213"/>
      <c r="O5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1" s="211" t="e">
        <f>IF([5]!Table4[[#This Row],[Job Sqm?]]="Yes",SUM('[5]TENDER SUMMARY'!$F$102:$F$111)/SQM*[5]!Table4[[#This Row],[Sqm]],0)</f>
        <v>#REF!</v>
      </c>
      <c r="Q51" s="211" t="e">
        <f>IF([5]!Table4[[#This Row],[Job Sqm?]]="Yes",'[5]EXECUTIVE SUMMARY'!$D$26*[5]!Table4[[#This Row],[Sqm]],0)</f>
        <v>#REF!</v>
      </c>
      <c r="R51" s="211" t="e">
        <f>_xlfn.XLOOKUP([5]!Table4[[#This Row],[Code]],'[5]TENDER SUMMARY'!$A$16:$A$152,'[5]TENDER SUMMARY'!$E$16:$E$152)*([5]!Table4[[#This Row],[Total]]+[5]!Table4[[#This Row],[Install Total]])</f>
        <v>#REF!</v>
      </c>
      <c r="S51" s="211">
        <f>IFERROR([5]!Table4[[#This Row],[Total]]+[5]!Table4[[#This Row],[Install Total]]+[5]!Table4[[#This Row],[Margin Total]]+[5]!Table4[[#This Row],[O/H Total]]+[5]!Table4[[#This Row],[Site Total]],"")</f>
        <v>0</v>
      </c>
      <c r="T51" s="204"/>
      <c r="U51" s="204"/>
      <c r="V51"/>
    </row>
    <row r="52" spans="1:22">
      <c r="B52" s="209"/>
      <c r="C52" s="206"/>
      <c r="F52" s="14"/>
      <c r="G52" s="14"/>
      <c r="H52" s="14"/>
      <c r="I52" s="14"/>
      <c r="J52" s="210"/>
      <c r="K52" s="208"/>
      <c r="L52" s="216">
        <f>IF([5]!Table4[[#This Row],[Unit]]="/Sqm",[5]!Table4[[#This Row],[Sqm]]*[5]!Table4[[#This Row],[Rate]],IF([5]!Table4[[#This Row],[Unit]]="/Count",[5]!Table4[[#This Row],[Count]]*[5]!Table4[[#This Row],[Rate]],IF([5]!Table4[[#This Row],[Unit]]="/Lm",[5]!Table4[[#This Row],[Lm]]*[5]!Table4[[#This Row],[Rate]],IF([5]!Table4[[#This Row],[Unit]]="/Cbm",[5]!Table4[[#This Row],[Cbm]]*[5]!Table4[[#This Row],[Rate]],0))))</f>
        <v>0</v>
      </c>
      <c r="M52" s="212"/>
      <c r="N52" s="213"/>
      <c r="O5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2" s="211" t="e">
        <f>IF([5]!Table4[[#This Row],[Job Sqm?]]="Yes",SUM('[5]TENDER SUMMARY'!$F$102:$F$111)/SQM*[5]!Table4[[#This Row],[Sqm]],0)</f>
        <v>#REF!</v>
      </c>
      <c r="Q52" s="211" t="e">
        <f>IF([5]!Table4[[#This Row],[Job Sqm?]]="Yes",'[5]EXECUTIVE SUMMARY'!$D$26*[5]!Table4[[#This Row],[Sqm]],0)</f>
        <v>#REF!</v>
      </c>
      <c r="R52" s="211" t="e">
        <f>_xlfn.XLOOKUP([5]!Table4[[#This Row],[Code]],'[5]TENDER SUMMARY'!$A$16:$A$152,'[5]TENDER SUMMARY'!$E$16:$E$152)*([5]!Table4[[#This Row],[Total]]+[5]!Table4[[#This Row],[Install Total]])</f>
        <v>#REF!</v>
      </c>
      <c r="S52" s="211">
        <f>IFERROR([5]!Table4[[#This Row],[Total]]+[5]!Table4[[#This Row],[Install Total]]+[5]!Table4[[#This Row],[Margin Total]]+[5]!Table4[[#This Row],[O/H Total]]+[5]!Table4[[#This Row],[Site Total]],"")</f>
        <v>0</v>
      </c>
      <c r="T52" s="204"/>
      <c r="U52" s="204"/>
      <c r="V52"/>
    </row>
    <row r="53" spans="1:22">
      <c r="B53" s="209"/>
      <c r="C53" s="206"/>
      <c r="E53" s="256"/>
      <c r="F53" s="14"/>
      <c r="G53" s="14"/>
      <c r="H53" s="14"/>
      <c r="I53" s="14"/>
      <c r="J53" s="210"/>
      <c r="K53" s="208"/>
      <c r="L53" s="216">
        <f>IF([5]!Table4[[#This Row],[Unit]]="/Sqm",[5]!Table4[[#This Row],[Sqm]]*[5]!Table4[[#This Row],[Rate]],IF([5]!Table4[[#This Row],[Unit]]="/Count",[5]!Table4[[#This Row],[Count]]*[5]!Table4[[#This Row],[Rate]],IF([5]!Table4[[#This Row],[Unit]]="/Lm",[5]!Table4[[#This Row],[Lm]]*[5]!Table4[[#This Row],[Rate]],IF([5]!Table4[[#This Row],[Unit]]="/Cbm",[5]!Table4[[#This Row],[Cbm]]*[5]!Table4[[#This Row],[Rate]],0))))</f>
        <v>0</v>
      </c>
      <c r="M53" s="197"/>
      <c r="N53" s="213"/>
      <c r="O5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3" s="211" t="e">
        <f>IF([5]!Table4[[#This Row],[Job Sqm?]]="Yes",SUM('[5]TENDER SUMMARY'!$F$102:$F$111)/SQM*[5]!Table4[[#This Row],[Sqm]],0)</f>
        <v>#REF!</v>
      </c>
      <c r="Q53" s="211" t="e">
        <f>IF([5]!Table4[[#This Row],[Job Sqm?]]="Yes",'[5]EXECUTIVE SUMMARY'!$D$26*[5]!Table4[[#This Row],[Sqm]],0)</f>
        <v>#REF!</v>
      </c>
      <c r="R53" s="211" t="e">
        <f>_xlfn.XLOOKUP([5]!Table4[[#This Row],[Code]],'[5]TENDER SUMMARY'!$A$16:$A$152,'[5]TENDER SUMMARY'!$E$16:$E$152)*([5]!Table4[[#This Row],[Total]]+[5]!Table4[[#This Row],[Install Total]])</f>
        <v>#REF!</v>
      </c>
      <c r="S53" s="211">
        <f>IFERROR([5]!Table4[[#This Row],[Total]]+[5]!Table4[[#This Row],[Install Total]]+[5]!Table4[[#This Row],[Margin Total]]+[5]!Table4[[#This Row],[O/H Total]]+[5]!Table4[[#This Row],[Site Total]],"")</f>
        <v>0</v>
      </c>
      <c r="T53" s="204"/>
      <c r="U53" s="204"/>
      <c r="V53"/>
    </row>
    <row r="54" spans="1:22">
      <c r="B54" s="209"/>
      <c r="C54" s="206"/>
      <c r="F54" s="14"/>
      <c r="G54" s="14"/>
      <c r="H54" s="14"/>
      <c r="I54" s="14"/>
      <c r="J54" s="210"/>
      <c r="K54" s="208"/>
      <c r="L54" s="216">
        <f>IF([5]!Table4[[#This Row],[Unit]]="/Sqm",[5]!Table4[[#This Row],[Sqm]]*[5]!Table4[[#This Row],[Rate]],IF([5]!Table4[[#This Row],[Unit]]="/Count",[5]!Table4[[#This Row],[Count]]*[5]!Table4[[#This Row],[Rate]],IF([5]!Table4[[#This Row],[Unit]]="/Lm",[5]!Table4[[#This Row],[Lm]]*[5]!Table4[[#This Row],[Rate]],IF([5]!Table4[[#This Row],[Unit]]="/Cbm",[5]!Table4[[#This Row],[Cbm]]*[5]!Table4[[#This Row],[Rate]],0))))</f>
        <v>0</v>
      </c>
      <c r="M54" s="197"/>
      <c r="N54" s="213"/>
      <c r="O5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4" s="211" t="e">
        <f>IF([5]!Table4[[#This Row],[Job Sqm?]]="Yes",SUM('[5]TENDER SUMMARY'!$F$102:$F$111)/SQM*[5]!Table4[[#This Row],[Sqm]],0)</f>
        <v>#REF!</v>
      </c>
      <c r="Q54" s="211" t="e">
        <f>IF([5]!Table4[[#This Row],[Job Sqm?]]="Yes",'[5]EXECUTIVE SUMMARY'!$D$26*[5]!Table4[[#This Row],[Sqm]],0)</f>
        <v>#REF!</v>
      </c>
      <c r="R54" s="211" t="e">
        <f>_xlfn.XLOOKUP([5]!Table4[[#This Row],[Code]],'[5]TENDER SUMMARY'!$A$16:$A$152,'[5]TENDER SUMMARY'!$E$16:$E$152)*([5]!Table4[[#This Row],[Total]]+[5]!Table4[[#This Row],[Install Total]])</f>
        <v>#REF!</v>
      </c>
      <c r="S54" s="211">
        <f>IFERROR([5]!Table4[[#This Row],[Total]]+[5]!Table4[[#This Row],[Install Total]]+[5]!Table4[[#This Row],[Margin Total]]+[5]!Table4[[#This Row],[O/H Total]]+[5]!Table4[[#This Row],[Site Total]],"")</f>
        <v>0</v>
      </c>
      <c r="T54" s="204"/>
      <c r="U54" s="204"/>
      <c r="V54"/>
    </row>
    <row r="55" spans="1:22">
      <c r="B55" s="209"/>
      <c r="C55" s="206"/>
      <c r="F55" s="14"/>
      <c r="G55" s="14"/>
      <c r="H55" s="14"/>
      <c r="I55" s="14"/>
      <c r="J55" s="210"/>
      <c r="K55" s="208"/>
      <c r="L55" s="216">
        <f>IF([5]!Table4[[#This Row],[Unit]]="/Sqm",[5]!Table4[[#This Row],[Sqm]]*[5]!Table4[[#This Row],[Rate]],IF([5]!Table4[[#This Row],[Unit]]="/Count",[5]!Table4[[#This Row],[Count]]*[5]!Table4[[#This Row],[Rate]],IF([5]!Table4[[#This Row],[Unit]]="/Lm",[5]!Table4[[#This Row],[Lm]]*[5]!Table4[[#This Row],[Rate]],IF([5]!Table4[[#This Row],[Unit]]="/Cbm",[5]!Table4[[#This Row],[Cbm]]*[5]!Table4[[#This Row],[Rate]],0))))</f>
        <v>0</v>
      </c>
      <c r="M55" s="197"/>
      <c r="N55" s="213"/>
      <c r="O5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5" s="211" t="e">
        <f>IF([5]!Table4[[#This Row],[Job Sqm?]]="Yes",SUM('[5]TENDER SUMMARY'!$F$102:$F$111)/SQM*[5]!Table4[[#This Row],[Sqm]],0)</f>
        <v>#REF!</v>
      </c>
      <c r="Q55" s="211" t="e">
        <f>IF([5]!Table4[[#This Row],[Job Sqm?]]="Yes",'[5]EXECUTIVE SUMMARY'!$D$26*[5]!Table4[[#This Row],[Sqm]],0)</f>
        <v>#REF!</v>
      </c>
      <c r="R55" s="211" t="e">
        <f>_xlfn.XLOOKUP([5]!Table4[[#This Row],[Code]],'[5]TENDER SUMMARY'!$A$16:$A$152,'[5]TENDER SUMMARY'!$E$16:$E$152)*([5]!Table4[[#This Row],[Total]]+[5]!Table4[[#This Row],[Install Total]])</f>
        <v>#REF!</v>
      </c>
      <c r="S55" s="211">
        <f>IFERROR([5]!Table4[[#This Row],[Total]]+[5]!Table4[[#This Row],[Install Total]]+[5]!Table4[[#This Row],[Margin Total]]+[5]!Table4[[#This Row],[O/H Total]]+[5]!Table4[[#This Row],[Site Total]],"")</f>
        <v>0</v>
      </c>
      <c r="T55" s="204"/>
      <c r="U55" s="204"/>
      <c r="V55"/>
    </row>
    <row r="56" spans="1:22">
      <c r="B56" s="209"/>
      <c r="C56" s="206"/>
      <c r="E56" s="256"/>
      <c r="F56" s="14"/>
      <c r="G56" s="14"/>
      <c r="H56" s="14"/>
      <c r="I56" s="14"/>
      <c r="J56" s="210"/>
      <c r="K56" s="208"/>
      <c r="L56" s="216">
        <f>IF([5]!Table4[[#This Row],[Unit]]="/Sqm",[5]!Table4[[#This Row],[Sqm]]*[5]!Table4[[#This Row],[Rate]],IF([5]!Table4[[#This Row],[Unit]]="/Count",[5]!Table4[[#This Row],[Count]]*[5]!Table4[[#This Row],[Rate]],IF([5]!Table4[[#This Row],[Unit]]="/Lm",[5]!Table4[[#This Row],[Lm]]*[5]!Table4[[#This Row],[Rate]],IF([5]!Table4[[#This Row],[Unit]]="/Cbm",[5]!Table4[[#This Row],[Cbm]]*[5]!Table4[[#This Row],[Rate]],0))))</f>
        <v>0</v>
      </c>
      <c r="M56" s="197"/>
      <c r="N56" s="213"/>
      <c r="O5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6" s="211" t="e">
        <f>IF([5]!Table4[[#This Row],[Job Sqm?]]="Yes",SUM('[5]TENDER SUMMARY'!$F$102:$F$111)/SQM*[5]!Table4[[#This Row],[Sqm]],0)</f>
        <v>#REF!</v>
      </c>
      <c r="Q56" s="211" t="e">
        <f>IF([5]!Table4[[#This Row],[Job Sqm?]]="Yes",'[5]EXECUTIVE SUMMARY'!$D$26*[5]!Table4[[#This Row],[Sqm]],0)</f>
        <v>#REF!</v>
      </c>
      <c r="R56" s="211" t="e">
        <f>_xlfn.XLOOKUP([5]!Table4[[#This Row],[Code]],'[5]TENDER SUMMARY'!$A$16:$A$152,'[5]TENDER SUMMARY'!$E$16:$E$152)*([5]!Table4[[#This Row],[Total]]+[5]!Table4[[#This Row],[Install Total]])</f>
        <v>#REF!</v>
      </c>
      <c r="S56" s="211">
        <f>IFERROR([5]!Table4[[#This Row],[Total]]+[5]!Table4[[#This Row],[Install Total]]+[5]!Table4[[#This Row],[Margin Total]]+[5]!Table4[[#This Row],[O/H Total]]+[5]!Table4[[#This Row],[Site Total]],"")</f>
        <v>0</v>
      </c>
      <c r="T56" s="204"/>
      <c r="U56" s="204"/>
      <c r="V56"/>
    </row>
    <row r="57" spans="1:22">
      <c r="B57" s="209"/>
      <c r="F57" s="14"/>
      <c r="G57" s="14"/>
      <c r="H57" s="14"/>
      <c r="I57" s="14"/>
      <c r="J57" s="210"/>
      <c r="K57" s="208"/>
      <c r="L57" s="216">
        <f>IF([5]!Table4[[#This Row],[Unit]]="/Sqm",[5]!Table4[[#This Row],[Sqm]]*[5]!Table4[[#This Row],[Rate]],IF([5]!Table4[[#This Row],[Unit]]="/Count",[5]!Table4[[#This Row],[Count]]*[5]!Table4[[#This Row],[Rate]],IF([5]!Table4[[#This Row],[Unit]]="/Lm",[5]!Table4[[#This Row],[Lm]]*[5]!Table4[[#This Row],[Rate]],IF([5]!Table4[[#This Row],[Unit]]="/Cbm",[5]!Table4[[#This Row],[Cbm]]*[5]!Table4[[#This Row],[Rate]],0))))</f>
        <v>0</v>
      </c>
      <c r="M57" s="212"/>
      <c r="N57" s="213"/>
      <c r="O5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7" s="211" t="e">
        <f>IF([5]!Table4[[#This Row],[Job Sqm?]]="Yes",SUM('[5]TENDER SUMMARY'!$F$102:$F$111)/SQM*[5]!Table4[[#This Row],[Sqm]],0)</f>
        <v>#REF!</v>
      </c>
      <c r="Q57" s="211" t="e">
        <f>IF([5]!Table4[[#This Row],[Job Sqm?]]="Yes",'[5]EXECUTIVE SUMMARY'!$D$26*[5]!Table4[[#This Row],[Sqm]],0)</f>
        <v>#REF!</v>
      </c>
      <c r="R57" s="211" t="e">
        <f>_xlfn.XLOOKUP([5]!Table4[[#This Row],[Code]],'[5]TENDER SUMMARY'!$A$16:$A$152,'[5]TENDER SUMMARY'!$E$16:$E$152)*([5]!Table4[[#This Row],[Total]]+[5]!Table4[[#This Row],[Install Total]])</f>
        <v>#REF!</v>
      </c>
      <c r="S57" s="211">
        <f>IFERROR([5]!Table4[[#This Row],[Total]]+[5]!Table4[[#This Row],[Install Total]]+[5]!Table4[[#This Row],[Margin Total]]+[5]!Table4[[#This Row],[O/H Total]]+[5]!Table4[[#This Row],[Site Total]],"")</f>
        <v>0</v>
      </c>
      <c r="T57" s="204"/>
      <c r="U57" s="204"/>
      <c r="V57"/>
    </row>
    <row r="58" spans="1:22">
      <c r="B58" s="209"/>
      <c r="C58" s="206"/>
      <c r="E58" s="256"/>
      <c r="F58" s="14"/>
      <c r="G58" s="14"/>
      <c r="H58" s="14"/>
      <c r="I58" s="14"/>
      <c r="J58" s="210"/>
      <c r="K58" s="208"/>
      <c r="L58" s="216">
        <f>IF([5]!Table4[[#This Row],[Unit]]="/Sqm",[5]!Table4[[#This Row],[Sqm]]*[5]!Table4[[#This Row],[Rate]],IF([5]!Table4[[#This Row],[Unit]]="/Count",[5]!Table4[[#This Row],[Count]]*[5]!Table4[[#This Row],[Rate]],IF([5]!Table4[[#This Row],[Unit]]="/Lm",[5]!Table4[[#This Row],[Lm]]*[5]!Table4[[#This Row],[Rate]],IF([5]!Table4[[#This Row],[Unit]]="/Cbm",[5]!Table4[[#This Row],[Cbm]]*[5]!Table4[[#This Row],[Rate]],0))))</f>
        <v>0</v>
      </c>
      <c r="M58" s="197"/>
      <c r="N58" s="213"/>
      <c r="O5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8" s="211" t="e">
        <f>IF([5]!Table4[[#This Row],[Job Sqm?]]="Yes",SUM('[5]TENDER SUMMARY'!$F$102:$F$111)/SQM*[5]!Table4[[#This Row],[Sqm]],0)</f>
        <v>#REF!</v>
      </c>
      <c r="Q58" s="211" t="e">
        <f>IF([5]!Table4[[#This Row],[Job Sqm?]]="Yes",'[5]EXECUTIVE SUMMARY'!$D$26*[5]!Table4[[#This Row],[Sqm]],0)</f>
        <v>#REF!</v>
      </c>
      <c r="R58" s="211" t="e">
        <f>_xlfn.XLOOKUP([5]!Table4[[#This Row],[Code]],'[5]TENDER SUMMARY'!$A$16:$A$152,'[5]TENDER SUMMARY'!$E$16:$E$152)*([5]!Table4[[#This Row],[Total]]+[5]!Table4[[#This Row],[Install Total]])</f>
        <v>#REF!</v>
      </c>
      <c r="S58" s="211">
        <f>IFERROR([5]!Table4[[#This Row],[Total]]+[5]!Table4[[#This Row],[Install Total]]+[5]!Table4[[#This Row],[Margin Total]]+[5]!Table4[[#This Row],[O/H Total]]+[5]!Table4[[#This Row],[Site Total]],"")</f>
        <v>0</v>
      </c>
      <c r="T58" s="204"/>
      <c r="U58" s="204"/>
      <c r="V58"/>
    </row>
    <row r="59" spans="1:22">
      <c r="B59" s="209"/>
      <c r="C59" s="206"/>
      <c r="F59" s="14"/>
      <c r="G59" s="14"/>
      <c r="H59" s="14"/>
      <c r="I59" s="14"/>
      <c r="J59" s="210"/>
      <c r="K59" s="208"/>
      <c r="L59" s="216">
        <f>IF([5]!Table4[[#This Row],[Unit]]="/Sqm",[5]!Table4[[#This Row],[Sqm]]*[5]!Table4[[#This Row],[Rate]],IF([5]!Table4[[#This Row],[Unit]]="/Count",[5]!Table4[[#This Row],[Count]]*[5]!Table4[[#This Row],[Rate]],IF([5]!Table4[[#This Row],[Unit]]="/Lm",[5]!Table4[[#This Row],[Lm]]*[5]!Table4[[#This Row],[Rate]],IF([5]!Table4[[#This Row],[Unit]]="/Cbm",[5]!Table4[[#This Row],[Cbm]]*[5]!Table4[[#This Row],[Rate]],0))))</f>
        <v>0</v>
      </c>
      <c r="M59" s="197"/>
      <c r="N59" s="213"/>
      <c r="O5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59" s="211" t="e">
        <f>IF([5]!Table4[[#This Row],[Job Sqm?]]="Yes",SUM('[5]TENDER SUMMARY'!$F$102:$F$111)/SQM*[5]!Table4[[#This Row],[Sqm]],0)</f>
        <v>#REF!</v>
      </c>
      <c r="Q59" s="211" t="e">
        <f>IF([5]!Table4[[#This Row],[Job Sqm?]]="Yes",'[5]EXECUTIVE SUMMARY'!$D$26*[5]!Table4[[#This Row],[Sqm]],0)</f>
        <v>#REF!</v>
      </c>
      <c r="R59" s="211" t="e">
        <f>_xlfn.XLOOKUP([5]!Table4[[#This Row],[Code]],'[5]TENDER SUMMARY'!$A$16:$A$152,'[5]TENDER SUMMARY'!$E$16:$E$152)*([5]!Table4[[#This Row],[Total]]+[5]!Table4[[#This Row],[Install Total]])</f>
        <v>#REF!</v>
      </c>
      <c r="S59" s="211">
        <f>IFERROR([5]!Table4[[#This Row],[Total]]+[5]!Table4[[#This Row],[Install Total]]+[5]!Table4[[#This Row],[Margin Total]]+[5]!Table4[[#This Row],[O/H Total]]+[5]!Table4[[#This Row],[Site Total]],"")</f>
        <v>0</v>
      </c>
      <c r="T59" s="204"/>
      <c r="U59" s="204"/>
      <c r="V59"/>
    </row>
    <row r="60" spans="1:22">
      <c r="B60" s="209"/>
      <c r="C60" s="206"/>
      <c r="E60" s="256"/>
      <c r="F60" s="14"/>
      <c r="G60" s="14"/>
      <c r="H60" s="14"/>
      <c r="I60" s="14"/>
      <c r="J60" s="210"/>
      <c r="K60" s="208"/>
      <c r="L60" s="216">
        <f>IF([5]!Table4[[#This Row],[Unit]]="/Sqm",[5]!Table4[[#This Row],[Sqm]]*[5]!Table4[[#This Row],[Rate]],IF([5]!Table4[[#This Row],[Unit]]="/Count",[5]!Table4[[#This Row],[Count]]*[5]!Table4[[#This Row],[Rate]],IF([5]!Table4[[#This Row],[Unit]]="/Lm",[5]!Table4[[#This Row],[Lm]]*[5]!Table4[[#This Row],[Rate]],IF([5]!Table4[[#This Row],[Unit]]="/Cbm",[5]!Table4[[#This Row],[Cbm]]*[5]!Table4[[#This Row],[Rate]],0))))</f>
        <v>0</v>
      </c>
      <c r="M60" s="197"/>
      <c r="N60" s="213"/>
      <c r="O6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0" s="211" t="e">
        <f>IF([5]!Table4[[#This Row],[Job Sqm?]]="Yes",SUM('[5]TENDER SUMMARY'!$F$102:$F$111)/SQM*[5]!Table4[[#This Row],[Sqm]],0)</f>
        <v>#REF!</v>
      </c>
      <c r="Q60" s="211" t="e">
        <f>IF([5]!Table4[[#This Row],[Job Sqm?]]="Yes",'[5]EXECUTIVE SUMMARY'!$D$26*[5]!Table4[[#This Row],[Sqm]],0)</f>
        <v>#REF!</v>
      </c>
      <c r="R60" s="211" t="e">
        <f>_xlfn.XLOOKUP([5]!Table4[[#This Row],[Code]],'[5]TENDER SUMMARY'!$A$16:$A$152,'[5]TENDER SUMMARY'!$E$16:$E$152)*([5]!Table4[[#This Row],[Total]]+[5]!Table4[[#This Row],[Install Total]])</f>
        <v>#REF!</v>
      </c>
      <c r="S60" s="211">
        <f>IFERROR([5]!Table4[[#This Row],[Total]]+[5]!Table4[[#This Row],[Install Total]]+[5]!Table4[[#This Row],[Margin Total]]+[5]!Table4[[#This Row],[O/H Total]]+[5]!Table4[[#This Row],[Site Total]],"")</f>
        <v>0</v>
      </c>
      <c r="T60" s="204"/>
      <c r="U60" s="204"/>
      <c r="V60"/>
    </row>
    <row r="61" spans="1:22">
      <c r="B61" s="209"/>
      <c r="C61" s="206"/>
      <c r="E61" s="256"/>
      <c r="F61" s="14"/>
      <c r="G61" s="14"/>
      <c r="H61" s="14"/>
      <c r="I61" s="14"/>
      <c r="J61" s="210"/>
      <c r="K61" s="208"/>
      <c r="L61" s="216">
        <f>IF([5]!Table4[[#This Row],[Unit]]="/Sqm",[5]!Table4[[#This Row],[Sqm]]*[5]!Table4[[#This Row],[Rate]],IF([5]!Table4[[#This Row],[Unit]]="/Count",[5]!Table4[[#This Row],[Count]]*[5]!Table4[[#This Row],[Rate]],IF([5]!Table4[[#This Row],[Unit]]="/Lm",[5]!Table4[[#This Row],[Lm]]*[5]!Table4[[#This Row],[Rate]],IF([5]!Table4[[#This Row],[Unit]]="/Cbm",[5]!Table4[[#This Row],[Cbm]]*[5]!Table4[[#This Row],[Rate]],0))))</f>
        <v>0</v>
      </c>
      <c r="M61" s="197"/>
      <c r="N61" s="213"/>
      <c r="O6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1" s="211" t="e">
        <f>IF([5]!Table4[[#This Row],[Job Sqm?]]="Yes",SUM('[5]TENDER SUMMARY'!$F$102:$F$111)/SQM*[5]!Table4[[#This Row],[Sqm]],0)</f>
        <v>#REF!</v>
      </c>
      <c r="Q61" s="211" t="e">
        <f>IF([5]!Table4[[#This Row],[Job Sqm?]]="Yes",'[5]EXECUTIVE SUMMARY'!$D$26*[5]!Table4[[#This Row],[Sqm]],0)</f>
        <v>#REF!</v>
      </c>
      <c r="R61" s="211" t="e">
        <f>_xlfn.XLOOKUP([5]!Table4[[#This Row],[Code]],'[5]TENDER SUMMARY'!$A$16:$A$152,'[5]TENDER SUMMARY'!$E$16:$E$152)*([5]!Table4[[#This Row],[Total]]+[5]!Table4[[#This Row],[Install Total]])</f>
        <v>#REF!</v>
      </c>
      <c r="S61" s="211">
        <f>IFERROR([5]!Table4[[#This Row],[Total]]+[5]!Table4[[#This Row],[Install Total]]+[5]!Table4[[#This Row],[Margin Total]]+[5]!Table4[[#This Row],[O/H Total]]+[5]!Table4[[#This Row],[Site Total]],"")</f>
        <v>0</v>
      </c>
      <c r="T61" s="204"/>
      <c r="U61" s="204"/>
      <c r="V61"/>
    </row>
    <row r="62" spans="1:22">
      <c r="B62" s="209"/>
      <c r="C62" s="206"/>
      <c r="F62" s="14"/>
      <c r="G62" s="14"/>
      <c r="H62" s="14"/>
      <c r="I62" s="14"/>
      <c r="J62" s="210"/>
      <c r="K62" s="208"/>
      <c r="L62" s="216">
        <f>IF([5]!Table4[[#This Row],[Unit]]="/Sqm",[5]!Table4[[#This Row],[Sqm]]*[5]!Table4[[#This Row],[Rate]],IF([5]!Table4[[#This Row],[Unit]]="/Count",[5]!Table4[[#This Row],[Count]]*[5]!Table4[[#This Row],[Rate]],IF([5]!Table4[[#This Row],[Unit]]="/Lm",[5]!Table4[[#This Row],[Lm]]*[5]!Table4[[#This Row],[Rate]],IF([5]!Table4[[#This Row],[Unit]]="/Cbm",[5]!Table4[[#This Row],[Cbm]]*[5]!Table4[[#This Row],[Rate]],0))))</f>
        <v>0</v>
      </c>
      <c r="M62" s="197"/>
      <c r="N62" s="213"/>
      <c r="O6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2" s="211" t="e">
        <f>IF([5]!Table4[[#This Row],[Job Sqm?]]="Yes",SUM('[5]TENDER SUMMARY'!$F$102:$F$111)/SQM*[5]!Table4[[#This Row],[Sqm]],0)</f>
        <v>#REF!</v>
      </c>
      <c r="Q62" s="211" t="e">
        <f>IF([5]!Table4[[#This Row],[Job Sqm?]]="Yes",'[5]EXECUTIVE SUMMARY'!$D$26*[5]!Table4[[#This Row],[Sqm]],0)</f>
        <v>#REF!</v>
      </c>
      <c r="R62" s="211" t="e">
        <f>_xlfn.XLOOKUP([5]!Table4[[#This Row],[Code]],'[5]TENDER SUMMARY'!$A$16:$A$152,'[5]TENDER SUMMARY'!$E$16:$E$152)*([5]!Table4[[#This Row],[Total]]+[5]!Table4[[#This Row],[Install Total]])</f>
        <v>#REF!</v>
      </c>
      <c r="S62" s="211">
        <f>IFERROR([5]!Table4[[#This Row],[Total]]+[5]!Table4[[#This Row],[Install Total]]+[5]!Table4[[#This Row],[Margin Total]]+[5]!Table4[[#This Row],[O/H Total]]+[5]!Table4[[#This Row],[Site Total]],"")</f>
        <v>0</v>
      </c>
      <c r="T62" s="204"/>
      <c r="U62" s="204"/>
      <c r="V62"/>
    </row>
    <row r="63" spans="1:22">
      <c r="B63" s="209"/>
      <c r="C63" s="206"/>
      <c r="F63" s="14"/>
      <c r="G63" s="14"/>
      <c r="H63" s="14"/>
      <c r="I63" s="14"/>
      <c r="J63" s="210"/>
      <c r="K63" s="208"/>
      <c r="L63" s="216">
        <f>IF([5]!Table4[[#This Row],[Unit]]="/Sqm",[5]!Table4[[#This Row],[Sqm]]*[5]!Table4[[#This Row],[Rate]],IF([5]!Table4[[#This Row],[Unit]]="/Count",[5]!Table4[[#This Row],[Count]]*[5]!Table4[[#This Row],[Rate]],IF([5]!Table4[[#This Row],[Unit]]="/Lm",[5]!Table4[[#This Row],[Lm]]*[5]!Table4[[#This Row],[Rate]],IF([5]!Table4[[#This Row],[Unit]]="/Cbm",[5]!Table4[[#This Row],[Cbm]]*[5]!Table4[[#This Row],[Rate]],0))))</f>
        <v>0</v>
      </c>
      <c r="M63" s="197"/>
      <c r="N63" s="213"/>
      <c r="O6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3" s="211" t="e">
        <f>IF([5]!Table4[[#This Row],[Job Sqm?]]="Yes",SUM('[5]TENDER SUMMARY'!$F$102:$F$111)/SQM*[5]!Table4[[#This Row],[Sqm]],0)</f>
        <v>#REF!</v>
      </c>
      <c r="Q63" s="211" t="e">
        <f>IF([5]!Table4[[#This Row],[Job Sqm?]]="Yes",'[5]EXECUTIVE SUMMARY'!$D$26*[5]!Table4[[#This Row],[Sqm]],0)</f>
        <v>#REF!</v>
      </c>
      <c r="R63" s="211" t="e">
        <f>_xlfn.XLOOKUP([5]!Table4[[#This Row],[Code]],'[5]TENDER SUMMARY'!$A$16:$A$152,'[5]TENDER SUMMARY'!$E$16:$E$152)*([5]!Table4[[#This Row],[Total]]+[5]!Table4[[#This Row],[Install Total]])</f>
        <v>#REF!</v>
      </c>
      <c r="S63" s="211">
        <f>IFERROR([5]!Table4[[#This Row],[Total]]+[5]!Table4[[#This Row],[Install Total]]+[5]!Table4[[#This Row],[Margin Total]]+[5]!Table4[[#This Row],[O/H Total]]+[5]!Table4[[#This Row],[Site Total]],"")</f>
        <v>0</v>
      </c>
      <c r="T63" s="204"/>
      <c r="U63" s="204"/>
      <c r="V63"/>
    </row>
    <row r="64" spans="1:22">
      <c r="B64" s="209"/>
      <c r="C64" s="206"/>
      <c r="F64" s="14"/>
      <c r="G64" s="14"/>
      <c r="H64" s="14"/>
      <c r="I64" s="14"/>
      <c r="J64" s="210"/>
      <c r="K64" s="208"/>
      <c r="L64" s="216">
        <f>IF([5]!Table4[[#This Row],[Unit]]="/Sqm",[5]!Table4[[#This Row],[Sqm]]*[5]!Table4[[#This Row],[Rate]],IF([5]!Table4[[#This Row],[Unit]]="/Count",[5]!Table4[[#This Row],[Count]]*[5]!Table4[[#This Row],[Rate]],IF([5]!Table4[[#This Row],[Unit]]="/Lm",[5]!Table4[[#This Row],[Lm]]*[5]!Table4[[#This Row],[Rate]],IF([5]!Table4[[#This Row],[Unit]]="/Cbm",[5]!Table4[[#This Row],[Cbm]]*[5]!Table4[[#This Row],[Rate]],0))))</f>
        <v>0</v>
      </c>
      <c r="M64" s="197"/>
      <c r="N64" s="213"/>
      <c r="O6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4" s="211" t="e">
        <f>IF([5]!Table4[[#This Row],[Job Sqm?]]="Yes",SUM('[5]TENDER SUMMARY'!$F$102:$F$111)/SQM*[5]!Table4[[#This Row],[Sqm]],0)</f>
        <v>#REF!</v>
      </c>
      <c r="Q64" s="211" t="e">
        <f>IF([5]!Table4[[#This Row],[Job Sqm?]]="Yes",'[5]EXECUTIVE SUMMARY'!$D$26*[5]!Table4[[#This Row],[Sqm]],0)</f>
        <v>#REF!</v>
      </c>
      <c r="R64" s="211" t="e">
        <f>_xlfn.XLOOKUP([5]!Table4[[#This Row],[Code]],'[5]TENDER SUMMARY'!$A$16:$A$152,'[5]TENDER SUMMARY'!$E$16:$E$152)*([5]!Table4[[#This Row],[Total]]+[5]!Table4[[#This Row],[Install Total]])</f>
        <v>#REF!</v>
      </c>
      <c r="S64" s="211">
        <f>IFERROR([5]!Table4[[#This Row],[Total]]+[5]!Table4[[#This Row],[Install Total]]+[5]!Table4[[#This Row],[Margin Total]]+[5]!Table4[[#This Row],[O/H Total]]+[5]!Table4[[#This Row],[Site Total]],"")</f>
        <v>0</v>
      </c>
      <c r="T64" s="204"/>
      <c r="U64" s="204"/>
      <c r="V64"/>
    </row>
    <row r="65" spans="2:22">
      <c r="B65" s="209"/>
      <c r="C65" s="206"/>
      <c r="F65" s="14"/>
      <c r="G65" s="14"/>
      <c r="H65" s="14"/>
      <c r="I65" s="14"/>
      <c r="J65" s="210"/>
      <c r="K65" s="208"/>
      <c r="L65" s="216">
        <f>IF([5]!Table4[[#This Row],[Unit]]="/Sqm",[5]!Table4[[#This Row],[Sqm]]*[5]!Table4[[#This Row],[Rate]],IF([5]!Table4[[#This Row],[Unit]]="/Count",[5]!Table4[[#This Row],[Count]]*[5]!Table4[[#This Row],[Rate]],IF([5]!Table4[[#This Row],[Unit]]="/Lm",[5]!Table4[[#This Row],[Lm]]*[5]!Table4[[#This Row],[Rate]],IF([5]!Table4[[#This Row],[Unit]]="/Cbm",[5]!Table4[[#This Row],[Cbm]]*[5]!Table4[[#This Row],[Rate]],0))))</f>
        <v>0</v>
      </c>
      <c r="M65" s="197"/>
      <c r="N65" s="213"/>
      <c r="O6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5" s="211" t="e">
        <f>IF([5]!Table4[[#This Row],[Job Sqm?]]="Yes",SUM('[5]TENDER SUMMARY'!$F$102:$F$111)/SQM*[5]!Table4[[#This Row],[Sqm]],0)</f>
        <v>#REF!</v>
      </c>
      <c r="Q65" s="211" t="e">
        <f>IF([5]!Table4[[#This Row],[Job Sqm?]]="Yes",'[5]EXECUTIVE SUMMARY'!$D$26*[5]!Table4[[#This Row],[Sqm]],0)</f>
        <v>#REF!</v>
      </c>
      <c r="R65" s="211" t="e">
        <f>_xlfn.XLOOKUP([5]!Table4[[#This Row],[Code]],'[5]TENDER SUMMARY'!$A$16:$A$152,'[5]TENDER SUMMARY'!$E$16:$E$152)*([5]!Table4[[#This Row],[Total]]+[5]!Table4[[#This Row],[Install Total]])</f>
        <v>#REF!</v>
      </c>
      <c r="S65" s="211">
        <f>IFERROR([5]!Table4[[#This Row],[Total]]+[5]!Table4[[#This Row],[Install Total]]+[5]!Table4[[#This Row],[Margin Total]]+[5]!Table4[[#This Row],[O/H Total]]+[5]!Table4[[#This Row],[Site Total]],"")</f>
        <v>0</v>
      </c>
      <c r="T65" s="204"/>
      <c r="U65" s="204"/>
      <c r="V65"/>
    </row>
    <row r="66" spans="2:22">
      <c r="B66" s="209"/>
      <c r="C66" s="206"/>
      <c r="F66" s="14"/>
      <c r="G66" s="14"/>
      <c r="H66" s="14"/>
      <c r="I66" s="14"/>
      <c r="J66" s="210"/>
      <c r="K66" s="208"/>
      <c r="L66" s="216">
        <f>IF([5]!Table4[[#This Row],[Unit]]="/Sqm",[5]!Table4[[#This Row],[Sqm]]*[5]!Table4[[#This Row],[Rate]],IF([5]!Table4[[#This Row],[Unit]]="/Count",[5]!Table4[[#This Row],[Count]]*[5]!Table4[[#This Row],[Rate]],IF([5]!Table4[[#This Row],[Unit]]="/Lm",[5]!Table4[[#This Row],[Lm]]*[5]!Table4[[#This Row],[Rate]],IF([5]!Table4[[#This Row],[Unit]]="/Cbm",[5]!Table4[[#This Row],[Cbm]]*[5]!Table4[[#This Row],[Rate]],0))))</f>
        <v>0</v>
      </c>
      <c r="M66" s="197"/>
      <c r="N66" s="213"/>
      <c r="O6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6" s="211" t="e">
        <f>IF([5]!Table4[[#This Row],[Job Sqm?]]="Yes",SUM('[5]TENDER SUMMARY'!$F$102:$F$111)/SQM*[5]!Table4[[#This Row],[Sqm]],0)</f>
        <v>#REF!</v>
      </c>
      <c r="Q66" s="211" t="e">
        <f>IF([5]!Table4[[#This Row],[Job Sqm?]]="Yes",'[5]EXECUTIVE SUMMARY'!$D$26*[5]!Table4[[#This Row],[Sqm]],0)</f>
        <v>#REF!</v>
      </c>
      <c r="R66" s="211" t="e">
        <f>_xlfn.XLOOKUP([5]!Table4[[#This Row],[Code]],'[5]TENDER SUMMARY'!$A$16:$A$152,'[5]TENDER SUMMARY'!$E$16:$E$152)*([5]!Table4[[#This Row],[Total]]+[5]!Table4[[#This Row],[Install Total]])</f>
        <v>#REF!</v>
      </c>
      <c r="S66" s="211">
        <f>IFERROR([5]!Table4[[#This Row],[Total]]+[5]!Table4[[#This Row],[Install Total]]+[5]!Table4[[#This Row],[Margin Total]]+[5]!Table4[[#This Row],[O/H Total]]+[5]!Table4[[#This Row],[Site Total]],"")</f>
        <v>0</v>
      </c>
      <c r="T66" s="204"/>
      <c r="U66" s="204"/>
      <c r="V66"/>
    </row>
    <row r="67" spans="2:22">
      <c r="B67" s="209"/>
      <c r="C67" s="206"/>
      <c r="F67" s="14"/>
      <c r="G67" s="14"/>
      <c r="H67" s="14"/>
      <c r="I67" s="14"/>
      <c r="J67" s="210"/>
      <c r="K67" s="208"/>
      <c r="L67" s="216">
        <f>IF([5]!Table4[[#This Row],[Unit]]="/Sqm",[5]!Table4[[#This Row],[Sqm]]*[5]!Table4[[#This Row],[Rate]],IF([5]!Table4[[#This Row],[Unit]]="/Count",[5]!Table4[[#This Row],[Count]]*[5]!Table4[[#This Row],[Rate]],IF([5]!Table4[[#This Row],[Unit]]="/Lm",[5]!Table4[[#This Row],[Lm]]*[5]!Table4[[#This Row],[Rate]],IF([5]!Table4[[#This Row],[Unit]]="/Cbm",[5]!Table4[[#This Row],[Cbm]]*[5]!Table4[[#This Row],[Rate]],0))))</f>
        <v>0</v>
      </c>
      <c r="M67" s="197"/>
      <c r="N67" s="213"/>
      <c r="O6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7" s="211" t="e">
        <f>IF([5]!Table4[[#This Row],[Job Sqm?]]="Yes",SUM('[5]TENDER SUMMARY'!$F$102:$F$111)/SQM*[5]!Table4[[#This Row],[Sqm]],0)</f>
        <v>#REF!</v>
      </c>
      <c r="Q67" s="211" t="e">
        <f>IF([5]!Table4[[#This Row],[Job Sqm?]]="Yes",'[5]EXECUTIVE SUMMARY'!$D$26*[5]!Table4[[#This Row],[Sqm]],0)</f>
        <v>#REF!</v>
      </c>
      <c r="R67" s="211" t="e">
        <f>_xlfn.XLOOKUP([5]!Table4[[#This Row],[Code]],'[5]TENDER SUMMARY'!$A$16:$A$152,'[5]TENDER SUMMARY'!$E$16:$E$152)*([5]!Table4[[#This Row],[Total]]+[5]!Table4[[#This Row],[Install Total]])</f>
        <v>#REF!</v>
      </c>
      <c r="S67" s="211">
        <f>IFERROR([5]!Table4[[#This Row],[Total]]+[5]!Table4[[#This Row],[Install Total]]+[5]!Table4[[#This Row],[Margin Total]]+[5]!Table4[[#This Row],[O/H Total]]+[5]!Table4[[#This Row],[Site Total]],"")</f>
        <v>0</v>
      </c>
      <c r="T67" s="204"/>
      <c r="U67" s="204"/>
      <c r="V67"/>
    </row>
    <row r="68" spans="2:22">
      <c r="B68" s="209"/>
      <c r="C68" s="206"/>
      <c r="F68" s="14"/>
      <c r="G68" s="14"/>
      <c r="H68" s="14"/>
      <c r="I68" s="14"/>
      <c r="J68" s="210"/>
      <c r="K68" s="208"/>
      <c r="L68" s="216">
        <f>IF([5]!Table4[[#This Row],[Unit]]="/Sqm",[5]!Table4[[#This Row],[Sqm]]*[5]!Table4[[#This Row],[Rate]],IF([5]!Table4[[#This Row],[Unit]]="/Count",[5]!Table4[[#This Row],[Count]]*[5]!Table4[[#This Row],[Rate]],IF([5]!Table4[[#This Row],[Unit]]="/Lm",[5]!Table4[[#This Row],[Lm]]*[5]!Table4[[#This Row],[Rate]],IF([5]!Table4[[#This Row],[Unit]]="/Cbm",[5]!Table4[[#This Row],[Cbm]]*[5]!Table4[[#This Row],[Rate]],0))))</f>
        <v>0</v>
      </c>
      <c r="M68" s="212"/>
      <c r="N68" s="213"/>
      <c r="O6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8" s="211" t="e">
        <f>IF([5]!Table4[[#This Row],[Job Sqm?]]="Yes",SUM('[5]TENDER SUMMARY'!$F$102:$F$111)/SQM*[5]!Table4[[#This Row],[Sqm]],0)</f>
        <v>#REF!</v>
      </c>
      <c r="Q68" s="211" t="e">
        <f>IF([5]!Table4[[#This Row],[Job Sqm?]]="Yes",'[5]EXECUTIVE SUMMARY'!$D$26*[5]!Table4[[#This Row],[Sqm]],0)</f>
        <v>#REF!</v>
      </c>
      <c r="R68" s="211" t="e">
        <f>_xlfn.XLOOKUP([5]!Table4[[#This Row],[Code]],'[5]TENDER SUMMARY'!$A$16:$A$152,'[5]TENDER SUMMARY'!$E$16:$E$152)*([5]!Table4[[#This Row],[Total]]+[5]!Table4[[#This Row],[Install Total]])</f>
        <v>#REF!</v>
      </c>
      <c r="S68" s="211">
        <f>IFERROR([5]!Table4[[#This Row],[Total]]+[5]!Table4[[#This Row],[Install Total]]+[5]!Table4[[#This Row],[Margin Total]]+[5]!Table4[[#This Row],[O/H Total]]+[5]!Table4[[#This Row],[Site Total]],"")</f>
        <v>0</v>
      </c>
      <c r="T68" s="204"/>
      <c r="U68" s="204"/>
      <c r="V68"/>
    </row>
    <row r="69" spans="2:22">
      <c r="B69" s="209"/>
      <c r="C69" s="206"/>
      <c r="F69" s="14"/>
      <c r="G69" s="14"/>
      <c r="H69" s="14"/>
      <c r="I69" s="14"/>
      <c r="J69" s="197"/>
      <c r="K69" s="208"/>
      <c r="L69" s="216">
        <f>IF([5]!Table4[[#This Row],[Unit]]="/Sqm",[5]!Table4[[#This Row],[Sqm]]*[5]!Table4[[#This Row],[Rate]],IF([5]!Table4[[#This Row],[Unit]]="/Count",[5]!Table4[[#This Row],[Count]]*[5]!Table4[[#This Row],[Rate]],IF([5]!Table4[[#This Row],[Unit]]="/Lm",[5]!Table4[[#This Row],[Lm]]*[5]!Table4[[#This Row],[Rate]],IF([5]!Table4[[#This Row],[Unit]]="/Cbm",[5]!Table4[[#This Row],[Cbm]]*[5]!Table4[[#This Row],[Rate]],0))))</f>
        <v>0</v>
      </c>
      <c r="M69" s="197"/>
      <c r="N69" s="213"/>
      <c r="O6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69" s="211" t="e">
        <f>IF([5]!Table4[[#This Row],[Job Sqm?]]="Yes",SUM('[5]TENDER SUMMARY'!$F$102:$F$111)/SQM*[5]!Table4[[#This Row],[Sqm]],0)</f>
        <v>#REF!</v>
      </c>
      <c r="Q69" s="211" t="e">
        <f>IF([5]!Table4[[#This Row],[Job Sqm?]]="Yes",'[5]EXECUTIVE SUMMARY'!$D$26*[5]!Table4[[#This Row],[Sqm]],0)</f>
        <v>#REF!</v>
      </c>
      <c r="R69" s="211" t="e">
        <f>_xlfn.XLOOKUP([5]!Table4[[#This Row],[Code]],'[5]TENDER SUMMARY'!$A$16:$A$152,'[5]TENDER SUMMARY'!$E$16:$E$152)*([5]!Table4[[#This Row],[Total]]+[5]!Table4[[#This Row],[Install Total]])</f>
        <v>#REF!</v>
      </c>
      <c r="S69" s="211">
        <f>IFERROR([5]!Table4[[#This Row],[Total]]+[5]!Table4[[#This Row],[Install Total]]+[5]!Table4[[#This Row],[Margin Total]]+[5]!Table4[[#This Row],[O/H Total]]+[5]!Table4[[#This Row],[Site Total]],"")</f>
        <v>0</v>
      </c>
      <c r="T69" s="204"/>
      <c r="U69" s="204"/>
      <c r="V69"/>
    </row>
    <row r="70" spans="2:22">
      <c r="B70" s="209"/>
      <c r="C70" s="206"/>
      <c r="F70" s="14"/>
      <c r="G70" s="14"/>
      <c r="H70" s="14"/>
      <c r="I70" s="14"/>
      <c r="J70" s="197"/>
      <c r="K70" s="208"/>
      <c r="L70" s="216">
        <f>IF([5]!Table4[[#This Row],[Unit]]="/Sqm",[5]!Table4[[#This Row],[Sqm]]*[5]!Table4[[#This Row],[Rate]],IF([5]!Table4[[#This Row],[Unit]]="/Count",[5]!Table4[[#This Row],[Count]]*[5]!Table4[[#This Row],[Rate]],IF([5]!Table4[[#This Row],[Unit]]="/Lm",[5]!Table4[[#This Row],[Lm]]*[5]!Table4[[#This Row],[Rate]],IF([5]!Table4[[#This Row],[Unit]]="/Cbm",[5]!Table4[[#This Row],[Cbm]]*[5]!Table4[[#This Row],[Rate]],0))))</f>
        <v>0</v>
      </c>
      <c r="M70" s="197"/>
      <c r="N70" s="213"/>
      <c r="O7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0" s="211" t="e">
        <f>IF([5]!Table4[[#This Row],[Job Sqm?]]="Yes",SUM('[5]TENDER SUMMARY'!$F$102:$F$111)/SQM*[5]!Table4[[#This Row],[Sqm]],0)</f>
        <v>#REF!</v>
      </c>
      <c r="Q70" s="211" t="e">
        <f>IF([5]!Table4[[#This Row],[Job Sqm?]]="Yes",'[5]EXECUTIVE SUMMARY'!$D$26*[5]!Table4[[#This Row],[Sqm]],0)</f>
        <v>#REF!</v>
      </c>
      <c r="R70" s="211" t="e">
        <f>_xlfn.XLOOKUP([5]!Table4[[#This Row],[Code]],'[5]TENDER SUMMARY'!$A$16:$A$152,'[5]TENDER SUMMARY'!$E$16:$E$152)*([5]!Table4[[#This Row],[Total]]+[5]!Table4[[#This Row],[Install Total]])</f>
        <v>#REF!</v>
      </c>
      <c r="S70" s="211">
        <f>IFERROR([5]!Table4[[#This Row],[Total]]+[5]!Table4[[#This Row],[Install Total]]+[5]!Table4[[#This Row],[Margin Total]]+[5]!Table4[[#This Row],[O/H Total]]+[5]!Table4[[#This Row],[Site Total]],"")</f>
        <v>0</v>
      </c>
      <c r="T70" s="204"/>
      <c r="U70" s="204"/>
      <c r="V70"/>
    </row>
    <row r="71" spans="2:22">
      <c r="B71" s="209"/>
      <c r="C71" s="206"/>
      <c r="F71" s="14"/>
      <c r="G71" s="14"/>
      <c r="H71" s="14"/>
      <c r="I71" s="14"/>
      <c r="J71" s="197"/>
      <c r="K71" s="208"/>
      <c r="L71" s="216">
        <f>IF([5]!Table4[[#This Row],[Unit]]="/Sqm",[5]!Table4[[#This Row],[Sqm]]*[5]!Table4[[#This Row],[Rate]],IF([5]!Table4[[#This Row],[Unit]]="/Count",[5]!Table4[[#This Row],[Count]]*[5]!Table4[[#This Row],[Rate]],IF([5]!Table4[[#This Row],[Unit]]="/Lm",[5]!Table4[[#This Row],[Lm]]*[5]!Table4[[#This Row],[Rate]],IF([5]!Table4[[#This Row],[Unit]]="/Cbm",[5]!Table4[[#This Row],[Cbm]]*[5]!Table4[[#This Row],[Rate]],0))))</f>
        <v>0</v>
      </c>
      <c r="M71" s="197"/>
      <c r="N71" s="213"/>
      <c r="O7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1" s="211" t="e">
        <f>IF([5]!Table4[[#This Row],[Job Sqm?]]="Yes",SUM('[5]TENDER SUMMARY'!$F$102:$F$111)/SQM*[5]!Table4[[#This Row],[Sqm]],0)</f>
        <v>#REF!</v>
      </c>
      <c r="Q71" s="211" t="e">
        <f>IF([5]!Table4[[#This Row],[Job Sqm?]]="Yes",'[5]EXECUTIVE SUMMARY'!$D$26*[5]!Table4[[#This Row],[Sqm]],0)</f>
        <v>#REF!</v>
      </c>
      <c r="R71" s="211" t="e">
        <f>_xlfn.XLOOKUP([5]!Table4[[#This Row],[Code]],'[5]TENDER SUMMARY'!$A$16:$A$152,'[5]TENDER SUMMARY'!$E$16:$E$152)*([5]!Table4[[#This Row],[Total]]+[5]!Table4[[#This Row],[Install Total]])</f>
        <v>#REF!</v>
      </c>
      <c r="S71" s="211">
        <f>IFERROR([5]!Table4[[#This Row],[Total]]+[5]!Table4[[#This Row],[Install Total]]+[5]!Table4[[#This Row],[Margin Total]]+[5]!Table4[[#This Row],[O/H Total]]+[5]!Table4[[#This Row],[Site Total]],"")</f>
        <v>0</v>
      </c>
      <c r="T71" s="204"/>
      <c r="U71" s="204"/>
      <c r="V71"/>
    </row>
    <row r="72" spans="2:22">
      <c r="B72" s="209"/>
      <c r="C72" s="206"/>
      <c r="F72" s="14"/>
      <c r="G72" s="14"/>
      <c r="H72" s="14"/>
      <c r="I72" s="14"/>
      <c r="J72" s="197"/>
      <c r="K72" s="208"/>
      <c r="L72" s="216">
        <f>IF([5]!Table4[[#This Row],[Unit]]="/Sqm",[5]!Table4[[#This Row],[Sqm]]*[5]!Table4[[#This Row],[Rate]],IF([5]!Table4[[#This Row],[Unit]]="/Count",[5]!Table4[[#This Row],[Count]]*[5]!Table4[[#This Row],[Rate]],IF([5]!Table4[[#This Row],[Unit]]="/Lm",[5]!Table4[[#This Row],[Lm]]*[5]!Table4[[#This Row],[Rate]],IF([5]!Table4[[#This Row],[Unit]]="/Cbm",[5]!Table4[[#This Row],[Cbm]]*[5]!Table4[[#This Row],[Rate]],0))))</f>
        <v>0</v>
      </c>
      <c r="M72" s="197"/>
      <c r="N72" s="213"/>
      <c r="O7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2" s="211" t="e">
        <f>IF([5]!Table4[[#This Row],[Job Sqm?]]="Yes",SUM('[5]TENDER SUMMARY'!$F$102:$F$111)/SQM*[5]!Table4[[#This Row],[Sqm]],0)</f>
        <v>#REF!</v>
      </c>
      <c r="Q72" s="211" t="e">
        <f>IF([5]!Table4[[#This Row],[Job Sqm?]]="Yes",'[5]EXECUTIVE SUMMARY'!$D$26*[5]!Table4[[#This Row],[Sqm]],0)</f>
        <v>#REF!</v>
      </c>
      <c r="R72" s="211" t="e">
        <f>_xlfn.XLOOKUP([5]!Table4[[#This Row],[Code]],'[5]TENDER SUMMARY'!$A$16:$A$152,'[5]TENDER SUMMARY'!$E$16:$E$152)*([5]!Table4[[#This Row],[Total]]+[5]!Table4[[#This Row],[Install Total]])</f>
        <v>#REF!</v>
      </c>
      <c r="S72" s="211">
        <f>IFERROR([5]!Table4[[#This Row],[Total]]+[5]!Table4[[#This Row],[Install Total]]+[5]!Table4[[#This Row],[Margin Total]]+[5]!Table4[[#This Row],[O/H Total]]+[5]!Table4[[#This Row],[Site Total]],"")</f>
        <v>0</v>
      </c>
      <c r="T72" s="204"/>
      <c r="U72" s="204"/>
      <c r="V72"/>
    </row>
    <row r="73" spans="2:22">
      <c r="B73" s="209"/>
      <c r="C73" s="206"/>
      <c r="F73" s="14"/>
      <c r="G73" s="14"/>
      <c r="H73" s="14"/>
      <c r="I73" s="14"/>
      <c r="J73" s="210"/>
      <c r="K73" s="208"/>
      <c r="L73" s="216">
        <f>IF([5]!Table4[[#This Row],[Unit]]="/Sqm",[5]!Table4[[#This Row],[Sqm]]*[5]!Table4[[#This Row],[Rate]],IF([5]!Table4[[#This Row],[Unit]]="/Count",[5]!Table4[[#This Row],[Count]]*[5]!Table4[[#This Row],[Rate]],IF([5]!Table4[[#This Row],[Unit]]="/Lm",[5]!Table4[[#This Row],[Lm]]*[5]!Table4[[#This Row],[Rate]],IF([5]!Table4[[#This Row],[Unit]]="/Cbm",[5]!Table4[[#This Row],[Cbm]]*[5]!Table4[[#This Row],[Rate]],0))))</f>
        <v>0</v>
      </c>
      <c r="M73" s="212"/>
      <c r="N73" s="213"/>
      <c r="O73"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3" s="211" t="e">
        <f>IF([5]!Table4[[#This Row],[Job Sqm?]]="Yes",SUM('[5]TENDER SUMMARY'!$F$102:$F$111)/SQM*[5]!Table4[[#This Row],[Sqm]],0)</f>
        <v>#REF!</v>
      </c>
      <c r="Q73" s="211" t="e">
        <f>IF([5]!Table4[[#This Row],[Job Sqm?]]="Yes",'[5]EXECUTIVE SUMMARY'!$D$26*[5]!Table4[[#This Row],[Sqm]],0)</f>
        <v>#REF!</v>
      </c>
      <c r="R73" s="211" t="e">
        <f>_xlfn.XLOOKUP([5]!Table4[[#This Row],[Code]],'[5]TENDER SUMMARY'!$A$16:$A$152,'[5]TENDER SUMMARY'!$E$16:$E$152)*([5]!Table4[[#This Row],[Total]]+[5]!Table4[[#This Row],[Install Total]])</f>
        <v>#REF!</v>
      </c>
      <c r="S73" s="211">
        <f>IFERROR([5]!Table4[[#This Row],[Total]]+[5]!Table4[[#This Row],[Install Total]]+[5]!Table4[[#This Row],[Margin Total]]+[5]!Table4[[#This Row],[O/H Total]]+[5]!Table4[[#This Row],[Site Total]],"")</f>
        <v>0</v>
      </c>
      <c r="T73" s="204"/>
      <c r="U73" s="204"/>
      <c r="V73"/>
    </row>
    <row r="74" spans="2:22">
      <c r="B74" s="209"/>
      <c r="C74" s="206"/>
      <c r="F74" s="14"/>
      <c r="G74" s="14"/>
      <c r="H74" s="14"/>
      <c r="I74" s="14"/>
      <c r="J74" s="197"/>
      <c r="K74" s="208"/>
      <c r="L74" s="216">
        <f>IF([5]!Table4[[#This Row],[Unit]]="/Sqm",[5]!Table4[[#This Row],[Sqm]]*[5]!Table4[[#This Row],[Rate]],IF([5]!Table4[[#This Row],[Unit]]="/Count",[5]!Table4[[#This Row],[Count]]*[5]!Table4[[#This Row],[Rate]],IF([5]!Table4[[#This Row],[Unit]]="/Lm",[5]!Table4[[#This Row],[Lm]]*[5]!Table4[[#This Row],[Rate]],IF([5]!Table4[[#This Row],[Unit]]="/Cbm",[5]!Table4[[#This Row],[Cbm]]*[5]!Table4[[#This Row],[Rate]],0))))</f>
        <v>0</v>
      </c>
      <c r="M74" s="197"/>
      <c r="N74" s="213"/>
      <c r="O74"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4" s="211" t="e">
        <f>IF([5]!Table4[[#This Row],[Job Sqm?]]="Yes",SUM('[5]TENDER SUMMARY'!$F$102:$F$111)/SQM*[5]!Table4[[#This Row],[Sqm]],0)</f>
        <v>#REF!</v>
      </c>
      <c r="Q74" s="211" t="e">
        <f>IF([5]!Table4[[#This Row],[Job Sqm?]]="Yes",'[5]EXECUTIVE SUMMARY'!$D$26*[5]!Table4[[#This Row],[Sqm]],0)</f>
        <v>#REF!</v>
      </c>
      <c r="R74" s="211" t="e">
        <f>_xlfn.XLOOKUP([5]!Table4[[#This Row],[Code]],'[5]TENDER SUMMARY'!$A$16:$A$152,'[5]TENDER SUMMARY'!$E$16:$E$152)*([5]!Table4[[#This Row],[Total]]+[5]!Table4[[#This Row],[Install Total]])</f>
        <v>#REF!</v>
      </c>
      <c r="S74" s="211">
        <f>IFERROR([5]!Table4[[#This Row],[Total]]+[5]!Table4[[#This Row],[Install Total]]+[5]!Table4[[#This Row],[Margin Total]]+[5]!Table4[[#This Row],[O/H Total]]+[5]!Table4[[#This Row],[Site Total]],"")</f>
        <v>0</v>
      </c>
      <c r="T74" s="204"/>
      <c r="U74" s="204"/>
      <c r="V74"/>
    </row>
    <row r="75" spans="2:22">
      <c r="B75" s="209"/>
      <c r="C75" s="206"/>
      <c r="F75" s="14"/>
      <c r="G75" s="14"/>
      <c r="H75" s="14"/>
      <c r="I75" s="14"/>
      <c r="J75" s="210"/>
      <c r="K75" s="208"/>
      <c r="L75" s="216">
        <f>IF([5]!Table4[[#This Row],[Unit]]="/Sqm",[5]!Table4[[#This Row],[Sqm]]*[5]!Table4[[#This Row],[Rate]],IF([5]!Table4[[#This Row],[Unit]]="/Count",[5]!Table4[[#This Row],[Count]]*[5]!Table4[[#This Row],[Rate]],IF([5]!Table4[[#This Row],[Unit]]="/Lm",[5]!Table4[[#This Row],[Lm]]*[5]!Table4[[#This Row],[Rate]],IF([5]!Table4[[#This Row],[Unit]]="/Cbm",[5]!Table4[[#This Row],[Cbm]]*[5]!Table4[[#This Row],[Rate]],0))))</f>
        <v>0</v>
      </c>
      <c r="M75" s="197"/>
      <c r="N75" s="213"/>
      <c r="O75"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5" s="211" t="e">
        <f>IF([5]!Table4[[#This Row],[Job Sqm?]]="Yes",SUM('[5]TENDER SUMMARY'!$F$102:$F$111)/SQM*[5]!Table4[[#This Row],[Sqm]],0)</f>
        <v>#REF!</v>
      </c>
      <c r="Q75" s="211" t="e">
        <f>IF([5]!Table4[[#This Row],[Job Sqm?]]="Yes",'[5]EXECUTIVE SUMMARY'!$D$26*[5]!Table4[[#This Row],[Sqm]],0)</f>
        <v>#REF!</v>
      </c>
      <c r="R75" s="211" t="e">
        <f>_xlfn.XLOOKUP([5]!Table4[[#This Row],[Code]],'[5]TENDER SUMMARY'!$A$16:$A$152,'[5]TENDER SUMMARY'!$E$16:$E$152)*([5]!Table4[[#This Row],[Total]]+[5]!Table4[[#This Row],[Install Total]])</f>
        <v>#REF!</v>
      </c>
      <c r="S75" s="211">
        <f>IFERROR([5]!Table4[[#This Row],[Total]]+[5]!Table4[[#This Row],[Install Total]]+[5]!Table4[[#This Row],[Margin Total]]+[5]!Table4[[#This Row],[O/H Total]]+[5]!Table4[[#This Row],[Site Total]],"")</f>
        <v>0</v>
      </c>
      <c r="T75" s="204"/>
      <c r="U75" s="204"/>
      <c r="V75"/>
    </row>
    <row r="76" spans="2:22">
      <c r="B76" s="209"/>
      <c r="C76" s="206"/>
      <c r="F76" s="14"/>
      <c r="G76" s="14"/>
      <c r="H76" s="14"/>
      <c r="I76" s="14"/>
      <c r="J76" s="210"/>
      <c r="K76" s="208"/>
      <c r="L76" s="216">
        <f>IF([5]!Table4[[#This Row],[Unit]]="/Sqm",[5]!Table4[[#This Row],[Sqm]]*[5]!Table4[[#This Row],[Rate]],IF([5]!Table4[[#This Row],[Unit]]="/Count",[5]!Table4[[#This Row],[Count]]*[5]!Table4[[#This Row],[Rate]],IF([5]!Table4[[#This Row],[Unit]]="/Lm",[5]!Table4[[#This Row],[Lm]]*[5]!Table4[[#This Row],[Rate]],IF([5]!Table4[[#This Row],[Unit]]="/Cbm",[5]!Table4[[#This Row],[Cbm]]*[5]!Table4[[#This Row],[Rate]],0))))</f>
        <v>0</v>
      </c>
      <c r="M76" s="197"/>
      <c r="N76" s="213"/>
      <c r="O76"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6" s="211" t="e">
        <f>IF([5]!Table4[[#This Row],[Job Sqm?]]="Yes",SUM('[5]TENDER SUMMARY'!$F$102:$F$111)/SQM*[5]!Table4[[#This Row],[Sqm]],0)</f>
        <v>#REF!</v>
      </c>
      <c r="Q76" s="211" t="e">
        <f>IF([5]!Table4[[#This Row],[Job Sqm?]]="Yes",'[5]EXECUTIVE SUMMARY'!$D$26*[5]!Table4[[#This Row],[Sqm]],0)</f>
        <v>#REF!</v>
      </c>
      <c r="R76" s="211" t="e">
        <f>_xlfn.XLOOKUP([5]!Table4[[#This Row],[Code]],'[5]TENDER SUMMARY'!$A$16:$A$152,'[5]TENDER SUMMARY'!$E$16:$E$152)*([5]!Table4[[#This Row],[Total]]+[5]!Table4[[#This Row],[Install Total]])</f>
        <v>#REF!</v>
      </c>
      <c r="S76" s="211">
        <f>IFERROR([5]!Table4[[#This Row],[Total]]+[5]!Table4[[#This Row],[Install Total]]+[5]!Table4[[#This Row],[Margin Total]]+[5]!Table4[[#This Row],[O/H Total]]+[5]!Table4[[#This Row],[Site Total]],"")</f>
        <v>0</v>
      </c>
      <c r="T76" s="204"/>
      <c r="U76" s="204"/>
      <c r="V76"/>
    </row>
    <row r="77" spans="2:22">
      <c r="B77" s="209"/>
      <c r="C77" s="206"/>
      <c r="F77" s="14"/>
      <c r="G77" s="14"/>
      <c r="H77" s="14"/>
      <c r="I77" s="14"/>
      <c r="J77" s="210"/>
      <c r="K77" s="208"/>
      <c r="L77" s="216">
        <f>IF([5]!Table4[[#This Row],[Unit]]="/Sqm",[5]!Table4[[#This Row],[Sqm]]*[5]!Table4[[#This Row],[Rate]],IF([5]!Table4[[#This Row],[Unit]]="/Count",[5]!Table4[[#This Row],[Count]]*[5]!Table4[[#This Row],[Rate]],IF([5]!Table4[[#This Row],[Unit]]="/Lm",[5]!Table4[[#This Row],[Lm]]*[5]!Table4[[#This Row],[Rate]],IF([5]!Table4[[#This Row],[Unit]]="/Cbm",[5]!Table4[[#This Row],[Cbm]]*[5]!Table4[[#This Row],[Rate]],0))))</f>
        <v>0</v>
      </c>
      <c r="M77" s="197"/>
      <c r="N77" s="213"/>
      <c r="O77"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7" s="211" t="e">
        <f>IF([5]!Table4[[#This Row],[Job Sqm?]]="Yes",SUM('[5]TENDER SUMMARY'!$F$102:$F$111)/SQM*[5]!Table4[[#This Row],[Sqm]],0)</f>
        <v>#REF!</v>
      </c>
      <c r="Q77" s="211" t="e">
        <f>IF([5]!Table4[[#This Row],[Job Sqm?]]="Yes",'[5]EXECUTIVE SUMMARY'!$D$26*[5]!Table4[[#This Row],[Sqm]],0)</f>
        <v>#REF!</v>
      </c>
      <c r="R77" s="211" t="e">
        <f>_xlfn.XLOOKUP([5]!Table4[[#This Row],[Code]],'[5]TENDER SUMMARY'!$A$16:$A$152,'[5]TENDER SUMMARY'!$E$16:$E$152)*([5]!Table4[[#This Row],[Total]]+[5]!Table4[[#This Row],[Install Total]])</f>
        <v>#REF!</v>
      </c>
      <c r="S77" s="211">
        <f>IFERROR([5]!Table4[[#This Row],[Total]]+[5]!Table4[[#This Row],[Install Total]]+[5]!Table4[[#This Row],[Margin Total]]+[5]!Table4[[#This Row],[O/H Total]]+[5]!Table4[[#This Row],[Site Total]],"")</f>
        <v>0</v>
      </c>
      <c r="T77" s="204"/>
      <c r="U77" s="204"/>
      <c r="V77"/>
    </row>
    <row r="78" spans="2:22">
      <c r="B78" s="209"/>
      <c r="C78" s="206"/>
      <c r="F78" s="14"/>
      <c r="G78" s="14"/>
      <c r="H78" s="14"/>
      <c r="I78" s="14"/>
      <c r="J78" s="210"/>
      <c r="K78" s="208"/>
      <c r="L78" s="216">
        <f>IF([5]!Table4[[#This Row],[Unit]]="/Sqm",[5]!Table4[[#This Row],[Sqm]]*[5]!Table4[[#This Row],[Rate]],IF([5]!Table4[[#This Row],[Unit]]="/Count",[5]!Table4[[#This Row],[Count]]*[5]!Table4[[#This Row],[Rate]],IF([5]!Table4[[#This Row],[Unit]]="/Lm",[5]!Table4[[#This Row],[Lm]]*[5]!Table4[[#This Row],[Rate]],IF([5]!Table4[[#This Row],[Unit]]="/Cbm",[5]!Table4[[#This Row],[Cbm]]*[5]!Table4[[#This Row],[Rate]],0))))</f>
        <v>0</v>
      </c>
      <c r="M78" s="197"/>
      <c r="N78" s="213"/>
      <c r="O78"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8" s="211" t="e">
        <f>IF([5]!Table4[[#This Row],[Job Sqm?]]="Yes",SUM('[5]TENDER SUMMARY'!$F$102:$F$111)/SQM*[5]!Table4[[#This Row],[Sqm]],0)</f>
        <v>#REF!</v>
      </c>
      <c r="Q78" s="211" t="e">
        <f>IF([5]!Table4[[#This Row],[Job Sqm?]]="Yes",'[5]EXECUTIVE SUMMARY'!$D$26*[5]!Table4[[#This Row],[Sqm]],0)</f>
        <v>#REF!</v>
      </c>
      <c r="R78" s="211" t="e">
        <f>_xlfn.XLOOKUP([5]!Table4[[#This Row],[Code]],'[5]TENDER SUMMARY'!$A$16:$A$152,'[5]TENDER SUMMARY'!$E$16:$E$152)*([5]!Table4[[#This Row],[Total]]+[5]!Table4[[#This Row],[Install Total]])</f>
        <v>#REF!</v>
      </c>
      <c r="S78" s="211">
        <f>IFERROR([5]!Table4[[#This Row],[Total]]+[5]!Table4[[#This Row],[Install Total]]+[5]!Table4[[#This Row],[Margin Total]]+[5]!Table4[[#This Row],[O/H Total]]+[5]!Table4[[#This Row],[Site Total]],"")</f>
        <v>0</v>
      </c>
      <c r="T78" s="204"/>
      <c r="U78" s="204"/>
      <c r="V78"/>
    </row>
    <row r="79" spans="2:22">
      <c r="B79" s="209"/>
      <c r="F79" s="14"/>
      <c r="G79" s="14"/>
      <c r="H79" s="14"/>
      <c r="I79" s="14"/>
      <c r="J79" s="210"/>
      <c r="K79" s="208"/>
      <c r="L79" s="216">
        <f>IF([5]!Table4[[#This Row],[Unit]]="/Sqm",[5]!Table4[[#This Row],[Sqm]]*[5]!Table4[[#This Row],[Rate]],IF([5]!Table4[[#This Row],[Unit]]="/Count",[5]!Table4[[#This Row],[Count]]*[5]!Table4[[#This Row],[Rate]],IF([5]!Table4[[#This Row],[Unit]]="/Lm",[5]!Table4[[#This Row],[Lm]]*[5]!Table4[[#This Row],[Rate]],IF([5]!Table4[[#This Row],[Unit]]="/Cbm",[5]!Table4[[#This Row],[Cbm]]*[5]!Table4[[#This Row],[Rate]],0))))</f>
        <v>0</v>
      </c>
      <c r="M79" s="212"/>
      <c r="N79" s="213"/>
      <c r="O79"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79" s="211" t="e">
        <f>IF([5]!Table4[[#This Row],[Job Sqm?]]="Yes",SUM('[5]TENDER SUMMARY'!$F$102:$F$111)/SQM*[5]!Table4[[#This Row],[Sqm]],0)</f>
        <v>#REF!</v>
      </c>
      <c r="Q79" s="211" t="e">
        <f>IF([5]!Table4[[#This Row],[Job Sqm?]]="Yes",'[5]EXECUTIVE SUMMARY'!$D$26*[5]!Table4[[#This Row],[Sqm]],0)</f>
        <v>#REF!</v>
      </c>
      <c r="R79" s="211" t="e">
        <f>_xlfn.XLOOKUP([5]!Table4[[#This Row],[Code]],'[5]TENDER SUMMARY'!$A$16:$A$152,'[5]TENDER SUMMARY'!$E$16:$E$152)*([5]!Table4[[#This Row],[Total]]+[5]!Table4[[#This Row],[Install Total]])</f>
        <v>#REF!</v>
      </c>
      <c r="S79" s="211">
        <f>IFERROR([5]!Table4[[#This Row],[Total]]+[5]!Table4[[#This Row],[Install Total]]+[5]!Table4[[#This Row],[Margin Total]]+[5]!Table4[[#This Row],[O/H Total]]+[5]!Table4[[#This Row],[Site Total]],"")</f>
        <v>0</v>
      </c>
      <c r="T79" s="204"/>
      <c r="U79" s="204"/>
      <c r="V79"/>
    </row>
    <row r="80" spans="2:22">
      <c r="B80" s="209"/>
      <c r="F80" s="14"/>
      <c r="G80" s="14"/>
      <c r="H80" s="14"/>
      <c r="I80" s="14"/>
      <c r="J80" s="210"/>
      <c r="K80" s="208"/>
      <c r="L80" s="216">
        <f>IF([5]!Table4[[#This Row],[Unit]]="/Sqm",[5]!Table4[[#This Row],[Sqm]]*[5]!Table4[[#This Row],[Rate]],IF([5]!Table4[[#This Row],[Unit]]="/Count",[5]!Table4[[#This Row],[Count]]*[5]!Table4[[#This Row],[Rate]],IF([5]!Table4[[#This Row],[Unit]]="/Lm",[5]!Table4[[#This Row],[Lm]]*[5]!Table4[[#This Row],[Rate]],IF([5]!Table4[[#This Row],[Unit]]="/Cbm",[5]!Table4[[#This Row],[Cbm]]*[5]!Table4[[#This Row],[Rate]],0))))</f>
        <v>0</v>
      </c>
      <c r="M80" s="212"/>
      <c r="N80" s="213"/>
      <c r="O80"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80" s="211" t="e">
        <f>IF([5]!Table4[[#This Row],[Job Sqm?]]="Yes",SUM('[5]TENDER SUMMARY'!$F$102:$F$111)/SQM*[5]!Table4[[#This Row],[Sqm]],0)</f>
        <v>#REF!</v>
      </c>
      <c r="Q80" s="211" t="e">
        <f>IF([5]!Table4[[#This Row],[Job Sqm?]]="Yes",'[5]EXECUTIVE SUMMARY'!$D$26*[5]!Table4[[#This Row],[Sqm]],0)</f>
        <v>#REF!</v>
      </c>
      <c r="R80" s="211" t="e">
        <f>_xlfn.XLOOKUP([5]!Table4[[#This Row],[Code]],'[5]TENDER SUMMARY'!$A$16:$A$152,'[5]TENDER SUMMARY'!$E$16:$E$152)*([5]!Table4[[#This Row],[Total]]+[5]!Table4[[#This Row],[Install Total]])</f>
        <v>#REF!</v>
      </c>
      <c r="S80" s="211">
        <f>IFERROR([5]!Table4[[#This Row],[Total]]+[5]!Table4[[#This Row],[Install Total]]+[5]!Table4[[#This Row],[Margin Total]]+[5]!Table4[[#This Row],[O/H Total]]+[5]!Table4[[#This Row],[Site Total]],"")</f>
        <v>0</v>
      </c>
      <c r="T80" s="204"/>
      <c r="U80" s="204"/>
      <c r="V80"/>
    </row>
    <row r="81" spans="2:22">
      <c r="B81" s="209"/>
      <c r="F81" s="14"/>
      <c r="G81" s="14"/>
      <c r="H81" s="14"/>
      <c r="I81" s="14"/>
      <c r="J81" s="210"/>
      <c r="K81" s="208"/>
      <c r="L81" s="216">
        <f>IF([5]!Table4[[#This Row],[Unit]]="/Sqm",[5]!Table4[[#This Row],[Sqm]]*[5]!Table4[[#This Row],[Rate]],IF([5]!Table4[[#This Row],[Unit]]="/Count",[5]!Table4[[#This Row],[Count]]*[5]!Table4[[#This Row],[Rate]],IF([5]!Table4[[#This Row],[Unit]]="/Lm",[5]!Table4[[#This Row],[Lm]]*[5]!Table4[[#This Row],[Rate]],IF([5]!Table4[[#This Row],[Unit]]="/Cbm",[5]!Table4[[#This Row],[Cbm]]*[5]!Table4[[#This Row],[Rate]],0))))</f>
        <v>0</v>
      </c>
      <c r="M81" s="212"/>
      <c r="N81" s="213"/>
      <c r="O81"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81" s="211" t="e">
        <f>IF([5]!Table4[[#This Row],[Job Sqm?]]="Yes",SUM('[5]TENDER SUMMARY'!$F$102:$F$111)/SQM*[5]!Table4[[#This Row],[Sqm]],0)</f>
        <v>#REF!</v>
      </c>
      <c r="Q81" s="211" t="e">
        <f>IF([5]!Table4[[#This Row],[Job Sqm?]]="Yes",'[5]EXECUTIVE SUMMARY'!$D$26*[5]!Table4[[#This Row],[Sqm]],0)</f>
        <v>#REF!</v>
      </c>
      <c r="R81" s="211" t="e">
        <f>_xlfn.XLOOKUP([5]!Table4[[#This Row],[Code]],'[5]TENDER SUMMARY'!$A$16:$A$152,'[5]TENDER SUMMARY'!$E$16:$E$152)*([5]!Table4[[#This Row],[Total]]+[5]!Table4[[#This Row],[Install Total]])</f>
        <v>#REF!</v>
      </c>
      <c r="S81" s="211">
        <f>IFERROR([5]!Table4[[#This Row],[Total]]+[5]!Table4[[#This Row],[Install Total]]+[5]!Table4[[#This Row],[Margin Total]]+[5]!Table4[[#This Row],[O/H Total]]+[5]!Table4[[#This Row],[Site Total]],"")</f>
        <v>0</v>
      </c>
      <c r="T81" s="204"/>
      <c r="U81" s="204"/>
      <c r="V81"/>
    </row>
    <row r="82" spans="2:22">
      <c r="C82" s="206"/>
      <c r="F82" s="14"/>
      <c r="G82" s="14"/>
      <c r="H82" s="14"/>
      <c r="I82" s="14"/>
      <c r="J82" s="210"/>
      <c r="K82" s="208"/>
      <c r="L82" s="216">
        <f>IF([5]!Table4[[#This Row],[Unit]]="/Sqm",[5]!Table4[[#This Row],[Sqm]]*[5]!Table4[[#This Row],[Rate]],IF([5]!Table4[[#This Row],[Unit]]="/Count",[5]!Table4[[#This Row],[Count]]*[5]!Table4[[#This Row],[Rate]],IF([5]!Table4[[#This Row],[Unit]]="/Lm",[5]!Table4[[#This Row],[Lm]]*[5]!Table4[[#This Row],[Rate]],IF([5]!Table4[[#This Row],[Unit]]="/Cbm",[5]!Table4[[#This Row],[Cbm]]*[5]!Table4[[#This Row],[Rate]],0))))</f>
        <v>0</v>
      </c>
      <c r="M82" s="212"/>
      <c r="N82" s="213"/>
      <c r="O82" s="211">
        <f>IF([5]!Table4[[#This Row],[Install Unit]]="/Sqm",[5]!Table4[[#This Row],[Sqm]]*[5]!Table4[[#This Row],[Install Rate]],IF([5]!Table4[[#This Row],[Install Unit]]="/Count",[5]!Table4[[#This Row],[Count]]*[5]!Table4[[#This Row],[Install Rate]],IF([5]!Table4[[#This Row],[Install Unit]]="/Lm",[5]!Table4[[#This Row],[Lm]]*[5]!Table4[[#This Row],[Install Rate]],IF([5]!Table4[[#This Row],[Install Unit]]="/Cbm",[5]!Table4[[#This Row],[Cbm]]*[5]!Table4[[#This Row],[Install Rate]],0))))</f>
        <v>0</v>
      </c>
      <c r="P82" s="211" t="e">
        <f>IF([5]!Table4[[#This Row],[Job Sqm?]]="Yes",SUM('[5]TENDER SUMMARY'!$F$102:$F$111)/SQM*[5]!Table4[[#This Row],[Sqm]],0)</f>
        <v>#REF!</v>
      </c>
      <c r="Q82" s="211" t="e">
        <f>IF([5]!Table4[[#This Row],[Job Sqm?]]="Yes",'[5]EXECUTIVE SUMMARY'!$D$26*[5]!Table4[[#This Row],[Sqm]],0)</f>
        <v>#REF!</v>
      </c>
      <c r="R82" s="211" t="e">
        <f>_xlfn.XLOOKUP([5]!Table4[[#This Row],[Code]],'[5]TENDER SUMMARY'!$A$16:$A$152,'[5]TENDER SUMMARY'!$E$16:$E$152)*([5]!Table4[[#This Row],[Total]]+[5]!Table4[[#This Row],[Install Total]])</f>
        <v>#REF!</v>
      </c>
      <c r="S82" s="211">
        <f>IFERROR([5]!Table4[[#This Row],[Total]]+[5]!Table4[[#This Row],[Install Total]]+[5]!Table4[[#This Row],[Margin Total]]+[5]!Table4[[#This Row],[O/H Total]]+[5]!Table4[[#This Row],[Site Total]],"")</f>
        <v>0</v>
      </c>
      <c r="T82" s="204"/>
      <c r="U82" s="204"/>
      <c r="V82"/>
    </row>
  </sheetData>
  <conditionalFormatting sqref="U15:U82 U2:U5 U7:U13">
    <cfRule type="colorScale" priority="42">
      <colorScale>
        <cfvo type="num" val="1"/>
        <cfvo type="num" val="3"/>
        <cfvo type="num" val="5"/>
        <color rgb="FFF8696B"/>
        <color rgb="FFFFEB84"/>
        <color rgb="FF63BE7B"/>
      </colorScale>
    </cfRule>
  </conditionalFormatting>
  <conditionalFormatting sqref="K10:K82 K3:K5 K7:K8">
    <cfRule type="expression" dxfId="278" priority="43">
      <formula>AND(ISTEXT($J3)=FALSE,$J3&lt;&gt;"",$K3="")</formula>
    </cfRule>
  </conditionalFormatting>
  <conditionalFormatting sqref="N2:N5 N7:N82">
    <cfRule type="expression" dxfId="277" priority="44">
      <formula>AND(ISTEXT($M2)=FALSE,$M2&lt;&gt;"",$N2="")</formula>
    </cfRule>
  </conditionalFormatting>
  <conditionalFormatting sqref="A62:V82 F12:N13 A14:N61 E11:N11 O15:V61 F10:K10 A2:D2 F2:V2 D8:N8 A3:V4 B9:D13 F9:J9 L9:N10 A9:A10 B5:D5 V5:V14 F5:U5 U7:U13 O7:T14 B7:C8 D7 F7:N7">
    <cfRule type="expression" dxfId="276" priority="45">
      <formula>$J2="Included"</formula>
    </cfRule>
    <cfRule type="expression" dxfId="275" priority="46">
      <formula>$J2="Excluded"</formula>
    </cfRule>
  </conditionalFormatting>
  <conditionalFormatting sqref="D2:D5 D7:D82">
    <cfRule type="expression" dxfId="274" priority="41" stopIfTrue="1">
      <formula>COUNTIF($D$2:$D2,D2)=1</formula>
    </cfRule>
  </conditionalFormatting>
  <conditionalFormatting sqref="E2 A11:A13 A5 A7:A8">
    <cfRule type="expression" dxfId="273" priority="38">
      <formula>#REF!="EXCL."</formula>
    </cfRule>
    <cfRule type="expression" dxfId="272" priority="39">
      <formula>#REF!="N/A"</formula>
    </cfRule>
    <cfRule type="expression" dxfId="271" priority="40">
      <formula>#REF!="INCL."</formula>
    </cfRule>
  </conditionalFormatting>
  <conditionalFormatting sqref="E9:E10 E7">
    <cfRule type="expression" dxfId="270" priority="35">
      <formula>#REF!="EXCL."</formula>
    </cfRule>
    <cfRule type="expression" dxfId="269" priority="36">
      <formula>#REF!="N/A"</formula>
    </cfRule>
    <cfRule type="expression" dxfId="268" priority="37">
      <formula>#REF!="INCL."</formula>
    </cfRule>
  </conditionalFormatting>
  <conditionalFormatting sqref="E5">
    <cfRule type="expression" dxfId="267" priority="32">
      <formula>#REF!="EXCL."</formula>
    </cfRule>
    <cfRule type="expression" dxfId="266" priority="33">
      <formula>#REF!="N/A"</formula>
    </cfRule>
    <cfRule type="expression" dxfId="265" priority="34">
      <formula>#REF!="INCL."</formula>
    </cfRule>
  </conditionalFormatting>
  <conditionalFormatting sqref="E12:E13">
    <cfRule type="expression" dxfId="264" priority="26">
      <formula>#REF!="EXCL."</formula>
    </cfRule>
    <cfRule type="expression" dxfId="263" priority="27">
      <formula>#REF!="N/A"</formula>
    </cfRule>
    <cfRule type="expression" dxfId="262" priority="28">
      <formula>#REF!="INCL."</formula>
    </cfRule>
  </conditionalFormatting>
  <conditionalFormatting sqref="K9">
    <cfRule type="expression" dxfId="261" priority="50">
      <formula>AND(ISTEXT(#REF!)=FALSE,#REF!&lt;&gt;"",$K9="")</formula>
    </cfRule>
  </conditionalFormatting>
  <conditionalFormatting sqref="K9">
    <cfRule type="expression" dxfId="260" priority="51">
      <formula>#REF!="Included"</formula>
    </cfRule>
    <cfRule type="expression" dxfId="259" priority="52">
      <formula>#REF!="Excluded"</formula>
    </cfRule>
  </conditionalFormatting>
  <conditionalFormatting sqref="L2:L5 L7:L82">
    <cfRule type="expression" dxfId="258" priority="53">
      <formula>AND(ISNUMBER(SEARCH("Option",B2)),J2&gt;0)</formula>
    </cfRule>
    <cfRule type="expression" dxfId="257" priority="54">
      <formula>AND(ISNUMBER(SEARCH("Option",B2)),J2&lt;0)</formula>
    </cfRule>
  </conditionalFormatting>
  <conditionalFormatting sqref="J2:J5 J7:J82">
    <cfRule type="expression" dxfId="256" priority="55">
      <formula>LEN($J2)=0</formula>
    </cfRule>
    <cfRule type="expression" dxfId="255" priority="56">
      <formula>AND(ISNUMBER(SEARCH("Option",B2)),J2&gt;0)</formula>
    </cfRule>
    <cfRule type="expression" dxfId="254" priority="57">
      <formula>AND(ISNUMBER(SEARCH("Option",B2)),J2&lt;0)</formula>
    </cfRule>
  </conditionalFormatting>
  <conditionalFormatting sqref="U14">
    <cfRule type="colorScale" priority="21">
      <colorScale>
        <cfvo type="num" val="1"/>
        <cfvo type="num" val="3"/>
        <cfvo type="num" val="5"/>
        <color rgb="FFF8696B"/>
        <color rgb="FFFFEB84"/>
        <color rgb="FF63BE7B"/>
      </colorScale>
    </cfRule>
  </conditionalFormatting>
  <conditionalFormatting sqref="U14">
    <cfRule type="expression" dxfId="253" priority="22">
      <formula>$J14="Included"</formula>
    </cfRule>
    <cfRule type="expression" dxfId="252" priority="23">
      <formula>$J14="Excluded"</formula>
    </cfRule>
  </conditionalFormatting>
  <conditionalFormatting sqref="U6">
    <cfRule type="colorScale" priority="5">
      <colorScale>
        <cfvo type="num" val="1"/>
        <cfvo type="num" val="3"/>
        <cfvo type="num" val="5"/>
        <color rgb="FFF8696B"/>
        <color rgb="FFFFEB84"/>
        <color rgb="FF63BE7B"/>
      </colorScale>
    </cfRule>
  </conditionalFormatting>
  <conditionalFormatting sqref="K6">
    <cfRule type="expression" dxfId="251" priority="6">
      <formula>AND(ISTEXT($J6)=FALSE,$J6&lt;&gt;"",$K6="")</formula>
    </cfRule>
  </conditionalFormatting>
  <conditionalFormatting sqref="N6">
    <cfRule type="expression" dxfId="250" priority="7">
      <formula>AND(ISTEXT($M6)=FALSE,$M6&lt;&gt;"",$N6="")</formula>
    </cfRule>
  </conditionalFormatting>
  <conditionalFormatting sqref="B6:U6">
    <cfRule type="expression" dxfId="249" priority="8">
      <formula>$J6="Included"</formula>
    </cfRule>
    <cfRule type="expression" dxfId="248" priority="9">
      <formula>$J6="Excluded"</formula>
    </cfRule>
  </conditionalFormatting>
  <conditionalFormatting sqref="D6">
    <cfRule type="expression" dxfId="247" priority="4" stopIfTrue="1">
      <formula>COUNTIF($D$2:$D6,D6)=1</formula>
    </cfRule>
  </conditionalFormatting>
  <conditionalFormatting sqref="A6">
    <cfRule type="expression" dxfId="246" priority="1">
      <formula>#REF!="EXCL."</formula>
    </cfRule>
    <cfRule type="expression" dxfId="245" priority="2">
      <formula>#REF!="N/A"</formula>
    </cfRule>
    <cfRule type="expression" dxfId="244" priority="3">
      <formula>#REF!="INCL."</formula>
    </cfRule>
  </conditionalFormatting>
  <conditionalFormatting sqref="L6">
    <cfRule type="expression" dxfId="243" priority="10">
      <formula>AND(ISNUMBER(SEARCH("Option",B6)),J6&gt;0)</formula>
    </cfRule>
    <cfRule type="expression" dxfId="242" priority="11">
      <formula>AND(ISNUMBER(SEARCH("Option",B6)),J6&lt;0)</formula>
    </cfRule>
  </conditionalFormatting>
  <conditionalFormatting sqref="J6">
    <cfRule type="expression" dxfId="241" priority="12">
      <formula>LEN($J6)=0</formula>
    </cfRule>
    <cfRule type="expression" dxfId="240" priority="13">
      <formula>AND(ISNUMBER(SEARCH("Option",B6)),J6&gt;0)</formula>
    </cfRule>
    <cfRule type="expression" dxfId="239" priority="14">
      <formula>AND(ISNUMBER(SEARCH("Option",B6)),J6&lt;0)</formula>
    </cfRule>
  </conditionalFormatting>
  <dataValidations count="1">
    <dataValidation type="list" allowBlank="1" showInputMessage="1" showErrorMessage="1" sqref="K2:K82 N2:N82" xr:uid="{B1E5015A-F9C3-4064-AE50-8D43456A338B}">
      <formula1>"/Sqm,/Cbm,/Count,/Lm"</formula1>
    </dataValidation>
  </dataValidations>
  <pageMargins left="0.7" right="0.7" top="0.75" bottom="0.75" header="0.3" footer="0.3"/>
  <pageSetup paperSize="9" orientation="portrait" r:id="rId2"/>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47980-469A-4B92-BE9D-F7DDA72CF5E7}">
  <sheetPr codeName="Sheet1"/>
  <dimension ref="A1:CJ974"/>
  <sheetViews>
    <sheetView topLeftCell="A2" workbookViewId="0">
      <selection activeCell="A526" sqref="A526:A564"/>
    </sheetView>
  </sheetViews>
  <sheetFormatPr defaultRowHeight="15"/>
  <cols>
    <col min="1" max="1" width="7.42578125" customWidth="1"/>
    <col min="2" max="2" width="11" bestFit="1" customWidth="1"/>
    <col min="3" max="3" width="8.140625" customWidth="1"/>
    <col min="4" max="4" width="16.42578125" bestFit="1" customWidth="1"/>
    <col min="5" max="5" width="11.42578125" customWidth="1"/>
    <col min="6" max="6" width="6.85546875" hidden="1" customWidth="1"/>
    <col min="7" max="7" width="0.140625" hidden="1" customWidth="1"/>
    <col min="8" max="8" width="6.42578125" hidden="1" customWidth="1"/>
    <col min="9" max="9" width="10.42578125" bestFit="1" customWidth="1"/>
    <col min="10" max="10" width="16.140625" customWidth="1"/>
    <col min="11" max="12" width="12.42578125" customWidth="1"/>
    <col min="13" max="13" width="18.42578125" customWidth="1"/>
    <col min="14" max="14" width="19.5703125" customWidth="1"/>
    <col min="15" max="15" width="9.42578125" customWidth="1"/>
    <col min="16" max="16" width="8.85546875" customWidth="1"/>
    <col min="17" max="17" width="6.42578125" customWidth="1"/>
    <col min="18" max="18" width="8.140625" customWidth="1"/>
    <col min="19" max="19" width="11.85546875" bestFit="1" customWidth="1"/>
    <col min="22" max="22" width="11.42578125" bestFit="1" customWidth="1"/>
    <col min="23" max="23" width="13.42578125" customWidth="1"/>
    <col min="24" max="24" width="17.42578125" customWidth="1"/>
    <col min="25" max="25" width="14.5703125" customWidth="1"/>
    <col min="26" max="26" width="9.42578125" style="29" bestFit="1" customWidth="1"/>
    <col min="27" max="27" width="14" customWidth="1"/>
    <col min="28" max="28" width="12.42578125" bestFit="1" customWidth="1"/>
    <col min="29" max="29" width="14.42578125" customWidth="1"/>
    <col min="30" max="30" width="12.42578125" customWidth="1"/>
    <col min="31" max="31" width="10.42578125" bestFit="1" customWidth="1"/>
    <col min="32" max="32" width="22.42578125" customWidth="1"/>
    <col min="33" max="33" width="11.42578125" customWidth="1"/>
    <col min="34" max="34" width="11.5703125" bestFit="1" customWidth="1"/>
    <col min="35" max="35" width="11.42578125" bestFit="1" customWidth="1"/>
    <col min="36" max="36" width="11.5703125" bestFit="1" customWidth="1"/>
    <col min="37" max="37" width="10.5703125" bestFit="1" customWidth="1"/>
    <col min="38" max="38" width="10.5703125" customWidth="1"/>
    <col min="39" max="39" width="10.5703125" bestFit="1" customWidth="1"/>
    <col min="40" max="40" width="10.5703125" customWidth="1"/>
    <col min="41" max="41" width="12.42578125" customWidth="1"/>
    <col min="42" max="42" width="10.5703125" bestFit="1" customWidth="1"/>
    <col min="43" max="43" width="10.42578125" customWidth="1"/>
    <col min="44" max="44" width="11.5703125" bestFit="1" customWidth="1"/>
    <col min="45" max="45" width="11.42578125" customWidth="1"/>
    <col min="46" max="46" width="10" bestFit="1" customWidth="1"/>
    <col min="47" max="47" width="11.5703125" bestFit="1" customWidth="1"/>
    <col min="48" max="48" width="9" bestFit="1" customWidth="1"/>
    <col min="49" max="49" width="10.5703125" bestFit="1" customWidth="1"/>
    <col min="50" max="50" width="10" bestFit="1" customWidth="1"/>
    <col min="51" max="51" width="10.42578125" customWidth="1"/>
    <col min="52" max="52" width="10.5703125" bestFit="1" customWidth="1"/>
    <col min="53" max="53" width="9" bestFit="1" customWidth="1"/>
    <col min="54" max="55" width="11.5703125" bestFit="1" customWidth="1"/>
    <col min="56" max="56" width="10.5703125" bestFit="1" customWidth="1"/>
    <col min="57" max="57" width="9" bestFit="1" customWidth="1"/>
    <col min="58" max="58" width="10.85546875" customWidth="1"/>
    <col min="59" max="59" width="10" customWidth="1"/>
    <col min="61" max="62" width="11.42578125" customWidth="1"/>
    <col min="64" max="64" width="14.42578125" customWidth="1"/>
    <col min="66" max="66" width="13.5703125" customWidth="1"/>
    <col min="68" max="68" width="11.42578125" customWidth="1"/>
    <col min="70" max="70" width="10.42578125" customWidth="1"/>
    <col min="72" max="72" width="11.85546875" customWidth="1"/>
    <col min="74" max="75" width="10.42578125" customWidth="1"/>
    <col min="77" max="77" width="11.42578125" customWidth="1"/>
    <col min="78" max="78" width="10.42578125" customWidth="1"/>
    <col min="80" max="80" width="12.42578125" customWidth="1"/>
    <col min="82" max="82" width="10.42578125" customWidth="1"/>
    <col min="84" max="84" width="12.42578125" customWidth="1"/>
    <col min="86" max="86" width="13" customWidth="1"/>
    <col min="88" max="88" width="12.140625" customWidth="1"/>
  </cols>
  <sheetData>
    <row r="1" spans="1:88" ht="15.75" thickBot="1">
      <c r="A1" s="50" t="s">
        <v>0</v>
      </c>
      <c r="B1" s="272" t="str">
        <f ca="1">'EXECUTIVE SUMMARY'!B1</f>
        <v>T1112</v>
      </c>
      <c r="C1" s="273"/>
      <c r="D1" s="274"/>
      <c r="E1" s="1"/>
      <c r="F1" s="1"/>
      <c r="G1" s="1"/>
      <c r="H1" s="1"/>
      <c r="I1" s="1"/>
      <c r="J1" s="2"/>
      <c r="K1" s="2"/>
      <c r="L1" s="452" t="s">
        <v>503</v>
      </c>
      <c r="M1" s="453"/>
      <c r="N1" s="453"/>
      <c r="O1" s="453"/>
      <c r="P1" s="453"/>
      <c r="Q1" s="453"/>
      <c r="R1" s="453"/>
      <c r="S1" s="453"/>
      <c r="T1" s="453"/>
      <c r="U1" s="453"/>
      <c r="V1" s="454"/>
      <c r="X1" s="31" t="s">
        <v>504</v>
      </c>
      <c r="Y1" s="31" t="s">
        <v>505</v>
      </c>
      <c r="Z1" s="31" t="s">
        <v>506</v>
      </c>
    </row>
    <row r="2" spans="1:88" ht="30.75" thickTop="1">
      <c r="A2" s="50" t="s">
        <v>3</v>
      </c>
      <c r="B2" s="272" t="str">
        <f ca="1">'EXECUTIVE SUMMARY'!B2</f>
        <v/>
      </c>
      <c r="C2" s="273"/>
      <c r="D2" s="274"/>
      <c r="E2" s="1"/>
      <c r="F2" s="1"/>
      <c r="G2" s="1"/>
      <c r="H2" s="1"/>
      <c r="I2" s="1"/>
      <c r="J2" s="2"/>
      <c r="K2" s="2"/>
      <c r="L2" s="455" t="s">
        <v>507</v>
      </c>
      <c r="M2" s="456"/>
      <c r="N2" s="456"/>
      <c r="O2" s="456"/>
      <c r="P2" s="456"/>
      <c r="Q2" s="456"/>
      <c r="R2" s="456"/>
      <c r="S2" s="456"/>
      <c r="T2" s="456"/>
      <c r="U2" s="456"/>
      <c r="V2" s="457"/>
      <c r="X2" s="252" t="s">
        <v>441</v>
      </c>
      <c r="Y2" s="253">
        <v>50</v>
      </c>
      <c r="Z2" s="253">
        <v>609.20044999999971</v>
      </c>
      <c r="AD2" s="32"/>
      <c r="AE2" s="449" t="s">
        <v>508</v>
      </c>
      <c r="AF2" s="47" t="s">
        <v>509</v>
      </c>
      <c r="AG2" s="32"/>
      <c r="AH2" s="32"/>
      <c r="AI2" s="32"/>
      <c r="AJ2" s="32"/>
      <c r="AK2" s="32"/>
      <c r="AL2" s="28"/>
      <c r="AN2" s="28"/>
      <c r="AO2" s="28"/>
      <c r="AQ2" s="28"/>
      <c r="AS2" s="28"/>
      <c r="AU2" s="28"/>
      <c r="AW2" s="28"/>
      <c r="AY2" s="28"/>
      <c r="AZ2" s="28"/>
      <c r="BB2" s="28"/>
      <c r="BD2" s="28"/>
      <c r="BF2" s="28"/>
      <c r="BG2" s="28"/>
      <c r="BI2" s="28"/>
      <c r="BJ2" s="28"/>
      <c r="BL2" s="28"/>
      <c r="BN2" s="28"/>
      <c r="BP2" s="28"/>
      <c r="BR2" s="28"/>
      <c r="BT2" s="28"/>
      <c r="BV2" s="28"/>
      <c r="BW2" s="28"/>
      <c r="BY2" s="28"/>
      <c r="BZ2" s="28"/>
      <c r="CB2" s="28"/>
      <c r="CD2" s="28"/>
      <c r="CF2" s="28"/>
      <c r="CH2" s="28"/>
      <c r="CJ2" s="28"/>
    </row>
    <row r="3" spans="1:88" ht="30.75" thickBot="1">
      <c r="A3" s="50" t="s">
        <v>5</v>
      </c>
      <c r="B3" s="272" t="str">
        <f>'EXECUTIVE SUMMARY'!B3</f>
        <v>Lendlease</v>
      </c>
      <c r="C3" s="273"/>
      <c r="D3" s="274"/>
      <c r="E3" s="1"/>
      <c r="F3" s="1"/>
      <c r="G3" s="1"/>
      <c r="H3" s="1"/>
      <c r="I3" s="1"/>
      <c r="J3" s="2"/>
      <c r="K3" s="2"/>
      <c r="L3" s="458"/>
      <c r="M3" s="459"/>
      <c r="N3" s="459"/>
      <c r="O3" s="459"/>
      <c r="P3" s="459"/>
      <c r="Q3" s="459"/>
      <c r="R3" s="459"/>
      <c r="S3" s="459"/>
      <c r="T3" s="459"/>
      <c r="U3" s="459"/>
      <c r="V3" s="460"/>
      <c r="X3" s="27" t="s">
        <v>442</v>
      </c>
      <c r="Y3" s="254">
        <v>203</v>
      </c>
      <c r="Z3" s="254">
        <v>609.46970000000033</v>
      </c>
      <c r="AE3" s="450"/>
      <c r="AF3" s="48" t="s">
        <v>510</v>
      </c>
      <c r="AL3" s="28"/>
      <c r="AN3" s="28"/>
      <c r="AO3" s="28"/>
      <c r="AQ3" s="28"/>
      <c r="AS3" s="28"/>
      <c r="AU3" s="28"/>
      <c r="AW3" s="28"/>
      <c r="AY3" s="28"/>
      <c r="AZ3" s="28"/>
      <c r="BB3" s="28"/>
      <c r="BD3" s="28"/>
      <c r="BF3" s="28"/>
      <c r="BG3" s="28"/>
      <c r="BI3" s="28"/>
      <c r="BJ3" s="28"/>
      <c r="BL3" s="28"/>
      <c r="BN3" s="28"/>
      <c r="BP3" s="28"/>
      <c r="BR3" s="28"/>
      <c r="BT3" s="28"/>
      <c r="BV3" s="28"/>
      <c r="BW3" s="28"/>
      <c r="BY3" s="28"/>
      <c r="BZ3" s="28"/>
      <c r="CB3" s="28"/>
      <c r="CD3" s="28"/>
      <c r="CF3" s="194"/>
      <c r="CH3" s="28"/>
      <c r="CJ3" s="28"/>
    </row>
    <row r="4" spans="1:88" ht="31.5" thickTop="1" thickBot="1">
      <c r="A4" s="50" t="s">
        <v>8</v>
      </c>
      <c r="B4" s="272" t="str">
        <f>'EXECUTIVE SUMMARY'!B4</f>
        <v>BVN</v>
      </c>
      <c r="C4" s="273"/>
      <c r="D4" s="274"/>
      <c r="E4" s="1"/>
      <c r="F4" s="1"/>
      <c r="G4" s="1"/>
      <c r="H4" s="1"/>
      <c r="I4" s="1"/>
      <c r="J4" s="2"/>
      <c r="K4" s="2"/>
      <c r="L4" s="458"/>
      <c r="M4" s="459"/>
      <c r="N4" s="459"/>
      <c r="O4" s="459"/>
      <c r="P4" s="459"/>
      <c r="Q4" s="459"/>
      <c r="R4" s="459"/>
      <c r="S4" s="459"/>
      <c r="T4" s="459"/>
      <c r="U4" s="459"/>
      <c r="V4" s="460"/>
      <c r="X4" s="250" t="s">
        <v>439</v>
      </c>
      <c r="Y4" s="249">
        <v>717</v>
      </c>
      <c r="Z4" s="249">
        <v>2000.4647029999915</v>
      </c>
      <c r="AE4" s="451"/>
      <c r="AF4" s="49" t="s">
        <v>511</v>
      </c>
      <c r="AH4" s="37" t="s">
        <v>508</v>
      </c>
      <c r="AJ4" s="28"/>
      <c r="AL4" s="28"/>
      <c r="AN4" s="28"/>
      <c r="AO4" s="28"/>
      <c r="AQ4" s="28"/>
      <c r="AS4" s="28"/>
      <c r="AU4" s="28"/>
      <c r="AW4" s="28"/>
      <c r="AY4" s="28"/>
      <c r="AZ4" s="28"/>
      <c r="BB4" s="28"/>
      <c r="BD4" s="28"/>
      <c r="BF4" s="28"/>
      <c r="BG4" s="28"/>
      <c r="BI4" s="28"/>
      <c r="BJ4" s="28"/>
      <c r="BL4" s="28"/>
      <c r="BN4" s="28"/>
      <c r="BP4" s="28"/>
      <c r="BR4" s="28"/>
      <c r="BT4" s="28"/>
      <c r="BV4" s="28"/>
      <c r="BW4" s="28"/>
      <c r="BY4" s="28"/>
      <c r="BZ4" s="28"/>
      <c r="CB4" s="28"/>
      <c r="CD4" s="28"/>
      <c r="CF4" s="44"/>
      <c r="CH4" s="28"/>
      <c r="CJ4" s="28"/>
    </row>
    <row r="5" spans="1:88" ht="15.75" thickTop="1">
      <c r="A5" s="55"/>
      <c r="B5" s="275"/>
      <c r="C5" s="279"/>
      <c r="D5" s="275"/>
      <c r="E5" s="1"/>
      <c r="F5" s="1"/>
      <c r="G5" s="1"/>
      <c r="H5" s="1"/>
      <c r="I5" s="1"/>
      <c r="J5" s="2"/>
      <c r="K5" s="2"/>
      <c r="L5" s="458"/>
      <c r="M5" s="459"/>
      <c r="N5" s="459"/>
      <c r="O5" s="459"/>
      <c r="P5" s="459"/>
      <c r="Q5" s="459"/>
      <c r="R5" s="459"/>
      <c r="S5" s="459"/>
      <c r="T5" s="459"/>
      <c r="U5" s="459"/>
      <c r="V5" s="460"/>
      <c r="AH5">
        <v>600</v>
      </c>
      <c r="AU5" s="193"/>
    </row>
    <row r="6" spans="1:88" ht="25.5">
      <c r="A6" s="50" t="s">
        <v>12</v>
      </c>
      <c r="B6" s="268" t="str">
        <f>'EXECUTIVE SUMMARY'!B6</f>
        <v>Andrew Vatiliotis</v>
      </c>
      <c r="C6" s="280"/>
      <c r="D6" s="269"/>
      <c r="E6" s="1"/>
      <c r="F6" s="1"/>
      <c r="G6" s="1"/>
      <c r="H6" s="1"/>
      <c r="I6" s="1"/>
      <c r="J6" s="2"/>
      <c r="K6" s="2"/>
      <c r="L6" s="458"/>
      <c r="M6" s="459"/>
      <c r="N6" s="459"/>
      <c r="O6" s="459"/>
      <c r="P6" s="459"/>
      <c r="Q6" s="459"/>
      <c r="R6" s="459"/>
      <c r="S6" s="459"/>
      <c r="T6" s="459"/>
      <c r="U6" s="459"/>
      <c r="V6" s="460"/>
      <c r="AH6" s="38" t="s">
        <v>512</v>
      </c>
      <c r="AJ6" s="28"/>
      <c r="AL6" s="28"/>
      <c r="AN6" s="28"/>
      <c r="AO6" s="28"/>
      <c r="AQ6" s="28"/>
      <c r="AS6" s="28"/>
      <c r="AU6" s="28"/>
      <c r="AW6" s="28"/>
      <c r="AY6" s="28"/>
      <c r="AZ6" s="28"/>
      <c r="BB6" s="28"/>
      <c r="BD6" s="44"/>
      <c r="BF6" s="28"/>
      <c r="BG6" s="28"/>
      <c r="BI6" s="28"/>
      <c r="BJ6" s="28"/>
      <c r="BL6" s="44"/>
      <c r="BN6" s="44"/>
      <c r="BP6" s="44"/>
      <c r="BR6" s="44"/>
      <c r="BT6" s="44"/>
      <c r="BV6" s="28"/>
      <c r="BW6" s="28"/>
      <c r="BY6" s="28"/>
      <c r="BZ6" s="28"/>
      <c r="CB6" s="44"/>
      <c r="CD6" s="44"/>
      <c r="CF6" s="44"/>
      <c r="CH6" s="44"/>
      <c r="CJ6" s="195"/>
    </row>
    <row r="7" spans="1:88">
      <c r="A7" s="50" t="s">
        <v>14</v>
      </c>
      <c r="B7" s="268">
        <f>'EXECUTIVE SUMMARY'!B7</f>
        <v>0</v>
      </c>
      <c r="C7" s="280"/>
      <c r="D7" s="269"/>
      <c r="E7" s="1"/>
      <c r="F7" s="1"/>
      <c r="G7" s="1"/>
      <c r="H7" s="1"/>
      <c r="I7" s="1"/>
      <c r="J7" s="2"/>
      <c r="K7" s="2"/>
      <c r="L7" s="458"/>
      <c r="M7" s="459"/>
      <c r="N7" s="459"/>
      <c r="O7" s="459"/>
      <c r="P7" s="459"/>
      <c r="Q7" s="459"/>
      <c r="R7" s="459"/>
      <c r="S7" s="459"/>
      <c r="T7" s="459"/>
      <c r="U7" s="459"/>
      <c r="V7" s="460"/>
      <c r="AD7" s="28"/>
      <c r="AE7" s="28"/>
      <c r="AF7" s="28"/>
      <c r="AG7" s="28"/>
      <c r="AH7" s="28"/>
    </row>
    <row r="8" spans="1:88">
      <c r="A8" s="50" t="s">
        <v>16</v>
      </c>
      <c r="B8" s="270">
        <f>'EXECUTIVE SUMMARY'!B8</f>
        <v>44838</v>
      </c>
      <c r="C8" s="281"/>
      <c r="D8" s="271"/>
      <c r="E8" s="1"/>
      <c r="F8" s="1"/>
      <c r="G8" s="1"/>
      <c r="H8" s="1"/>
      <c r="I8" s="1"/>
      <c r="J8" s="1"/>
      <c r="K8" s="1"/>
      <c r="L8" s="461"/>
      <c r="M8" s="462"/>
      <c r="N8" s="462"/>
      <c r="O8" s="462"/>
      <c r="P8" s="462"/>
      <c r="Q8" s="462"/>
      <c r="R8" s="462"/>
      <c r="S8" s="462"/>
      <c r="T8" s="462"/>
      <c r="U8" s="462"/>
      <c r="V8" s="463"/>
    </row>
    <row r="9" spans="1:88">
      <c r="A9" s="3"/>
      <c r="B9" s="3"/>
      <c r="C9" s="3"/>
      <c r="D9" s="3"/>
      <c r="E9" s="3"/>
      <c r="F9" s="3"/>
      <c r="G9" s="3"/>
      <c r="H9" s="3"/>
      <c r="I9" s="3"/>
      <c r="J9" s="3"/>
      <c r="K9" s="3"/>
      <c r="L9" s="4"/>
      <c r="M9" s="4"/>
      <c r="N9" s="3"/>
      <c r="O9" s="3"/>
      <c r="P9" s="3"/>
      <c r="Q9" s="3"/>
      <c r="R9" s="33">
        <f>SUBTOTAL(9,MBQ[HEIGHT TOTAL (m)])</f>
        <v>420.00000000000011</v>
      </c>
      <c r="S9" s="33">
        <f>SUBTOTAL(9,MBQ[WIDTH TOTAL (m)])</f>
        <v>127.20000000000022</v>
      </c>
      <c r="T9" s="33">
        <f>SUBTOTAL(9,MBQ[PERIMETER TOTAL (m)])</f>
        <v>1094.3999999999992</v>
      </c>
      <c r="U9" s="34">
        <f>SUBTOTAL(9,MBQ[QTY TOTAL])</f>
        <v>108</v>
      </c>
      <c r="V9" s="35">
        <f>SUBTOTAL(9,MBQ[SQM TOTAL])</f>
        <v>494.40000000000077</v>
      </c>
    </row>
    <row r="10" spans="1:88" ht="46.5" customHeight="1">
      <c r="A10" s="5" t="s">
        <v>513</v>
      </c>
      <c r="B10" s="6" t="s">
        <v>514</v>
      </c>
      <c r="C10" s="282" t="s">
        <v>515</v>
      </c>
      <c r="D10" s="6" t="s">
        <v>516</v>
      </c>
      <c r="E10" s="6" t="s">
        <v>517</v>
      </c>
      <c r="F10" s="6" t="s">
        <v>518</v>
      </c>
      <c r="G10" s="6" t="s">
        <v>519</v>
      </c>
      <c r="H10" s="6" t="s">
        <v>520</v>
      </c>
      <c r="I10" s="7" t="s">
        <v>521</v>
      </c>
      <c r="J10" s="7" t="s">
        <v>522</v>
      </c>
      <c r="K10" s="6" t="s">
        <v>523</v>
      </c>
      <c r="L10" s="6" t="s">
        <v>524</v>
      </c>
      <c r="M10" s="8" t="s">
        <v>1</v>
      </c>
      <c r="N10" s="8" t="s">
        <v>65</v>
      </c>
      <c r="O10" s="6" t="s">
        <v>525</v>
      </c>
      <c r="P10" s="6" t="s">
        <v>526</v>
      </c>
      <c r="Q10" s="6" t="s">
        <v>316</v>
      </c>
      <c r="R10" s="36" t="s">
        <v>527</v>
      </c>
      <c r="S10" s="36" t="s">
        <v>528</v>
      </c>
      <c r="T10" s="36" t="s">
        <v>529</v>
      </c>
      <c r="U10" s="36" t="s">
        <v>530</v>
      </c>
      <c r="V10" s="36" t="s">
        <v>531</v>
      </c>
      <c r="W10" s="288" t="s">
        <v>597</v>
      </c>
    </row>
    <row r="11" spans="1:88" ht="45.75" hidden="1" customHeight="1" thickTop="1">
      <c r="A11" s="258">
        <v>1</v>
      </c>
      <c r="B11" s="276" t="s">
        <v>536</v>
      </c>
      <c r="C11" s="278" t="s">
        <v>545</v>
      </c>
      <c r="D11" s="277" t="s">
        <v>532</v>
      </c>
      <c r="E11" s="277" t="s">
        <v>537</v>
      </c>
      <c r="F11" s="261"/>
      <c r="G11" s="262"/>
      <c r="H11" s="262"/>
      <c r="I11" s="260" t="s">
        <v>441</v>
      </c>
      <c r="J11" s="263"/>
      <c r="K11" s="285" t="s">
        <v>580</v>
      </c>
      <c r="L11" s="260"/>
      <c r="M11" s="263"/>
      <c r="N11" s="263"/>
      <c r="O11" s="264">
        <v>8000</v>
      </c>
      <c r="P11" s="264">
        <v>600</v>
      </c>
      <c r="Q11" s="265">
        <v>1</v>
      </c>
      <c r="R11" s="30">
        <f>MBQ[[#This Row],[HEIGHT (mm)]]*MBQ[[#This Row],[QTY TOTAL]]/1000</f>
        <v>8</v>
      </c>
      <c r="S11" s="30">
        <f>MBQ[[#This Row],[WIDTH (mm)]]*MBQ[[#This Row],[QTY TOTAL]]/1000</f>
        <v>0.6</v>
      </c>
      <c r="T11" s="9">
        <f>(MBQ[[#This Row],[HEIGHT (mm)]]+MBQ[[#This Row],[WIDTH (mm)]])/1000*2*MBQ[[#This Row],[QTY TOTAL]]</f>
        <v>17.2</v>
      </c>
      <c r="U11" s="266">
        <f>MBQ[[#This Row],[MULTIPLIER]]*MBQ[[#This Row],[QTY]]</f>
        <v>1</v>
      </c>
      <c r="V11" s="9">
        <f>MBQ[[#This Row],[HEIGHT (mm)]]/1000*MBQ[[#This Row],[WIDTH (mm)]]/1000*MBQ[[#This Row],[QTY TOTAL]]</f>
        <v>4.8</v>
      </c>
      <c r="W11" s="287">
        <f>ROUNDUP(MBQ[[#This Row],[HEIGHT (mm)]]/450*MBQ[[#This Row],[QTY]]*2,0)+ROUNDUP(MBQ[[#This Row],[WIDTH (mm)]]/450*MBQ[[#This Row],[QTY]]*2,0)</f>
        <v>39</v>
      </c>
      <c r="X11" s="10" t="s">
        <v>513</v>
      </c>
      <c r="Y11" s="11">
        <v>1</v>
      </c>
      <c r="Z11" s="29">
        <v>1300</v>
      </c>
      <c r="AA11" s="47" t="s">
        <v>509</v>
      </c>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row>
    <row r="12" spans="1:88" ht="30">
      <c r="A12" s="258">
        <v>1</v>
      </c>
      <c r="B12" s="286" t="s">
        <v>535</v>
      </c>
      <c r="C12" s="278" t="s">
        <v>534</v>
      </c>
      <c r="D12" s="277" t="s">
        <v>532</v>
      </c>
      <c r="E12" s="277" t="s">
        <v>537</v>
      </c>
      <c r="F12" s="261"/>
      <c r="G12" s="262"/>
      <c r="H12" s="262"/>
      <c r="I12" s="260" t="s">
        <v>439</v>
      </c>
      <c r="J12" s="278" t="s">
        <v>538</v>
      </c>
      <c r="K12" s="285" t="s">
        <v>580</v>
      </c>
      <c r="L12" s="277" t="s">
        <v>539</v>
      </c>
      <c r="M12" s="263"/>
      <c r="N12" s="263"/>
      <c r="O12" s="264">
        <v>4000</v>
      </c>
      <c r="P12" s="264">
        <v>600</v>
      </c>
      <c r="Q12" s="265">
        <v>1</v>
      </c>
      <c r="R12" s="30">
        <f>MBQ[[#This Row],[HEIGHT (mm)]]*MBQ[[#This Row],[QTY TOTAL]]/1000</f>
        <v>4</v>
      </c>
      <c r="S12" s="30">
        <f>MBQ[[#This Row],[WIDTH (mm)]]*MBQ[[#This Row],[QTY TOTAL]]/1000</f>
        <v>0.6</v>
      </c>
      <c r="T12" s="9">
        <f>(MBQ[[#This Row],[HEIGHT (mm)]]+MBQ[[#This Row],[WIDTH (mm)]])/1000*2*MBQ[[#This Row],[QTY TOTAL]]</f>
        <v>9.1999999999999993</v>
      </c>
      <c r="U12" s="266">
        <f>MBQ[[#This Row],[MULTIPLIER]]*MBQ[[#This Row],[QTY]]</f>
        <v>1</v>
      </c>
      <c r="V12" s="9">
        <f>MBQ[[#This Row],[HEIGHT (mm)]]/1000*MBQ[[#This Row],[WIDTH (mm)]]/1000*MBQ[[#This Row],[QTY TOTAL]]</f>
        <v>2.4</v>
      </c>
      <c r="W12" s="287">
        <f>ROUNDUP(MBQ[[#This Row],[HEIGHT (mm)]]/450*MBQ[[#This Row],[QTY]]*2,0)+ROUNDUP(MBQ[[#This Row],[WIDTH (mm)]]/450*MBQ[[#This Row],[QTY]]*2,0)</f>
        <v>21</v>
      </c>
      <c r="X12" s="12" t="s">
        <v>514</v>
      </c>
      <c r="Y12" s="11">
        <v>0</v>
      </c>
      <c r="Z12" s="29">
        <v>1700</v>
      </c>
      <c r="AA12" s="48" t="s">
        <v>510</v>
      </c>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row>
    <row r="13" spans="1:88" ht="45.75" thickBot="1">
      <c r="A13" s="258">
        <v>1</v>
      </c>
      <c r="B13" s="276" t="s">
        <v>536</v>
      </c>
      <c r="C13" s="278" t="s">
        <v>534</v>
      </c>
      <c r="D13" s="277" t="s">
        <v>532</v>
      </c>
      <c r="E13" s="277" t="s">
        <v>537</v>
      </c>
      <c r="F13" s="261"/>
      <c r="G13" s="262"/>
      <c r="H13" s="262"/>
      <c r="I13" s="260" t="s">
        <v>439</v>
      </c>
      <c r="J13" s="278" t="s">
        <v>538</v>
      </c>
      <c r="K13" s="285" t="s">
        <v>580</v>
      </c>
      <c r="L13" s="277" t="s">
        <v>539</v>
      </c>
      <c r="M13" s="263"/>
      <c r="N13" s="263"/>
      <c r="O13" s="264">
        <v>4000</v>
      </c>
      <c r="P13" s="264">
        <v>600</v>
      </c>
      <c r="Q13" s="265">
        <v>1</v>
      </c>
      <c r="R13" s="30">
        <f>MBQ[[#This Row],[HEIGHT (mm)]]*MBQ[[#This Row],[QTY TOTAL]]/1000</f>
        <v>4</v>
      </c>
      <c r="S13" s="30">
        <f>MBQ[[#This Row],[WIDTH (mm)]]*MBQ[[#This Row],[QTY TOTAL]]/1000</f>
        <v>0.6</v>
      </c>
      <c r="T13" s="9">
        <f>(MBQ[[#This Row],[HEIGHT (mm)]]+MBQ[[#This Row],[WIDTH (mm)]])/1000*2*MBQ[[#This Row],[QTY TOTAL]]</f>
        <v>9.1999999999999993</v>
      </c>
      <c r="U13" s="266">
        <f>MBQ[[#This Row],[MULTIPLIER]]*MBQ[[#This Row],[QTY]]</f>
        <v>1</v>
      </c>
      <c r="V13" s="9">
        <f>MBQ[[#This Row],[HEIGHT (mm)]]/1000*MBQ[[#This Row],[WIDTH (mm)]]/1000*MBQ[[#This Row],[QTY TOTAL]]</f>
        <v>2.4</v>
      </c>
      <c r="W13" s="287">
        <f>ROUNDUP(MBQ[[#This Row],[HEIGHT (mm)]]/450*MBQ[[#This Row],[QTY]]*2,0)+ROUNDUP(MBQ[[#This Row],[WIDTH (mm)]]/450*MBQ[[#This Row],[QTY]]*2,0)</f>
        <v>21</v>
      </c>
      <c r="X13" s="12" t="s">
        <v>515</v>
      </c>
      <c r="Y13" s="11"/>
      <c r="Z13" s="29">
        <v>1000</v>
      </c>
      <c r="AA13" s="49" t="s">
        <v>511</v>
      </c>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row>
    <row r="14" spans="1:88" ht="15.75" hidden="1" thickTop="1">
      <c r="A14" s="258">
        <v>1</v>
      </c>
      <c r="B14" s="286" t="s">
        <v>535</v>
      </c>
      <c r="C14" s="278" t="s">
        <v>534</v>
      </c>
      <c r="D14" s="277" t="s">
        <v>532</v>
      </c>
      <c r="E14" s="277" t="s">
        <v>537</v>
      </c>
      <c r="F14" s="261"/>
      <c r="G14" s="262"/>
      <c r="H14" s="262"/>
      <c r="I14" s="260" t="s">
        <v>442</v>
      </c>
      <c r="J14" s="278" t="s">
        <v>443</v>
      </c>
      <c r="K14" s="285" t="s">
        <v>580</v>
      </c>
      <c r="L14" s="277" t="s">
        <v>540</v>
      </c>
      <c r="M14" s="263"/>
      <c r="N14" s="263"/>
      <c r="O14" s="264">
        <v>1300</v>
      </c>
      <c r="P14" s="264">
        <v>600</v>
      </c>
      <c r="Q14" s="265">
        <v>1</v>
      </c>
      <c r="R14" s="30">
        <f>MBQ[[#This Row],[HEIGHT (mm)]]*MBQ[[#This Row],[QTY TOTAL]]/1000</f>
        <v>1.3</v>
      </c>
      <c r="S14" s="30">
        <f>MBQ[[#This Row],[WIDTH (mm)]]*MBQ[[#This Row],[QTY TOTAL]]/1000</f>
        <v>0.6</v>
      </c>
      <c r="T14" s="9">
        <f>(MBQ[[#This Row],[HEIGHT (mm)]]+MBQ[[#This Row],[WIDTH (mm)]])/1000*2*MBQ[[#This Row],[QTY TOTAL]]</f>
        <v>3.8</v>
      </c>
      <c r="U14" s="266">
        <f>MBQ[[#This Row],[MULTIPLIER]]*MBQ[[#This Row],[QTY]]</f>
        <v>1</v>
      </c>
      <c r="V14" s="9">
        <f>MBQ[[#This Row],[HEIGHT (mm)]]/1000*MBQ[[#This Row],[WIDTH (mm)]]/1000*MBQ[[#This Row],[QTY TOTAL]]</f>
        <v>0.78</v>
      </c>
      <c r="W14" s="287">
        <f>ROUNDUP(MBQ[[#This Row],[HEIGHT (mm)]]/450*MBQ[[#This Row],[QTY]]*2,0)+ROUNDUP(MBQ[[#This Row],[WIDTH (mm)]]/450*MBQ[[#This Row],[QTY]]*2,0)</f>
        <v>9</v>
      </c>
      <c r="X14" s="12" t="s">
        <v>516</v>
      </c>
      <c r="Y14" s="11" t="s">
        <v>532</v>
      </c>
      <c r="AA14">
        <v>600</v>
      </c>
    </row>
    <row r="15" spans="1:88" ht="15.75" hidden="1" thickTop="1">
      <c r="A15" s="258">
        <v>1</v>
      </c>
      <c r="B15" s="286" t="s">
        <v>535</v>
      </c>
      <c r="C15" s="278" t="s">
        <v>534</v>
      </c>
      <c r="D15" s="277" t="s">
        <v>532</v>
      </c>
      <c r="E15" s="277" t="s">
        <v>537</v>
      </c>
      <c r="F15" s="261"/>
      <c r="G15" s="262"/>
      <c r="H15" s="262"/>
      <c r="I15" s="260" t="s">
        <v>442</v>
      </c>
      <c r="J15" s="278" t="s">
        <v>443</v>
      </c>
      <c r="K15" s="285" t="s">
        <v>580</v>
      </c>
      <c r="L15" s="277" t="s">
        <v>541</v>
      </c>
      <c r="M15" s="263"/>
      <c r="N15" s="263"/>
      <c r="O15" s="264">
        <v>1700</v>
      </c>
      <c r="P15" s="264">
        <v>600</v>
      </c>
      <c r="Q15" s="265">
        <v>1</v>
      </c>
      <c r="R15" s="30">
        <f>MBQ[[#This Row],[HEIGHT (mm)]]*MBQ[[#This Row],[QTY TOTAL]]/1000</f>
        <v>1.7</v>
      </c>
      <c r="S15" s="30">
        <f>MBQ[[#This Row],[WIDTH (mm)]]*MBQ[[#This Row],[QTY TOTAL]]/1000</f>
        <v>0.6</v>
      </c>
      <c r="T15" s="9">
        <f>(MBQ[[#This Row],[HEIGHT (mm)]]+MBQ[[#This Row],[WIDTH (mm)]])/1000*2*MBQ[[#This Row],[QTY TOTAL]]</f>
        <v>4.5999999999999996</v>
      </c>
      <c r="U15" s="266">
        <f>MBQ[[#This Row],[MULTIPLIER]]*MBQ[[#This Row],[QTY]]</f>
        <v>1</v>
      </c>
      <c r="V15" s="9">
        <f>MBQ[[#This Row],[HEIGHT (mm)]]/1000*MBQ[[#This Row],[WIDTH (mm)]]/1000*MBQ[[#This Row],[QTY TOTAL]]</f>
        <v>1.02</v>
      </c>
      <c r="W15" s="287">
        <f>ROUNDUP(MBQ[[#This Row],[HEIGHT (mm)]]/450*MBQ[[#This Row],[QTY]]*2,0)+ROUNDUP(MBQ[[#This Row],[WIDTH (mm)]]/450*MBQ[[#This Row],[QTY]]*2,0)</f>
        <v>11</v>
      </c>
      <c r="X15" s="12" t="s">
        <v>517</v>
      </c>
      <c r="Y15" s="11" t="s">
        <v>533</v>
      </c>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row>
    <row r="16" spans="1:88" ht="15.75" hidden="1" thickTop="1">
      <c r="A16" s="258">
        <v>1</v>
      </c>
      <c r="B16" s="286" t="s">
        <v>535</v>
      </c>
      <c r="C16" s="278" t="s">
        <v>534</v>
      </c>
      <c r="D16" s="277" t="s">
        <v>532</v>
      </c>
      <c r="E16" s="277" t="s">
        <v>537</v>
      </c>
      <c r="F16" s="261"/>
      <c r="G16" s="262"/>
      <c r="H16" s="262"/>
      <c r="I16" s="260" t="s">
        <v>442</v>
      </c>
      <c r="J16" s="278" t="s">
        <v>443</v>
      </c>
      <c r="K16" s="285" t="s">
        <v>580</v>
      </c>
      <c r="L16" s="277" t="s">
        <v>540</v>
      </c>
      <c r="M16" s="263"/>
      <c r="N16" s="263"/>
      <c r="O16" s="264">
        <v>1000</v>
      </c>
      <c r="P16" s="264">
        <v>600</v>
      </c>
      <c r="Q16" s="265">
        <v>1</v>
      </c>
      <c r="R16" s="30">
        <f>MBQ[[#This Row],[HEIGHT (mm)]]*MBQ[[#This Row],[QTY TOTAL]]/1000</f>
        <v>1</v>
      </c>
      <c r="S16" s="30">
        <f>MBQ[[#This Row],[WIDTH (mm)]]*MBQ[[#This Row],[QTY TOTAL]]/1000</f>
        <v>0.6</v>
      </c>
      <c r="T16" s="9">
        <f>(MBQ[[#This Row],[HEIGHT (mm)]]+MBQ[[#This Row],[WIDTH (mm)]])/1000*2*MBQ[[#This Row],[QTY TOTAL]]</f>
        <v>3.2</v>
      </c>
      <c r="U16" s="266">
        <f>MBQ[[#This Row],[MULTIPLIER]]*MBQ[[#This Row],[QTY]]</f>
        <v>1</v>
      </c>
      <c r="V16" s="9">
        <f>MBQ[[#This Row],[HEIGHT (mm)]]/1000*MBQ[[#This Row],[WIDTH (mm)]]/1000*MBQ[[#This Row],[QTY TOTAL]]</f>
        <v>0.6</v>
      </c>
      <c r="W16" s="287">
        <f>ROUNDUP(MBQ[[#This Row],[HEIGHT (mm)]]/450*MBQ[[#This Row],[QTY]]*2,0)+ROUNDUP(MBQ[[#This Row],[WIDTH (mm)]]/450*MBQ[[#This Row],[QTY]]*2,0)</f>
        <v>8</v>
      </c>
      <c r="X16" s="12" t="s">
        <v>518</v>
      </c>
      <c r="Y16" s="11"/>
    </row>
    <row r="17" spans="1:25" ht="15.75" hidden="1" thickTop="1">
      <c r="A17" s="258">
        <v>1</v>
      </c>
      <c r="B17" s="276" t="s">
        <v>536</v>
      </c>
      <c r="C17" s="278" t="s">
        <v>534</v>
      </c>
      <c r="D17" s="277" t="s">
        <v>532</v>
      </c>
      <c r="E17" s="277" t="s">
        <v>537</v>
      </c>
      <c r="F17" s="261"/>
      <c r="G17" s="262"/>
      <c r="H17" s="262"/>
      <c r="I17" s="260" t="s">
        <v>442</v>
      </c>
      <c r="J17" s="278" t="s">
        <v>443</v>
      </c>
      <c r="K17" s="285" t="s">
        <v>580</v>
      </c>
      <c r="L17" s="277" t="s">
        <v>540</v>
      </c>
      <c r="M17" s="263"/>
      <c r="N17" s="263"/>
      <c r="O17" s="264">
        <v>1300</v>
      </c>
      <c r="P17" s="264">
        <v>600</v>
      </c>
      <c r="Q17" s="265">
        <v>1</v>
      </c>
      <c r="R17" s="30">
        <f>MBQ[[#This Row],[HEIGHT (mm)]]*MBQ[[#This Row],[QTY TOTAL]]/1000</f>
        <v>1.3</v>
      </c>
      <c r="S17" s="30">
        <f>MBQ[[#This Row],[WIDTH (mm)]]*MBQ[[#This Row],[QTY TOTAL]]/1000</f>
        <v>0.6</v>
      </c>
      <c r="T17" s="9">
        <f>(MBQ[[#This Row],[HEIGHT (mm)]]+MBQ[[#This Row],[WIDTH (mm)]])/1000*2*MBQ[[#This Row],[QTY TOTAL]]</f>
        <v>3.8</v>
      </c>
      <c r="U17" s="266">
        <f>MBQ[[#This Row],[MULTIPLIER]]*MBQ[[#This Row],[QTY]]</f>
        <v>1</v>
      </c>
      <c r="V17" s="9">
        <f>MBQ[[#This Row],[HEIGHT (mm)]]/1000*MBQ[[#This Row],[WIDTH (mm)]]/1000*MBQ[[#This Row],[QTY TOTAL]]</f>
        <v>0.78</v>
      </c>
      <c r="W17" s="287">
        <f>ROUNDUP(MBQ[[#This Row],[HEIGHT (mm)]]/450*MBQ[[#This Row],[QTY]]*2,0)+ROUNDUP(MBQ[[#This Row],[WIDTH (mm)]]/450*MBQ[[#This Row],[QTY]]*2,0)</f>
        <v>9</v>
      </c>
      <c r="X17" s="12" t="s">
        <v>519</v>
      </c>
      <c r="Y17" s="11">
        <v>2.79</v>
      </c>
    </row>
    <row r="18" spans="1:25" ht="15.75" hidden="1" thickTop="1">
      <c r="A18" s="258">
        <v>1</v>
      </c>
      <c r="B18" s="276" t="s">
        <v>536</v>
      </c>
      <c r="C18" s="278" t="s">
        <v>534</v>
      </c>
      <c r="D18" s="277" t="s">
        <v>532</v>
      </c>
      <c r="E18" s="277" t="s">
        <v>537</v>
      </c>
      <c r="F18" s="261"/>
      <c r="G18" s="262"/>
      <c r="H18" s="262"/>
      <c r="I18" s="260" t="s">
        <v>442</v>
      </c>
      <c r="J18" s="278" t="s">
        <v>443</v>
      </c>
      <c r="K18" s="285" t="s">
        <v>580</v>
      </c>
      <c r="L18" s="277" t="s">
        <v>541</v>
      </c>
      <c r="M18" s="263"/>
      <c r="N18" s="263"/>
      <c r="O18" s="264">
        <v>1700</v>
      </c>
      <c r="P18" s="264">
        <v>600</v>
      </c>
      <c r="Q18" s="265">
        <v>1</v>
      </c>
      <c r="R18" s="30">
        <f>MBQ[[#This Row],[HEIGHT (mm)]]*MBQ[[#This Row],[QTY TOTAL]]/1000</f>
        <v>1.7</v>
      </c>
      <c r="S18" s="30">
        <f>MBQ[[#This Row],[WIDTH (mm)]]*MBQ[[#This Row],[QTY TOTAL]]/1000</f>
        <v>0.6</v>
      </c>
      <c r="T18" s="9">
        <f>(MBQ[[#This Row],[HEIGHT (mm)]]+MBQ[[#This Row],[WIDTH (mm)]])/1000*2*MBQ[[#This Row],[QTY TOTAL]]</f>
        <v>4.5999999999999996</v>
      </c>
      <c r="U18" s="266">
        <f>MBQ[[#This Row],[MULTIPLIER]]*MBQ[[#This Row],[QTY]]</f>
        <v>1</v>
      </c>
      <c r="V18" s="9">
        <f>MBQ[[#This Row],[HEIGHT (mm)]]/1000*MBQ[[#This Row],[WIDTH (mm)]]/1000*MBQ[[#This Row],[QTY TOTAL]]</f>
        <v>1.02</v>
      </c>
      <c r="W18" s="287">
        <f>ROUNDUP(MBQ[[#This Row],[HEIGHT (mm)]]/450*MBQ[[#This Row],[QTY]]*2,0)+ROUNDUP(MBQ[[#This Row],[WIDTH (mm)]]/450*MBQ[[#This Row],[QTY]]*2,0)</f>
        <v>11</v>
      </c>
      <c r="X18" s="12" t="s">
        <v>520</v>
      </c>
      <c r="Y18" s="11">
        <v>0.21</v>
      </c>
    </row>
    <row r="19" spans="1:25" ht="15.75" hidden="1" thickTop="1">
      <c r="A19" s="258">
        <v>1</v>
      </c>
      <c r="B19" s="276" t="s">
        <v>536</v>
      </c>
      <c r="C19" s="278" t="s">
        <v>534</v>
      </c>
      <c r="D19" s="277" t="s">
        <v>532</v>
      </c>
      <c r="E19" s="277" t="s">
        <v>537</v>
      </c>
      <c r="F19" s="261"/>
      <c r="G19" s="262"/>
      <c r="H19" s="262"/>
      <c r="I19" s="260" t="s">
        <v>442</v>
      </c>
      <c r="J19" s="278" t="s">
        <v>443</v>
      </c>
      <c r="K19" s="285" t="s">
        <v>580</v>
      </c>
      <c r="L19" s="277" t="s">
        <v>540</v>
      </c>
      <c r="M19" s="263"/>
      <c r="N19" s="263"/>
      <c r="O19" s="264">
        <v>1000</v>
      </c>
      <c r="P19" s="264">
        <v>600</v>
      </c>
      <c r="Q19" s="265">
        <v>1</v>
      </c>
      <c r="R19" s="30">
        <f>MBQ[[#This Row],[HEIGHT (mm)]]*MBQ[[#This Row],[QTY TOTAL]]/1000</f>
        <v>1</v>
      </c>
      <c r="S19" s="30">
        <f>MBQ[[#This Row],[WIDTH (mm)]]*MBQ[[#This Row],[QTY TOTAL]]/1000</f>
        <v>0.6</v>
      </c>
      <c r="T19" s="9">
        <f>(MBQ[[#This Row],[HEIGHT (mm)]]+MBQ[[#This Row],[WIDTH (mm)]])/1000*2*MBQ[[#This Row],[QTY TOTAL]]</f>
        <v>3.2</v>
      </c>
      <c r="U19" s="266">
        <f>MBQ[[#This Row],[MULTIPLIER]]*MBQ[[#This Row],[QTY]]</f>
        <v>1</v>
      </c>
      <c r="V19" s="9">
        <f>MBQ[[#This Row],[HEIGHT (mm)]]/1000*MBQ[[#This Row],[WIDTH (mm)]]/1000*MBQ[[#This Row],[QTY TOTAL]]</f>
        <v>0.6</v>
      </c>
      <c r="W19" s="287">
        <f>ROUNDUP(MBQ[[#This Row],[HEIGHT (mm)]]/450*MBQ[[#This Row],[QTY]]*2,0)+ROUNDUP(MBQ[[#This Row],[WIDTH (mm)]]/450*MBQ[[#This Row],[QTY]]*2,0)</f>
        <v>8</v>
      </c>
      <c r="X19" s="13" t="s">
        <v>522</v>
      </c>
      <c r="Y19" s="11"/>
    </row>
    <row r="20" spans="1:25" ht="15.75" hidden="1" thickTop="1">
      <c r="A20" s="258">
        <v>1</v>
      </c>
      <c r="B20" s="276" t="s">
        <v>536</v>
      </c>
      <c r="C20" s="278" t="s">
        <v>534</v>
      </c>
      <c r="D20" s="277" t="s">
        <v>542</v>
      </c>
      <c r="E20" s="277" t="s">
        <v>537</v>
      </c>
      <c r="F20" s="261"/>
      <c r="G20" s="262"/>
      <c r="H20" s="262"/>
      <c r="I20" s="260" t="s">
        <v>441</v>
      </c>
      <c r="J20" s="263"/>
      <c r="K20" s="285" t="s">
        <v>580</v>
      </c>
      <c r="L20" s="260"/>
      <c r="M20" s="263"/>
      <c r="N20" s="263"/>
      <c r="O20" s="264">
        <v>8000</v>
      </c>
      <c r="P20" s="264">
        <v>12000</v>
      </c>
      <c r="Q20" s="265">
        <v>1</v>
      </c>
      <c r="R20" s="30">
        <f>MBQ[[#This Row],[HEIGHT (mm)]]*MBQ[[#This Row],[QTY TOTAL]]/1000</f>
        <v>8</v>
      </c>
      <c r="S20" s="30">
        <f>MBQ[[#This Row],[WIDTH (mm)]]*MBQ[[#This Row],[QTY TOTAL]]/1000</f>
        <v>12</v>
      </c>
      <c r="T20" s="9">
        <f>(MBQ[[#This Row],[HEIGHT (mm)]]+MBQ[[#This Row],[WIDTH (mm)]])/1000*2*MBQ[[#This Row],[QTY TOTAL]]</f>
        <v>40</v>
      </c>
      <c r="U20" s="266">
        <f>MBQ[[#This Row],[MULTIPLIER]]*MBQ[[#This Row],[QTY]]</f>
        <v>1</v>
      </c>
      <c r="V20" s="9">
        <f>MBQ[[#This Row],[HEIGHT (mm)]]/1000*MBQ[[#This Row],[WIDTH (mm)]]/1000*MBQ[[#This Row],[QTY TOTAL]]</f>
        <v>96</v>
      </c>
      <c r="W20" s="287">
        <f>ROUNDUP(MBQ[[#This Row],[HEIGHT (mm)]]/450*MBQ[[#This Row],[QTY]]*2,0)+ROUNDUP(MBQ[[#This Row],[WIDTH (mm)]]/450*MBQ[[#This Row],[QTY]]*2,0)</f>
        <v>90</v>
      </c>
      <c r="X20" s="13" t="s">
        <v>65</v>
      </c>
      <c r="Y20" s="11"/>
    </row>
    <row r="21" spans="1:25" ht="30.75" thickTop="1">
      <c r="A21" s="258">
        <v>1</v>
      </c>
      <c r="B21" s="286" t="s">
        <v>535</v>
      </c>
      <c r="C21" s="278" t="s">
        <v>534</v>
      </c>
      <c r="D21" s="277" t="s">
        <v>542</v>
      </c>
      <c r="E21" s="277" t="s">
        <v>537</v>
      </c>
      <c r="F21" s="261"/>
      <c r="G21" s="262"/>
      <c r="H21" s="262"/>
      <c r="I21" s="260" t="s">
        <v>439</v>
      </c>
      <c r="J21" s="278" t="s">
        <v>538</v>
      </c>
      <c r="K21" s="285" t="s">
        <v>580</v>
      </c>
      <c r="L21" s="277" t="s">
        <v>539</v>
      </c>
      <c r="M21" s="263"/>
      <c r="N21" s="263"/>
      <c r="O21" s="264">
        <v>4000</v>
      </c>
      <c r="P21" s="264">
        <v>1200</v>
      </c>
      <c r="Q21" s="265">
        <v>1</v>
      </c>
      <c r="R21" s="30">
        <f>MBQ[[#This Row],[HEIGHT (mm)]]*MBQ[[#This Row],[QTY TOTAL]]/1000</f>
        <v>4</v>
      </c>
      <c r="S21" s="30">
        <f>MBQ[[#This Row],[WIDTH (mm)]]*MBQ[[#This Row],[QTY TOTAL]]/1000</f>
        <v>1.2</v>
      </c>
      <c r="T21" s="9">
        <f>(MBQ[[#This Row],[HEIGHT (mm)]]+MBQ[[#This Row],[WIDTH (mm)]])/1000*2*MBQ[[#This Row],[QTY TOTAL]]</f>
        <v>10.4</v>
      </c>
      <c r="U21" s="266">
        <f>MBQ[[#This Row],[MULTIPLIER]]*MBQ[[#This Row],[QTY]]</f>
        <v>1</v>
      </c>
      <c r="V21" s="9">
        <f>MBQ[[#This Row],[HEIGHT (mm)]]/1000*MBQ[[#This Row],[WIDTH (mm)]]/1000*MBQ[[#This Row],[QTY TOTAL]]</f>
        <v>4.8</v>
      </c>
      <c r="W21" s="287">
        <f>ROUNDUP(MBQ[[#This Row],[HEIGHT (mm)]]/450*MBQ[[#This Row],[QTY]]*2,0)+ROUNDUP(MBQ[[#This Row],[WIDTH (mm)]]/450*MBQ[[#This Row],[QTY]]*2,0)</f>
        <v>24</v>
      </c>
    </row>
    <row r="22" spans="1:25" ht="30">
      <c r="A22" s="258">
        <v>1</v>
      </c>
      <c r="B22" s="286" t="s">
        <v>535</v>
      </c>
      <c r="C22" s="278" t="s">
        <v>534</v>
      </c>
      <c r="D22" s="277" t="s">
        <v>542</v>
      </c>
      <c r="E22" s="277" t="s">
        <v>537</v>
      </c>
      <c r="F22" s="261"/>
      <c r="G22" s="262"/>
      <c r="H22" s="262"/>
      <c r="I22" s="260" t="s">
        <v>439</v>
      </c>
      <c r="J22" s="278" t="s">
        <v>538</v>
      </c>
      <c r="K22" s="285" t="s">
        <v>580</v>
      </c>
      <c r="L22" s="277" t="s">
        <v>539</v>
      </c>
      <c r="M22" s="263"/>
      <c r="N22" s="263"/>
      <c r="O22" s="264">
        <v>4000</v>
      </c>
      <c r="P22" s="264">
        <v>1200</v>
      </c>
      <c r="Q22" s="265">
        <v>1</v>
      </c>
      <c r="R22" s="30">
        <f>MBQ[[#This Row],[HEIGHT (mm)]]*MBQ[[#This Row],[QTY TOTAL]]/1000</f>
        <v>4</v>
      </c>
      <c r="S22" s="30">
        <f>MBQ[[#This Row],[WIDTH (mm)]]*MBQ[[#This Row],[QTY TOTAL]]/1000</f>
        <v>1.2</v>
      </c>
      <c r="T22" s="9">
        <f>(MBQ[[#This Row],[HEIGHT (mm)]]+MBQ[[#This Row],[WIDTH (mm)]])/1000*2*MBQ[[#This Row],[QTY TOTAL]]</f>
        <v>10.4</v>
      </c>
      <c r="U22" s="266">
        <f>MBQ[[#This Row],[MULTIPLIER]]*MBQ[[#This Row],[QTY]]</f>
        <v>1</v>
      </c>
      <c r="V22" s="9">
        <f>MBQ[[#This Row],[HEIGHT (mm)]]/1000*MBQ[[#This Row],[WIDTH (mm)]]/1000*MBQ[[#This Row],[QTY TOTAL]]</f>
        <v>4.8</v>
      </c>
      <c r="W22" s="287">
        <f>ROUNDUP(MBQ[[#This Row],[HEIGHT (mm)]]/450*MBQ[[#This Row],[QTY]]*2,0)+ROUNDUP(MBQ[[#This Row],[WIDTH (mm)]]/450*MBQ[[#This Row],[QTY]]*2,0)</f>
        <v>24</v>
      </c>
    </row>
    <row r="23" spans="1:25" ht="30">
      <c r="A23" s="258">
        <v>1</v>
      </c>
      <c r="B23" s="286" t="s">
        <v>535</v>
      </c>
      <c r="C23" s="278" t="s">
        <v>534</v>
      </c>
      <c r="D23" s="277" t="s">
        <v>542</v>
      </c>
      <c r="E23" s="277" t="s">
        <v>537</v>
      </c>
      <c r="F23" s="261"/>
      <c r="G23" s="262"/>
      <c r="H23" s="262"/>
      <c r="I23" s="260" t="s">
        <v>439</v>
      </c>
      <c r="J23" s="278" t="s">
        <v>538</v>
      </c>
      <c r="K23" s="285" t="s">
        <v>580</v>
      </c>
      <c r="L23" s="277" t="s">
        <v>539</v>
      </c>
      <c r="M23" s="263"/>
      <c r="N23" s="263"/>
      <c r="O23" s="264">
        <v>4000</v>
      </c>
      <c r="P23" s="264">
        <v>1200</v>
      </c>
      <c r="Q23" s="265">
        <v>1</v>
      </c>
      <c r="R23" s="30">
        <f>MBQ[[#This Row],[HEIGHT (mm)]]*MBQ[[#This Row],[QTY TOTAL]]/1000</f>
        <v>4</v>
      </c>
      <c r="S23" s="30">
        <f>MBQ[[#This Row],[WIDTH (mm)]]*MBQ[[#This Row],[QTY TOTAL]]/1000</f>
        <v>1.2</v>
      </c>
      <c r="T23" s="9">
        <f>(MBQ[[#This Row],[HEIGHT (mm)]]+MBQ[[#This Row],[WIDTH (mm)]])/1000*2*MBQ[[#This Row],[QTY TOTAL]]</f>
        <v>10.4</v>
      </c>
      <c r="U23" s="266">
        <f>MBQ[[#This Row],[MULTIPLIER]]*MBQ[[#This Row],[QTY]]</f>
        <v>1</v>
      </c>
      <c r="V23" s="9">
        <f>MBQ[[#This Row],[HEIGHT (mm)]]/1000*MBQ[[#This Row],[WIDTH (mm)]]/1000*MBQ[[#This Row],[QTY TOTAL]]</f>
        <v>4.8</v>
      </c>
      <c r="W23" s="287">
        <f>ROUNDUP(MBQ[[#This Row],[HEIGHT (mm)]]/450*MBQ[[#This Row],[QTY]]*2,0)+ROUNDUP(MBQ[[#This Row],[WIDTH (mm)]]/450*MBQ[[#This Row],[QTY]]*2,0)</f>
        <v>24</v>
      </c>
    </row>
    <row r="24" spans="1:25" ht="30">
      <c r="A24" s="258">
        <v>1</v>
      </c>
      <c r="B24" s="286" t="s">
        <v>535</v>
      </c>
      <c r="C24" s="278" t="s">
        <v>534</v>
      </c>
      <c r="D24" s="277" t="s">
        <v>542</v>
      </c>
      <c r="E24" s="277" t="s">
        <v>537</v>
      </c>
      <c r="F24" s="261"/>
      <c r="G24" s="262"/>
      <c r="H24" s="262"/>
      <c r="I24" s="260" t="s">
        <v>439</v>
      </c>
      <c r="J24" s="278" t="s">
        <v>538</v>
      </c>
      <c r="K24" s="285" t="s">
        <v>580</v>
      </c>
      <c r="L24" s="277" t="s">
        <v>539</v>
      </c>
      <c r="M24" s="263"/>
      <c r="N24" s="263"/>
      <c r="O24" s="264">
        <v>4000</v>
      </c>
      <c r="P24" s="264">
        <v>1200</v>
      </c>
      <c r="Q24" s="265">
        <v>1</v>
      </c>
      <c r="R24" s="30">
        <f>MBQ[[#This Row],[HEIGHT (mm)]]*MBQ[[#This Row],[QTY TOTAL]]/1000</f>
        <v>4</v>
      </c>
      <c r="S24" s="30">
        <f>MBQ[[#This Row],[WIDTH (mm)]]*MBQ[[#This Row],[QTY TOTAL]]/1000</f>
        <v>1.2</v>
      </c>
      <c r="T24" s="9">
        <f>(MBQ[[#This Row],[HEIGHT (mm)]]+MBQ[[#This Row],[WIDTH (mm)]])/1000*2*MBQ[[#This Row],[QTY TOTAL]]</f>
        <v>10.4</v>
      </c>
      <c r="U24" s="266">
        <f>MBQ[[#This Row],[MULTIPLIER]]*MBQ[[#This Row],[QTY]]</f>
        <v>1</v>
      </c>
      <c r="V24" s="9">
        <f>MBQ[[#This Row],[HEIGHT (mm)]]/1000*MBQ[[#This Row],[WIDTH (mm)]]/1000*MBQ[[#This Row],[QTY TOTAL]]</f>
        <v>4.8</v>
      </c>
      <c r="W24" s="287">
        <f>ROUNDUP(MBQ[[#This Row],[HEIGHT (mm)]]/450*MBQ[[#This Row],[QTY]]*2,0)+ROUNDUP(MBQ[[#This Row],[WIDTH (mm)]]/450*MBQ[[#This Row],[QTY]]*2,0)</f>
        <v>24</v>
      </c>
    </row>
    <row r="25" spans="1:25" ht="30">
      <c r="A25" s="258">
        <v>1</v>
      </c>
      <c r="B25" s="286" t="s">
        <v>535</v>
      </c>
      <c r="C25" s="278" t="s">
        <v>534</v>
      </c>
      <c r="D25" s="277" t="s">
        <v>542</v>
      </c>
      <c r="E25" s="277" t="s">
        <v>537</v>
      </c>
      <c r="F25" s="261"/>
      <c r="G25" s="262"/>
      <c r="H25" s="262"/>
      <c r="I25" s="260" t="s">
        <v>439</v>
      </c>
      <c r="J25" s="278" t="s">
        <v>538</v>
      </c>
      <c r="K25" s="285" t="s">
        <v>580</v>
      </c>
      <c r="L25" s="277" t="s">
        <v>539</v>
      </c>
      <c r="M25" s="263"/>
      <c r="N25" s="263"/>
      <c r="O25" s="264">
        <v>4000</v>
      </c>
      <c r="P25" s="264">
        <v>1200</v>
      </c>
      <c r="Q25" s="265">
        <v>1</v>
      </c>
      <c r="R25" s="30">
        <f>MBQ[[#This Row],[HEIGHT (mm)]]*MBQ[[#This Row],[QTY TOTAL]]/1000</f>
        <v>4</v>
      </c>
      <c r="S25" s="30">
        <f>MBQ[[#This Row],[WIDTH (mm)]]*MBQ[[#This Row],[QTY TOTAL]]/1000</f>
        <v>1.2</v>
      </c>
      <c r="T25" s="9">
        <f>(MBQ[[#This Row],[HEIGHT (mm)]]+MBQ[[#This Row],[WIDTH (mm)]])/1000*2*MBQ[[#This Row],[QTY TOTAL]]</f>
        <v>10.4</v>
      </c>
      <c r="U25" s="266">
        <f>MBQ[[#This Row],[MULTIPLIER]]*MBQ[[#This Row],[QTY]]</f>
        <v>1</v>
      </c>
      <c r="V25" s="9">
        <f>MBQ[[#This Row],[HEIGHT (mm)]]/1000*MBQ[[#This Row],[WIDTH (mm)]]/1000*MBQ[[#This Row],[QTY TOTAL]]</f>
        <v>4.8</v>
      </c>
      <c r="W25" s="287">
        <f>ROUNDUP(MBQ[[#This Row],[HEIGHT (mm)]]/450*MBQ[[#This Row],[QTY]]*2,0)+ROUNDUP(MBQ[[#This Row],[WIDTH (mm)]]/450*MBQ[[#This Row],[QTY]]*2,0)</f>
        <v>24</v>
      </c>
    </row>
    <row r="26" spans="1:25" ht="30">
      <c r="A26" s="258">
        <v>1</v>
      </c>
      <c r="B26" s="286" t="s">
        <v>535</v>
      </c>
      <c r="C26" s="278" t="s">
        <v>534</v>
      </c>
      <c r="D26" s="277" t="s">
        <v>542</v>
      </c>
      <c r="E26" s="277" t="s">
        <v>537</v>
      </c>
      <c r="F26" s="261"/>
      <c r="G26" s="262"/>
      <c r="H26" s="262"/>
      <c r="I26" s="260" t="s">
        <v>439</v>
      </c>
      <c r="J26" s="278" t="s">
        <v>538</v>
      </c>
      <c r="K26" s="285" t="s">
        <v>580</v>
      </c>
      <c r="L26" s="277" t="s">
        <v>539</v>
      </c>
      <c r="M26" s="263"/>
      <c r="N26" s="263"/>
      <c r="O26" s="264">
        <v>4000</v>
      </c>
      <c r="P26" s="264">
        <v>1200</v>
      </c>
      <c r="Q26" s="265">
        <v>1</v>
      </c>
      <c r="R26" s="30">
        <f>MBQ[[#This Row],[HEIGHT (mm)]]*MBQ[[#This Row],[QTY TOTAL]]/1000</f>
        <v>4</v>
      </c>
      <c r="S26" s="30">
        <f>MBQ[[#This Row],[WIDTH (mm)]]*MBQ[[#This Row],[QTY TOTAL]]/1000</f>
        <v>1.2</v>
      </c>
      <c r="T26" s="9">
        <f>(MBQ[[#This Row],[HEIGHT (mm)]]+MBQ[[#This Row],[WIDTH (mm)]])/1000*2*MBQ[[#This Row],[QTY TOTAL]]</f>
        <v>10.4</v>
      </c>
      <c r="U26" s="266">
        <f>MBQ[[#This Row],[MULTIPLIER]]*MBQ[[#This Row],[QTY]]</f>
        <v>1</v>
      </c>
      <c r="V26" s="9">
        <f>MBQ[[#This Row],[HEIGHT (mm)]]/1000*MBQ[[#This Row],[WIDTH (mm)]]/1000*MBQ[[#This Row],[QTY TOTAL]]</f>
        <v>4.8</v>
      </c>
      <c r="W26" s="287">
        <f>ROUNDUP(MBQ[[#This Row],[HEIGHT (mm)]]/450*MBQ[[#This Row],[QTY]]*2,0)+ROUNDUP(MBQ[[#This Row],[WIDTH (mm)]]/450*MBQ[[#This Row],[QTY]]*2,0)</f>
        <v>24</v>
      </c>
    </row>
    <row r="27" spans="1:25" ht="30">
      <c r="A27" s="258">
        <v>1</v>
      </c>
      <c r="B27" s="286" t="s">
        <v>535</v>
      </c>
      <c r="C27" s="278" t="s">
        <v>534</v>
      </c>
      <c r="D27" s="277" t="s">
        <v>542</v>
      </c>
      <c r="E27" s="277" t="s">
        <v>537</v>
      </c>
      <c r="F27" s="261"/>
      <c r="G27" s="262"/>
      <c r="H27" s="262"/>
      <c r="I27" s="260" t="s">
        <v>439</v>
      </c>
      <c r="J27" s="278" t="s">
        <v>538</v>
      </c>
      <c r="K27" s="285" t="s">
        <v>580</v>
      </c>
      <c r="L27" s="277" t="s">
        <v>539</v>
      </c>
      <c r="M27" s="263"/>
      <c r="N27" s="263"/>
      <c r="O27" s="264">
        <v>4000</v>
      </c>
      <c r="P27" s="264">
        <v>1200</v>
      </c>
      <c r="Q27" s="265">
        <v>1</v>
      </c>
      <c r="R27" s="30">
        <f>MBQ[[#This Row],[HEIGHT (mm)]]*MBQ[[#This Row],[QTY TOTAL]]/1000</f>
        <v>4</v>
      </c>
      <c r="S27" s="30">
        <f>MBQ[[#This Row],[WIDTH (mm)]]*MBQ[[#This Row],[QTY TOTAL]]/1000</f>
        <v>1.2</v>
      </c>
      <c r="T27" s="9">
        <f>(MBQ[[#This Row],[HEIGHT (mm)]]+MBQ[[#This Row],[WIDTH (mm)]])/1000*2*MBQ[[#This Row],[QTY TOTAL]]</f>
        <v>10.4</v>
      </c>
      <c r="U27" s="266">
        <f>MBQ[[#This Row],[MULTIPLIER]]*MBQ[[#This Row],[QTY]]</f>
        <v>1</v>
      </c>
      <c r="V27" s="9">
        <f>MBQ[[#This Row],[HEIGHT (mm)]]/1000*MBQ[[#This Row],[WIDTH (mm)]]/1000*MBQ[[#This Row],[QTY TOTAL]]</f>
        <v>4.8</v>
      </c>
      <c r="W27" s="287">
        <f>ROUNDUP(MBQ[[#This Row],[HEIGHT (mm)]]/450*MBQ[[#This Row],[QTY]]*2,0)+ROUNDUP(MBQ[[#This Row],[WIDTH (mm)]]/450*MBQ[[#This Row],[QTY]]*2,0)</f>
        <v>24</v>
      </c>
    </row>
    <row r="28" spans="1:25" ht="30">
      <c r="A28" s="258">
        <v>1</v>
      </c>
      <c r="B28" s="286" t="s">
        <v>535</v>
      </c>
      <c r="C28" s="278" t="s">
        <v>534</v>
      </c>
      <c r="D28" s="277" t="s">
        <v>542</v>
      </c>
      <c r="E28" s="277" t="s">
        <v>537</v>
      </c>
      <c r="F28" s="261"/>
      <c r="G28" s="262"/>
      <c r="H28" s="262"/>
      <c r="I28" s="260" t="s">
        <v>439</v>
      </c>
      <c r="J28" s="278" t="s">
        <v>538</v>
      </c>
      <c r="K28" s="285" t="s">
        <v>580</v>
      </c>
      <c r="L28" s="277" t="s">
        <v>539</v>
      </c>
      <c r="M28" s="263"/>
      <c r="N28" s="263"/>
      <c r="O28" s="264">
        <v>4000</v>
      </c>
      <c r="P28" s="264">
        <v>1200</v>
      </c>
      <c r="Q28" s="265">
        <v>1</v>
      </c>
      <c r="R28" s="30">
        <f>MBQ[[#This Row],[HEIGHT (mm)]]*MBQ[[#This Row],[QTY TOTAL]]/1000</f>
        <v>4</v>
      </c>
      <c r="S28" s="30">
        <f>MBQ[[#This Row],[WIDTH (mm)]]*MBQ[[#This Row],[QTY TOTAL]]/1000</f>
        <v>1.2</v>
      </c>
      <c r="T28" s="9">
        <f>(MBQ[[#This Row],[HEIGHT (mm)]]+MBQ[[#This Row],[WIDTH (mm)]])/1000*2*MBQ[[#This Row],[QTY TOTAL]]</f>
        <v>10.4</v>
      </c>
      <c r="U28" s="266">
        <f>MBQ[[#This Row],[MULTIPLIER]]*MBQ[[#This Row],[QTY]]</f>
        <v>1</v>
      </c>
      <c r="V28" s="9">
        <f>MBQ[[#This Row],[HEIGHT (mm)]]/1000*MBQ[[#This Row],[WIDTH (mm)]]/1000*MBQ[[#This Row],[QTY TOTAL]]</f>
        <v>4.8</v>
      </c>
      <c r="W28" s="287">
        <f>ROUNDUP(MBQ[[#This Row],[HEIGHT (mm)]]/450*MBQ[[#This Row],[QTY]]*2,0)+ROUNDUP(MBQ[[#This Row],[WIDTH (mm)]]/450*MBQ[[#This Row],[QTY]]*2,0)</f>
        <v>24</v>
      </c>
    </row>
    <row r="29" spans="1:25" ht="30">
      <c r="A29" s="258">
        <v>1</v>
      </c>
      <c r="B29" s="286" t="s">
        <v>535</v>
      </c>
      <c r="C29" s="278" t="s">
        <v>534</v>
      </c>
      <c r="D29" s="277" t="s">
        <v>542</v>
      </c>
      <c r="E29" s="277" t="s">
        <v>537</v>
      </c>
      <c r="F29" s="261"/>
      <c r="G29" s="262"/>
      <c r="H29" s="262"/>
      <c r="I29" s="260" t="s">
        <v>439</v>
      </c>
      <c r="J29" s="278" t="s">
        <v>538</v>
      </c>
      <c r="K29" s="285" t="s">
        <v>580</v>
      </c>
      <c r="L29" s="277" t="s">
        <v>539</v>
      </c>
      <c r="M29" s="263"/>
      <c r="N29" s="263"/>
      <c r="O29" s="264">
        <v>4000</v>
      </c>
      <c r="P29" s="264">
        <v>1200</v>
      </c>
      <c r="Q29" s="265">
        <v>1</v>
      </c>
      <c r="R29" s="30">
        <f>MBQ[[#This Row],[HEIGHT (mm)]]*MBQ[[#This Row],[QTY TOTAL]]/1000</f>
        <v>4</v>
      </c>
      <c r="S29" s="30">
        <f>MBQ[[#This Row],[WIDTH (mm)]]*MBQ[[#This Row],[QTY TOTAL]]/1000</f>
        <v>1.2</v>
      </c>
      <c r="T29" s="9">
        <f>(MBQ[[#This Row],[HEIGHT (mm)]]+MBQ[[#This Row],[WIDTH (mm)]])/1000*2*MBQ[[#This Row],[QTY TOTAL]]</f>
        <v>10.4</v>
      </c>
      <c r="U29" s="266">
        <f>MBQ[[#This Row],[MULTIPLIER]]*MBQ[[#This Row],[QTY]]</f>
        <v>1</v>
      </c>
      <c r="V29" s="9">
        <f>MBQ[[#This Row],[HEIGHT (mm)]]/1000*MBQ[[#This Row],[WIDTH (mm)]]/1000*MBQ[[#This Row],[QTY TOTAL]]</f>
        <v>4.8</v>
      </c>
      <c r="W29" s="287">
        <f>ROUNDUP(MBQ[[#This Row],[HEIGHT (mm)]]/450*MBQ[[#This Row],[QTY]]*2,0)+ROUNDUP(MBQ[[#This Row],[WIDTH (mm)]]/450*MBQ[[#This Row],[QTY]]*2,0)</f>
        <v>24</v>
      </c>
    </row>
    <row r="30" spans="1:25" ht="30">
      <c r="A30" s="258">
        <v>1</v>
      </c>
      <c r="B30" s="286" t="s">
        <v>535</v>
      </c>
      <c r="C30" s="278" t="s">
        <v>534</v>
      </c>
      <c r="D30" s="277" t="s">
        <v>542</v>
      </c>
      <c r="E30" s="277" t="s">
        <v>537</v>
      </c>
      <c r="F30" s="261"/>
      <c r="G30" s="262"/>
      <c r="H30" s="262"/>
      <c r="I30" s="260" t="s">
        <v>439</v>
      </c>
      <c r="J30" s="278" t="s">
        <v>538</v>
      </c>
      <c r="K30" s="285" t="s">
        <v>580</v>
      </c>
      <c r="L30" s="277" t="s">
        <v>539</v>
      </c>
      <c r="M30" s="263"/>
      <c r="N30" s="263"/>
      <c r="O30" s="264">
        <v>4000</v>
      </c>
      <c r="P30" s="264">
        <v>1200</v>
      </c>
      <c r="Q30" s="265">
        <v>1</v>
      </c>
      <c r="R30" s="30">
        <f>MBQ[[#This Row],[HEIGHT (mm)]]*MBQ[[#This Row],[QTY TOTAL]]/1000</f>
        <v>4</v>
      </c>
      <c r="S30" s="30">
        <f>MBQ[[#This Row],[WIDTH (mm)]]*MBQ[[#This Row],[QTY TOTAL]]/1000</f>
        <v>1.2</v>
      </c>
      <c r="T30" s="9">
        <f>(MBQ[[#This Row],[HEIGHT (mm)]]+MBQ[[#This Row],[WIDTH (mm)]])/1000*2*MBQ[[#This Row],[QTY TOTAL]]</f>
        <v>10.4</v>
      </c>
      <c r="U30" s="266">
        <f>MBQ[[#This Row],[MULTIPLIER]]*MBQ[[#This Row],[QTY]]</f>
        <v>1</v>
      </c>
      <c r="V30" s="9">
        <f>MBQ[[#This Row],[HEIGHT (mm)]]/1000*MBQ[[#This Row],[WIDTH (mm)]]/1000*MBQ[[#This Row],[QTY TOTAL]]</f>
        <v>4.8</v>
      </c>
      <c r="W30" s="287">
        <f>ROUNDUP(MBQ[[#This Row],[HEIGHT (mm)]]/450*MBQ[[#This Row],[QTY]]*2,0)+ROUNDUP(MBQ[[#This Row],[WIDTH (mm)]]/450*MBQ[[#This Row],[QTY]]*2,0)</f>
        <v>24</v>
      </c>
    </row>
    <row r="31" spans="1:25" ht="30">
      <c r="A31" s="258">
        <v>1</v>
      </c>
      <c r="B31" s="276" t="s">
        <v>536</v>
      </c>
      <c r="C31" s="278" t="s">
        <v>534</v>
      </c>
      <c r="D31" s="277" t="s">
        <v>542</v>
      </c>
      <c r="E31" s="277" t="s">
        <v>537</v>
      </c>
      <c r="F31" s="261"/>
      <c r="G31" s="262"/>
      <c r="H31" s="262"/>
      <c r="I31" s="260" t="s">
        <v>439</v>
      </c>
      <c r="J31" s="278" t="s">
        <v>538</v>
      </c>
      <c r="K31" s="285" t="s">
        <v>580</v>
      </c>
      <c r="L31" s="277" t="s">
        <v>539</v>
      </c>
      <c r="M31" s="263"/>
      <c r="N31" s="263"/>
      <c r="O31" s="264">
        <v>4000</v>
      </c>
      <c r="P31" s="264">
        <v>1200</v>
      </c>
      <c r="Q31" s="265">
        <v>1</v>
      </c>
      <c r="R31" s="30">
        <f>MBQ[[#This Row],[HEIGHT (mm)]]*MBQ[[#This Row],[QTY TOTAL]]/1000</f>
        <v>4</v>
      </c>
      <c r="S31" s="30">
        <f>MBQ[[#This Row],[WIDTH (mm)]]*MBQ[[#This Row],[QTY TOTAL]]/1000</f>
        <v>1.2</v>
      </c>
      <c r="T31" s="9">
        <f>(MBQ[[#This Row],[HEIGHT (mm)]]+MBQ[[#This Row],[WIDTH (mm)]])/1000*2*MBQ[[#This Row],[QTY TOTAL]]</f>
        <v>10.4</v>
      </c>
      <c r="U31" s="266">
        <f>MBQ[[#This Row],[MULTIPLIER]]*MBQ[[#This Row],[QTY]]</f>
        <v>1</v>
      </c>
      <c r="V31" s="9">
        <f>MBQ[[#This Row],[HEIGHT (mm)]]/1000*MBQ[[#This Row],[WIDTH (mm)]]/1000*MBQ[[#This Row],[QTY TOTAL]]</f>
        <v>4.8</v>
      </c>
      <c r="W31" s="287">
        <f>ROUNDUP(MBQ[[#This Row],[HEIGHT (mm)]]/450*MBQ[[#This Row],[QTY]]*2,0)+ROUNDUP(MBQ[[#This Row],[WIDTH (mm)]]/450*MBQ[[#This Row],[QTY]]*2,0)</f>
        <v>24</v>
      </c>
    </row>
    <row r="32" spans="1:25" ht="30">
      <c r="A32" s="258">
        <v>1</v>
      </c>
      <c r="B32" s="276" t="s">
        <v>536</v>
      </c>
      <c r="C32" s="278" t="s">
        <v>534</v>
      </c>
      <c r="D32" s="277" t="s">
        <v>542</v>
      </c>
      <c r="E32" s="277" t="s">
        <v>537</v>
      </c>
      <c r="F32" s="261"/>
      <c r="G32" s="262"/>
      <c r="H32" s="262"/>
      <c r="I32" s="260" t="s">
        <v>439</v>
      </c>
      <c r="J32" s="278" t="s">
        <v>538</v>
      </c>
      <c r="K32" s="285" t="s">
        <v>580</v>
      </c>
      <c r="L32" s="277" t="s">
        <v>539</v>
      </c>
      <c r="M32" s="263"/>
      <c r="N32" s="263"/>
      <c r="O32" s="264">
        <v>4000</v>
      </c>
      <c r="P32" s="264">
        <v>1200</v>
      </c>
      <c r="Q32" s="265">
        <v>1</v>
      </c>
      <c r="R32" s="30">
        <f>MBQ[[#This Row],[HEIGHT (mm)]]*MBQ[[#This Row],[QTY TOTAL]]/1000</f>
        <v>4</v>
      </c>
      <c r="S32" s="30">
        <f>MBQ[[#This Row],[WIDTH (mm)]]*MBQ[[#This Row],[QTY TOTAL]]/1000</f>
        <v>1.2</v>
      </c>
      <c r="T32" s="9">
        <f>(MBQ[[#This Row],[HEIGHT (mm)]]+MBQ[[#This Row],[WIDTH (mm)]])/1000*2*MBQ[[#This Row],[QTY TOTAL]]</f>
        <v>10.4</v>
      </c>
      <c r="U32" s="266">
        <f>MBQ[[#This Row],[MULTIPLIER]]*MBQ[[#This Row],[QTY]]</f>
        <v>1</v>
      </c>
      <c r="V32" s="9">
        <f>MBQ[[#This Row],[HEIGHT (mm)]]/1000*MBQ[[#This Row],[WIDTH (mm)]]/1000*MBQ[[#This Row],[QTY TOTAL]]</f>
        <v>4.8</v>
      </c>
      <c r="W32" s="287">
        <f>ROUNDUP(MBQ[[#This Row],[HEIGHT (mm)]]/450*MBQ[[#This Row],[QTY]]*2,0)+ROUNDUP(MBQ[[#This Row],[WIDTH (mm)]]/450*MBQ[[#This Row],[QTY]]*2,0)</f>
        <v>24</v>
      </c>
    </row>
    <row r="33" spans="1:23" ht="30">
      <c r="A33" s="258">
        <v>1</v>
      </c>
      <c r="B33" s="276" t="s">
        <v>536</v>
      </c>
      <c r="C33" s="278" t="s">
        <v>534</v>
      </c>
      <c r="D33" s="277" t="s">
        <v>542</v>
      </c>
      <c r="E33" s="277" t="s">
        <v>537</v>
      </c>
      <c r="F33" s="261"/>
      <c r="G33" s="262"/>
      <c r="H33" s="262"/>
      <c r="I33" s="260" t="s">
        <v>439</v>
      </c>
      <c r="J33" s="278" t="s">
        <v>538</v>
      </c>
      <c r="K33" s="285" t="s">
        <v>580</v>
      </c>
      <c r="L33" s="277" t="s">
        <v>539</v>
      </c>
      <c r="M33" s="263"/>
      <c r="N33" s="263"/>
      <c r="O33" s="264">
        <v>4000</v>
      </c>
      <c r="P33" s="264">
        <v>1200</v>
      </c>
      <c r="Q33" s="265">
        <v>1</v>
      </c>
      <c r="R33" s="30">
        <f>MBQ[[#This Row],[HEIGHT (mm)]]*MBQ[[#This Row],[QTY TOTAL]]/1000</f>
        <v>4</v>
      </c>
      <c r="S33" s="30">
        <f>MBQ[[#This Row],[WIDTH (mm)]]*MBQ[[#This Row],[QTY TOTAL]]/1000</f>
        <v>1.2</v>
      </c>
      <c r="T33" s="9">
        <f>(MBQ[[#This Row],[HEIGHT (mm)]]+MBQ[[#This Row],[WIDTH (mm)]])/1000*2*MBQ[[#This Row],[QTY TOTAL]]</f>
        <v>10.4</v>
      </c>
      <c r="U33" s="266">
        <f>MBQ[[#This Row],[MULTIPLIER]]*MBQ[[#This Row],[QTY]]</f>
        <v>1</v>
      </c>
      <c r="V33" s="9">
        <f>MBQ[[#This Row],[HEIGHT (mm)]]/1000*MBQ[[#This Row],[WIDTH (mm)]]/1000*MBQ[[#This Row],[QTY TOTAL]]</f>
        <v>4.8</v>
      </c>
      <c r="W33" s="287">
        <f>ROUNDUP(MBQ[[#This Row],[HEIGHT (mm)]]/450*MBQ[[#This Row],[QTY]]*2,0)+ROUNDUP(MBQ[[#This Row],[WIDTH (mm)]]/450*MBQ[[#This Row],[QTY]]*2,0)</f>
        <v>24</v>
      </c>
    </row>
    <row r="34" spans="1:23" ht="30">
      <c r="A34" s="258">
        <v>1</v>
      </c>
      <c r="B34" s="276" t="s">
        <v>536</v>
      </c>
      <c r="C34" s="278" t="s">
        <v>534</v>
      </c>
      <c r="D34" s="277" t="s">
        <v>542</v>
      </c>
      <c r="E34" s="277" t="s">
        <v>537</v>
      </c>
      <c r="F34" s="261"/>
      <c r="G34" s="262"/>
      <c r="H34" s="262"/>
      <c r="I34" s="260" t="s">
        <v>439</v>
      </c>
      <c r="J34" s="278" t="s">
        <v>538</v>
      </c>
      <c r="K34" s="285" t="s">
        <v>580</v>
      </c>
      <c r="L34" s="277" t="s">
        <v>539</v>
      </c>
      <c r="M34" s="263"/>
      <c r="N34" s="263"/>
      <c r="O34" s="264">
        <v>4000</v>
      </c>
      <c r="P34" s="264">
        <v>1200</v>
      </c>
      <c r="Q34" s="265">
        <v>1</v>
      </c>
      <c r="R34" s="30">
        <f>MBQ[[#This Row],[HEIGHT (mm)]]*MBQ[[#This Row],[QTY TOTAL]]/1000</f>
        <v>4</v>
      </c>
      <c r="S34" s="30">
        <f>MBQ[[#This Row],[WIDTH (mm)]]*MBQ[[#This Row],[QTY TOTAL]]/1000</f>
        <v>1.2</v>
      </c>
      <c r="T34" s="9">
        <f>(MBQ[[#This Row],[HEIGHT (mm)]]+MBQ[[#This Row],[WIDTH (mm)]])/1000*2*MBQ[[#This Row],[QTY TOTAL]]</f>
        <v>10.4</v>
      </c>
      <c r="U34" s="266">
        <f>MBQ[[#This Row],[MULTIPLIER]]*MBQ[[#This Row],[QTY]]</f>
        <v>1</v>
      </c>
      <c r="V34" s="9">
        <f>MBQ[[#This Row],[HEIGHT (mm)]]/1000*MBQ[[#This Row],[WIDTH (mm)]]/1000*MBQ[[#This Row],[QTY TOTAL]]</f>
        <v>4.8</v>
      </c>
      <c r="W34" s="287">
        <f>ROUNDUP(MBQ[[#This Row],[HEIGHT (mm)]]/450*MBQ[[#This Row],[QTY]]*2,0)+ROUNDUP(MBQ[[#This Row],[WIDTH (mm)]]/450*MBQ[[#This Row],[QTY]]*2,0)</f>
        <v>24</v>
      </c>
    </row>
    <row r="35" spans="1:23" ht="30">
      <c r="A35" s="258">
        <v>1</v>
      </c>
      <c r="B35" s="276" t="s">
        <v>536</v>
      </c>
      <c r="C35" s="278" t="s">
        <v>534</v>
      </c>
      <c r="D35" s="277" t="s">
        <v>542</v>
      </c>
      <c r="E35" s="277" t="s">
        <v>537</v>
      </c>
      <c r="F35" s="261"/>
      <c r="G35" s="262"/>
      <c r="H35" s="262"/>
      <c r="I35" s="260" t="s">
        <v>439</v>
      </c>
      <c r="J35" s="278" t="s">
        <v>538</v>
      </c>
      <c r="K35" s="285" t="s">
        <v>580</v>
      </c>
      <c r="L35" s="277" t="s">
        <v>539</v>
      </c>
      <c r="M35" s="263"/>
      <c r="N35" s="263"/>
      <c r="O35" s="264">
        <v>4000</v>
      </c>
      <c r="P35" s="264">
        <v>1200</v>
      </c>
      <c r="Q35" s="265">
        <v>1</v>
      </c>
      <c r="R35" s="30">
        <f>MBQ[[#This Row],[HEIGHT (mm)]]*MBQ[[#This Row],[QTY TOTAL]]/1000</f>
        <v>4</v>
      </c>
      <c r="S35" s="30">
        <f>MBQ[[#This Row],[WIDTH (mm)]]*MBQ[[#This Row],[QTY TOTAL]]/1000</f>
        <v>1.2</v>
      </c>
      <c r="T35" s="9">
        <f>(MBQ[[#This Row],[HEIGHT (mm)]]+MBQ[[#This Row],[WIDTH (mm)]])/1000*2*MBQ[[#This Row],[QTY TOTAL]]</f>
        <v>10.4</v>
      </c>
      <c r="U35" s="266">
        <f>MBQ[[#This Row],[MULTIPLIER]]*MBQ[[#This Row],[QTY]]</f>
        <v>1</v>
      </c>
      <c r="V35" s="9">
        <f>MBQ[[#This Row],[HEIGHT (mm)]]/1000*MBQ[[#This Row],[WIDTH (mm)]]/1000*MBQ[[#This Row],[QTY TOTAL]]</f>
        <v>4.8</v>
      </c>
      <c r="W35" s="287">
        <f>ROUNDUP(MBQ[[#This Row],[HEIGHT (mm)]]/450*MBQ[[#This Row],[QTY]]*2,0)+ROUNDUP(MBQ[[#This Row],[WIDTH (mm)]]/450*MBQ[[#This Row],[QTY]]*2,0)</f>
        <v>24</v>
      </c>
    </row>
    <row r="36" spans="1:23" ht="30">
      <c r="A36" s="258">
        <v>1</v>
      </c>
      <c r="B36" s="276" t="s">
        <v>536</v>
      </c>
      <c r="C36" s="278" t="s">
        <v>534</v>
      </c>
      <c r="D36" s="277" t="s">
        <v>542</v>
      </c>
      <c r="E36" s="277" t="s">
        <v>537</v>
      </c>
      <c r="F36" s="261"/>
      <c r="G36" s="262"/>
      <c r="H36" s="262"/>
      <c r="I36" s="260" t="s">
        <v>439</v>
      </c>
      <c r="J36" s="278" t="s">
        <v>538</v>
      </c>
      <c r="K36" s="285" t="s">
        <v>580</v>
      </c>
      <c r="L36" s="277" t="s">
        <v>539</v>
      </c>
      <c r="M36" s="263"/>
      <c r="N36" s="263"/>
      <c r="O36" s="264">
        <v>4000</v>
      </c>
      <c r="P36" s="264">
        <v>1200</v>
      </c>
      <c r="Q36" s="265">
        <v>1</v>
      </c>
      <c r="R36" s="30">
        <f>MBQ[[#This Row],[HEIGHT (mm)]]*MBQ[[#This Row],[QTY TOTAL]]/1000</f>
        <v>4</v>
      </c>
      <c r="S36" s="30">
        <f>MBQ[[#This Row],[WIDTH (mm)]]*MBQ[[#This Row],[QTY TOTAL]]/1000</f>
        <v>1.2</v>
      </c>
      <c r="T36" s="9">
        <f>(MBQ[[#This Row],[HEIGHT (mm)]]+MBQ[[#This Row],[WIDTH (mm)]])/1000*2*MBQ[[#This Row],[QTY TOTAL]]</f>
        <v>10.4</v>
      </c>
      <c r="U36" s="266">
        <f>MBQ[[#This Row],[MULTIPLIER]]*MBQ[[#This Row],[QTY]]</f>
        <v>1</v>
      </c>
      <c r="V36" s="9">
        <f>MBQ[[#This Row],[HEIGHT (mm)]]/1000*MBQ[[#This Row],[WIDTH (mm)]]/1000*MBQ[[#This Row],[QTY TOTAL]]</f>
        <v>4.8</v>
      </c>
      <c r="W36" s="287">
        <f>ROUNDUP(MBQ[[#This Row],[HEIGHT (mm)]]/450*MBQ[[#This Row],[QTY]]*2,0)+ROUNDUP(MBQ[[#This Row],[WIDTH (mm)]]/450*MBQ[[#This Row],[QTY]]*2,0)</f>
        <v>24</v>
      </c>
    </row>
    <row r="37" spans="1:23" ht="30">
      <c r="A37" s="258">
        <v>1</v>
      </c>
      <c r="B37" s="276" t="s">
        <v>536</v>
      </c>
      <c r="C37" s="278" t="s">
        <v>534</v>
      </c>
      <c r="D37" s="277" t="s">
        <v>542</v>
      </c>
      <c r="E37" s="277" t="s">
        <v>537</v>
      </c>
      <c r="F37" s="261"/>
      <c r="G37" s="262"/>
      <c r="H37" s="262"/>
      <c r="I37" s="260" t="s">
        <v>439</v>
      </c>
      <c r="J37" s="278" t="s">
        <v>538</v>
      </c>
      <c r="K37" s="285" t="s">
        <v>580</v>
      </c>
      <c r="L37" s="277" t="s">
        <v>539</v>
      </c>
      <c r="M37" s="263"/>
      <c r="N37" s="263"/>
      <c r="O37" s="264">
        <v>4000</v>
      </c>
      <c r="P37" s="264">
        <v>1200</v>
      </c>
      <c r="Q37" s="265">
        <v>1</v>
      </c>
      <c r="R37" s="30">
        <f>MBQ[[#This Row],[HEIGHT (mm)]]*MBQ[[#This Row],[QTY TOTAL]]/1000</f>
        <v>4</v>
      </c>
      <c r="S37" s="30">
        <f>MBQ[[#This Row],[WIDTH (mm)]]*MBQ[[#This Row],[QTY TOTAL]]/1000</f>
        <v>1.2</v>
      </c>
      <c r="T37" s="9">
        <f>(MBQ[[#This Row],[HEIGHT (mm)]]+MBQ[[#This Row],[WIDTH (mm)]])/1000*2*MBQ[[#This Row],[QTY TOTAL]]</f>
        <v>10.4</v>
      </c>
      <c r="U37" s="266">
        <f>MBQ[[#This Row],[MULTIPLIER]]*MBQ[[#This Row],[QTY]]</f>
        <v>1</v>
      </c>
      <c r="V37" s="9">
        <f>MBQ[[#This Row],[HEIGHT (mm)]]/1000*MBQ[[#This Row],[WIDTH (mm)]]/1000*MBQ[[#This Row],[QTY TOTAL]]</f>
        <v>4.8</v>
      </c>
      <c r="W37" s="287">
        <f>ROUNDUP(MBQ[[#This Row],[HEIGHT (mm)]]/450*MBQ[[#This Row],[QTY]]*2,0)+ROUNDUP(MBQ[[#This Row],[WIDTH (mm)]]/450*MBQ[[#This Row],[QTY]]*2,0)</f>
        <v>24</v>
      </c>
    </row>
    <row r="38" spans="1:23" ht="30">
      <c r="A38" s="258">
        <v>1</v>
      </c>
      <c r="B38" s="276" t="s">
        <v>536</v>
      </c>
      <c r="C38" s="278" t="s">
        <v>534</v>
      </c>
      <c r="D38" s="277" t="s">
        <v>542</v>
      </c>
      <c r="E38" s="277" t="s">
        <v>537</v>
      </c>
      <c r="F38" s="261"/>
      <c r="G38" s="262"/>
      <c r="H38" s="262"/>
      <c r="I38" s="260" t="s">
        <v>439</v>
      </c>
      <c r="J38" s="278" t="s">
        <v>538</v>
      </c>
      <c r="K38" s="285" t="s">
        <v>580</v>
      </c>
      <c r="L38" s="277" t="s">
        <v>539</v>
      </c>
      <c r="M38" s="263"/>
      <c r="N38" s="263"/>
      <c r="O38" s="264">
        <v>4000</v>
      </c>
      <c r="P38" s="264">
        <v>1200</v>
      </c>
      <c r="Q38" s="265">
        <v>1</v>
      </c>
      <c r="R38" s="30">
        <f>MBQ[[#This Row],[HEIGHT (mm)]]*MBQ[[#This Row],[QTY TOTAL]]/1000</f>
        <v>4</v>
      </c>
      <c r="S38" s="30">
        <f>MBQ[[#This Row],[WIDTH (mm)]]*MBQ[[#This Row],[QTY TOTAL]]/1000</f>
        <v>1.2</v>
      </c>
      <c r="T38" s="9">
        <f>(MBQ[[#This Row],[HEIGHT (mm)]]+MBQ[[#This Row],[WIDTH (mm)]])/1000*2*MBQ[[#This Row],[QTY TOTAL]]</f>
        <v>10.4</v>
      </c>
      <c r="U38" s="266">
        <f>MBQ[[#This Row],[MULTIPLIER]]*MBQ[[#This Row],[QTY]]</f>
        <v>1</v>
      </c>
      <c r="V38" s="9">
        <f>MBQ[[#This Row],[HEIGHT (mm)]]/1000*MBQ[[#This Row],[WIDTH (mm)]]/1000*MBQ[[#This Row],[QTY TOTAL]]</f>
        <v>4.8</v>
      </c>
      <c r="W38" s="287">
        <f>ROUNDUP(MBQ[[#This Row],[HEIGHT (mm)]]/450*MBQ[[#This Row],[QTY]]*2,0)+ROUNDUP(MBQ[[#This Row],[WIDTH (mm)]]/450*MBQ[[#This Row],[QTY]]*2,0)</f>
        <v>24</v>
      </c>
    </row>
    <row r="39" spans="1:23" ht="30">
      <c r="A39" s="258">
        <v>1</v>
      </c>
      <c r="B39" s="276" t="s">
        <v>536</v>
      </c>
      <c r="C39" s="278" t="s">
        <v>534</v>
      </c>
      <c r="D39" s="277" t="s">
        <v>542</v>
      </c>
      <c r="E39" s="277" t="s">
        <v>537</v>
      </c>
      <c r="F39" s="261"/>
      <c r="G39" s="262"/>
      <c r="H39" s="262"/>
      <c r="I39" s="260" t="s">
        <v>439</v>
      </c>
      <c r="J39" s="278" t="s">
        <v>538</v>
      </c>
      <c r="K39" s="285" t="s">
        <v>580</v>
      </c>
      <c r="L39" s="277" t="s">
        <v>539</v>
      </c>
      <c r="M39" s="263"/>
      <c r="N39" s="263"/>
      <c r="O39" s="264">
        <v>4000</v>
      </c>
      <c r="P39" s="264">
        <v>1200</v>
      </c>
      <c r="Q39" s="265">
        <v>1</v>
      </c>
      <c r="R39" s="30">
        <f>MBQ[[#This Row],[HEIGHT (mm)]]*MBQ[[#This Row],[QTY TOTAL]]/1000</f>
        <v>4</v>
      </c>
      <c r="S39" s="30">
        <f>MBQ[[#This Row],[WIDTH (mm)]]*MBQ[[#This Row],[QTY TOTAL]]/1000</f>
        <v>1.2</v>
      </c>
      <c r="T39" s="9">
        <f>(MBQ[[#This Row],[HEIGHT (mm)]]+MBQ[[#This Row],[WIDTH (mm)]])/1000*2*MBQ[[#This Row],[QTY TOTAL]]</f>
        <v>10.4</v>
      </c>
      <c r="U39" s="266">
        <f>MBQ[[#This Row],[MULTIPLIER]]*MBQ[[#This Row],[QTY]]</f>
        <v>1</v>
      </c>
      <c r="V39" s="9">
        <f>MBQ[[#This Row],[HEIGHT (mm)]]/1000*MBQ[[#This Row],[WIDTH (mm)]]/1000*MBQ[[#This Row],[QTY TOTAL]]</f>
        <v>4.8</v>
      </c>
      <c r="W39" s="287">
        <f>ROUNDUP(MBQ[[#This Row],[HEIGHT (mm)]]/450*MBQ[[#This Row],[QTY]]*2,0)+ROUNDUP(MBQ[[#This Row],[WIDTH (mm)]]/450*MBQ[[#This Row],[QTY]]*2,0)</f>
        <v>24</v>
      </c>
    </row>
    <row r="40" spans="1:23" ht="30">
      <c r="A40" s="258">
        <v>1</v>
      </c>
      <c r="B40" s="276" t="s">
        <v>536</v>
      </c>
      <c r="C40" s="278" t="s">
        <v>534</v>
      </c>
      <c r="D40" s="277" t="s">
        <v>542</v>
      </c>
      <c r="E40" s="277" t="s">
        <v>537</v>
      </c>
      <c r="F40" s="261"/>
      <c r="G40" s="262"/>
      <c r="H40" s="262"/>
      <c r="I40" s="260" t="s">
        <v>439</v>
      </c>
      <c r="J40" s="278" t="s">
        <v>538</v>
      </c>
      <c r="K40" s="285" t="s">
        <v>580</v>
      </c>
      <c r="L40" s="277" t="s">
        <v>539</v>
      </c>
      <c r="M40" s="263"/>
      <c r="N40" s="263"/>
      <c r="O40" s="264">
        <v>4000</v>
      </c>
      <c r="P40" s="264">
        <v>1200</v>
      </c>
      <c r="Q40" s="265">
        <v>1</v>
      </c>
      <c r="R40" s="30">
        <f>MBQ[[#This Row],[HEIGHT (mm)]]*MBQ[[#This Row],[QTY TOTAL]]/1000</f>
        <v>4</v>
      </c>
      <c r="S40" s="30">
        <f>MBQ[[#This Row],[WIDTH (mm)]]*MBQ[[#This Row],[QTY TOTAL]]/1000</f>
        <v>1.2</v>
      </c>
      <c r="T40" s="9">
        <f>(MBQ[[#This Row],[HEIGHT (mm)]]+MBQ[[#This Row],[WIDTH (mm)]])/1000*2*MBQ[[#This Row],[QTY TOTAL]]</f>
        <v>10.4</v>
      </c>
      <c r="U40" s="266">
        <f>MBQ[[#This Row],[MULTIPLIER]]*MBQ[[#This Row],[QTY]]</f>
        <v>1</v>
      </c>
      <c r="V40" s="9">
        <f>MBQ[[#This Row],[HEIGHT (mm)]]/1000*MBQ[[#This Row],[WIDTH (mm)]]/1000*MBQ[[#This Row],[QTY TOTAL]]</f>
        <v>4.8</v>
      </c>
      <c r="W40" s="287">
        <f>ROUNDUP(MBQ[[#This Row],[HEIGHT (mm)]]/450*MBQ[[#This Row],[QTY]]*2,0)+ROUNDUP(MBQ[[#This Row],[WIDTH (mm)]]/450*MBQ[[#This Row],[QTY]]*2,0)</f>
        <v>24</v>
      </c>
    </row>
    <row r="41" spans="1:23" hidden="1">
      <c r="A41" s="258">
        <v>1</v>
      </c>
      <c r="B41" s="286" t="s">
        <v>535</v>
      </c>
      <c r="C41" s="278" t="s">
        <v>534</v>
      </c>
      <c r="D41" s="277" t="s">
        <v>542</v>
      </c>
      <c r="E41" s="277" t="s">
        <v>537</v>
      </c>
      <c r="F41" s="261"/>
      <c r="G41" s="262"/>
      <c r="H41" s="262"/>
      <c r="I41" s="260" t="s">
        <v>442</v>
      </c>
      <c r="J41" s="278" t="s">
        <v>443</v>
      </c>
      <c r="K41" s="285" t="s">
        <v>580</v>
      </c>
      <c r="L41" s="277" t="s">
        <v>540</v>
      </c>
      <c r="M41" s="263"/>
      <c r="N41" s="263"/>
      <c r="O41" s="264">
        <v>1300</v>
      </c>
      <c r="P41" s="264">
        <v>1200</v>
      </c>
      <c r="Q41" s="265">
        <v>1</v>
      </c>
      <c r="R41" s="30">
        <f>MBQ[[#This Row],[HEIGHT (mm)]]*MBQ[[#This Row],[QTY TOTAL]]/1000</f>
        <v>1.3</v>
      </c>
      <c r="S41" s="30">
        <f>MBQ[[#This Row],[WIDTH (mm)]]*MBQ[[#This Row],[QTY TOTAL]]/1000</f>
        <v>1.2</v>
      </c>
      <c r="T41" s="9">
        <f>(MBQ[[#This Row],[HEIGHT (mm)]]+MBQ[[#This Row],[WIDTH (mm)]])/1000*2*MBQ[[#This Row],[QTY TOTAL]]</f>
        <v>5</v>
      </c>
      <c r="U41" s="266">
        <f>MBQ[[#This Row],[MULTIPLIER]]*MBQ[[#This Row],[QTY]]</f>
        <v>1</v>
      </c>
      <c r="V41" s="9">
        <f>MBQ[[#This Row],[HEIGHT (mm)]]/1000*MBQ[[#This Row],[WIDTH (mm)]]/1000*MBQ[[#This Row],[QTY TOTAL]]</f>
        <v>1.56</v>
      </c>
      <c r="W41" s="287">
        <f>ROUNDUP(MBQ[[#This Row],[HEIGHT (mm)]]/450*MBQ[[#This Row],[QTY]]*2,0)+ROUNDUP(MBQ[[#This Row],[WIDTH (mm)]]/450*MBQ[[#This Row],[QTY]]*2,0)</f>
        <v>12</v>
      </c>
    </row>
    <row r="42" spans="1:23" hidden="1">
      <c r="A42" s="258">
        <v>1</v>
      </c>
      <c r="B42" s="286" t="s">
        <v>535</v>
      </c>
      <c r="C42" s="278" t="s">
        <v>534</v>
      </c>
      <c r="D42" s="277" t="s">
        <v>542</v>
      </c>
      <c r="E42" s="277" t="s">
        <v>537</v>
      </c>
      <c r="F42" s="261"/>
      <c r="G42" s="262"/>
      <c r="H42" s="262"/>
      <c r="I42" s="260" t="s">
        <v>442</v>
      </c>
      <c r="J42" s="278" t="s">
        <v>443</v>
      </c>
      <c r="K42" s="285" t="s">
        <v>580</v>
      </c>
      <c r="L42" s="277" t="s">
        <v>541</v>
      </c>
      <c r="M42" s="263"/>
      <c r="N42" s="263"/>
      <c r="O42" s="264">
        <v>1700</v>
      </c>
      <c r="P42" s="264">
        <v>1200</v>
      </c>
      <c r="Q42" s="265">
        <v>1</v>
      </c>
      <c r="R42" s="30">
        <f>MBQ[[#This Row],[HEIGHT (mm)]]*MBQ[[#This Row],[QTY TOTAL]]/1000</f>
        <v>1.7</v>
      </c>
      <c r="S42" s="30">
        <f>MBQ[[#This Row],[WIDTH (mm)]]*MBQ[[#This Row],[QTY TOTAL]]/1000</f>
        <v>1.2</v>
      </c>
      <c r="T42" s="9">
        <f>(MBQ[[#This Row],[HEIGHT (mm)]]+MBQ[[#This Row],[WIDTH (mm)]])/1000*2*MBQ[[#This Row],[QTY TOTAL]]</f>
        <v>5.8</v>
      </c>
      <c r="U42" s="266">
        <f>MBQ[[#This Row],[MULTIPLIER]]*MBQ[[#This Row],[QTY]]</f>
        <v>1</v>
      </c>
      <c r="V42" s="9">
        <f>MBQ[[#This Row],[HEIGHT (mm)]]/1000*MBQ[[#This Row],[WIDTH (mm)]]/1000*MBQ[[#This Row],[QTY TOTAL]]</f>
        <v>2.04</v>
      </c>
      <c r="W42" s="287">
        <f>ROUNDUP(MBQ[[#This Row],[HEIGHT (mm)]]/450*MBQ[[#This Row],[QTY]]*2,0)+ROUNDUP(MBQ[[#This Row],[WIDTH (mm)]]/450*MBQ[[#This Row],[QTY]]*2,0)</f>
        <v>14</v>
      </c>
    </row>
    <row r="43" spans="1:23" hidden="1">
      <c r="A43" s="258">
        <v>1</v>
      </c>
      <c r="B43" s="286" t="s">
        <v>535</v>
      </c>
      <c r="C43" s="278" t="s">
        <v>534</v>
      </c>
      <c r="D43" s="277" t="s">
        <v>542</v>
      </c>
      <c r="E43" s="277" t="s">
        <v>537</v>
      </c>
      <c r="F43" s="261"/>
      <c r="G43" s="262"/>
      <c r="H43" s="262"/>
      <c r="I43" s="260" t="s">
        <v>442</v>
      </c>
      <c r="J43" s="278" t="s">
        <v>443</v>
      </c>
      <c r="K43" s="285" t="s">
        <v>580</v>
      </c>
      <c r="L43" s="277" t="s">
        <v>540</v>
      </c>
      <c r="M43" s="263"/>
      <c r="N43" s="263"/>
      <c r="O43" s="264">
        <v>1000</v>
      </c>
      <c r="P43" s="264">
        <v>1200</v>
      </c>
      <c r="Q43" s="265">
        <v>1</v>
      </c>
      <c r="R43" s="30">
        <f>MBQ[[#This Row],[HEIGHT (mm)]]*MBQ[[#This Row],[QTY TOTAL]]/1000</f>
        <v>1</v>
      </c>
      <c r="S43" s="30">
        <f>MBQ[[#This Row],[WIDTH (mm)]]*MBQ[[#This Row],[QTY TOTAL]]/1000</f>
        <v>1.2</v>
      </c>
      <c r="T43" s="9">
        <f>(MBQ[[#This Row],[HEIGHT (mm)]]+MBQ[[#This Row],[WIDTH (mm)]])/1000*2*MBQ[[#This Row],[QTY TOTAL]]</f>
        <v>4.4000000000000004</v>
      </c>
      <c r="U43" s="266">
        <f>MBQ[[#This Row],[MULTIPLIER]]*MBQ[[#This Row],[QTY]]</f>
        <v>1</v>
      </c>
      <c r="V43" s="9">
        <f>MBQ[[#This Row],[HEIGHT (mm)]]/1000*MBQ[[#This Row],[WIDTH (mm)]]/1000*MBQ[[#This Row],[QTY TOTAL]]</f>
        <v>1.2</v>
      </c>
      <c r="W43" s="287">
        <f>ROUNDUP(MBQ[[#This Row],[HEIGHT (mm)]]/450*MBQ[[#This Row],[QTY]]*2,0)+ROUNDUP(MBQ[[#This Row],[WIDTH (mm)]]/450*MBQ[[#This Row],[QTY]]*2,0)</f>
        <v>11</v>
      </c>
    </row>
    <row r="44" spans="1:23" hidden="1">
      <c r="A44" s="258">
        <v>1</v>
      </c>
      <c r="B44" s="286" t="s">
        <v>535</v>
      </c>
      <c r="C44" s="278" t="s">
        <v>534</v>
      </c>
      <c r="D44" s="277" t="s">
        <v>542</v>
      </c>
      <c r="E44" s="277" t="s">
        <v>537</v>
      </c>
      <c r="F44" s="261"/>
      <c r="G44" s="262"/>
      <c r="H44" s="262"/>
      <c r="I44" s="260" t="s">
        <v>442</v>
      </c>
      <c r="J44" s="278" t="s">
        <v>443</v>
      </c>
      <c r="K44" s="285" t="s">
        <v>580</v>
      </c>
      <c r="L44" s="277" t="s">
        <v>540</v>
      </c>
      <c r="M44" s="263"/>
      <c r="N44" s="263"/>
      <c r="O44" s="264">
        <v>1300</v>
      </c>
      <c r="P44" s="264">
        <v>1200</v>
      </c>
      <c r="Q44" s="265">
        <v>1</v>
      </c>
      <c r="R44" s="30">
        <f>MBQ[[#This Row],[HEIGHT (mm)]]*MBQ[[#This Row],[QTY TOTAL]]/1000</f>
        <v>1.3</v>
      </c>
      <c r="S44" s="30">
        <f>MBQ[[#This Row],[WIDTH (mm)]]*MBQ[[#This Row],[QTY TOTAL]]/1000</f>
        <v>1.2</v>
      </c>
      <c r="T44" s="9">
        <f>(MBQ[[#This Row],[HEIGHT (mm)]]+MBQ[[#This Row],[WIDTH (mm)]])/1000*2*MBQ[[#This Row],[QTY TOTAL]]</f>
        <v>5</v>
      </c>
      <c r="U44" s="266">
        <f>MBQ[[#This Row],[MULTIPLIER]]*MBQ[[#This Row],[QTY]]</f>
        <v>1</v>
      </c>
      <c r="V44" s="9">
        <f>MBQ[[#This Row],[HEIGHT (mm)]]/1000*MBQ[[#This Row],[WIDTH (mm)]]/1000*MBQ[[#This Row],[QTY TOTAL]]</f>
        <v>1.56</v>
      </c>
      <c r="W44" s="287">
        <f>ROUNDUP(MBQ[[#This Row],[HEIGHT (mm)]]/450*MBQ[[#This Row],[QTY]]*2,0)+ROUNDUP(MBQ[[#This Row],[WIDTH (mm)]]/450*MBQ[[#This Row],[QTY]]*2,0)</f>
        <v>12</v>
      </c>
    </row>
    <row r="45" spans="1:23" hidden="1">
      <c r="A45" s="258">
        <v>1</v>
      </c>
      <c r="B45" s="286" t="s">
        <v>535</v>
      </c>
      <c r="C45" s="278" t="s">
        <v>534</v>
      </c>
      <c r="D45" s="277" t="s">
        <v>542</v>
      </c>
      <c r="E45" s="277" t="s">
        <v>537</v>
      </c>
      <c r="F45" s="261"/>
      <c r="G45" s="262"/>
      <c r="H45" s="262"/>
      <c r="I45" s="260" t="s">
        <v>442</v>
      </c>
      <c r="J45" s="278" t="s">
        <v>443</v>
      </c>
      <c r="K45" s="285" t="s">
        <v>580</v>
      </c>
      <c r="L45" s="277" t="s">
        <v>541</v>
      </c>
      <c r="M45" s="263"/>
      <c r="N45" s="263"/>
      <c r="O45" s="264">
        <v>1700</v>
      </c>
      <c r="P45" s="264">
        <v>1200</v>
      </c>
      <c r="Q45" s="265">
        <v>1</v>
      </c>
      <c r="R45" s="30">
        <f>MBQ[[#This Row],[HEIGHT (mm)]]*MBQ[[#This Row],[QTY TOTAL]]/1000</f>
        <v>1.7</v>
      </c>
      <c r="S45" s="30">
        <f>MBQ[[#This Row],[WIDTH (mm)]]*MBQ[[#This Row],[QTY TOTAL]]/1000</f>
        <v>1.2</v>
      </c>
      <c r="T45" s="9">
        <f>(MBQ[[#This Row],[HEIGHT (mm)]]+MBQ[[#This Row],[WIDTH (mm)]])/1000*2*MBQ[[#This Row],[QTY TOTAL]]</f>
        <v>5.8</v>
      </c>
      <c r="U45" s="266">
        <f>MBQ[[#This Row],[MULTIPLIER]]*MBQ[[#This Row],[QTY]]</f>
        <v>1</v>
      </c>
      <c r="V45" s="9">
        <f>MBQ[[#This Row],[HEIGHT (mm)]]/1000*MBQ[[#This Row],[WIDTH (mm)]]/1000*MBQ[[#This Row],[QTY TOTAL]]</f>
        <v>2.04</v>
      </c>
      <c r="W45" s="287">
        <f>ROUNDUP(MBQ[[#This Row],[HEIGHT (mm)]]/450*MBQ[[#This Row],[QTY]]*2,0)+ROUNDUP(MBQ[[#This Row],[WIDTH (mm)]]/450*MBQ[[#This Row],[QTY]]*2,0)</f>
        <v>14</v>
      </c>
    </row>
    <row r="46" spans="1:23" hidden="1">
      <c r="A46" s="258">
        <v>1</v>
      </c>
      <c r="B46" s="286" t="s">
        <v>535</v>
      </c>
      <c r="C46" s="278" t="s">
        <v>534</v>
      </c>
      <c r="D46" s="277" t="s">
        <v>542</v>
      </c>
      <c r="E46" s="277" t="s">
        <v>537</v>
      </c>
      <c r="F46" s="261"/>
      <c r="G46" s="262"/>
      <c r="H46" s="262"/>
      <c r="I46" s="260" t="s">
        <v>442</v>
      </c>
      <c r="J46" s="278" t="s">
        <v>443</v>
      </c>
      <c r="K46" s="285" t="s">
        <v>580</v>
      </c>
      <c r="L46" s="277" t="s">
        <v>540</v>
      </c>
      <c r="M46" s="263"/>
      <c r="N46" s="263"/>
      <c r="O46" s="264">
        <v>1000</v>
      </c>
      <c r="P46" s="264">
        <v>1200</v>
      </c>
      <c r="Q46" s="265">
        <v>1</v>
      </c>
      <c r="R46" s="30">
        <f>MBQ[[#This Row],[HEIGHT (mm)]]*MBQ[[#This Row],[QTY TOTAL]]/1000</f>
        <v>1</v>
      </c>
      <c r="S46" s="30">
        <f>MBQ[[#This Row],[WIDTH (mm)]]*MBQ[[#This Row],[QTY TOTAL]]/1000</f>
        <v>1.2</v>
      </c>
      <c r="T46" s="9">
        <f>(MBQ[[#This Row],[HEIGHT (mm)]]+MBQ[[#This Row],[WIDTH (mm)]])/1000*2*MBQ[[#This Row],[QTY TOTAL]]</f>
        <v>4.4000000000000004</v>
      </c>
      <c r="U46" s="266">
        <f>MBQ[[#This Row],[MULTIPLIER]]*MBQ[[#This Row],[QTY]]</f>
        <v>1</v>
      </c>
      <c r="V46" s="9">
        <f>MBQ[[#This Row],[HEIGHT (mm)]]/1000*MBQ[[#This Row],[WIDTH (mm)]]/1000*MBQ[[#This Row],[QTY TOTAL]]</f>
        <v>1.2</v>
      </c>
      <c r="W46" s="287">
        <f>ROUNDUP(MBQ[[#This Row],[HEIGHT (mm)]]/450*MBQ[[#This Row],[QTY]]*2,0)+ROUNDUP(MBQ[[#This Row],[WIDTH (mm)]]/450*MBQ[[#This Row],[QTY]]*2,0)</f>
        <v>11</v>
      </c>
    </row>
    <row r="47" spans="1:23" hidden="1">
      <c r="A47" s="258">
        <v>1</v>
      </c>
      <c r="B47" s="286" t="s">
        <v>535</v>
      </c>
      <c r="C47" s="278" t="s">
        <v>534</v>
      </c>
      <c r="D47" s="277" t="s">
        <v>542</v>
      </c>
      <c r="E47" s="277" t="s">
        <v>537</v>
      </c>
      <c r="F47" s="261"/>
      <c r="G47" s="262"/>
      <c r="H47" s="262"/>
      <c r="I47" s="260" t="s">
        <v>442</v>
      </c>
      <c r="J47" s="278" t="s">
        <v>443</v>
      </c>
      <c r="K47" s="285" t="s">
        <v>580</v>
      </c>
      <c r="L47" s="277" t="s">
        <v>540</v>
      </c>
      <c r="M47" s="263"/>
      <c r="N47" s="263"/>
      <c r="O47" s="264">
        <v>1300</v>
      </c>
      <c r="P47" s="264">
        <v>1200</v>
      </c>
      <c r="Q47" s="265">
        <v>1</v>
      </c>
      <c r="R47" s="30">
        <f>MBQ[[#This Row],[HEIGHT (mm)]]*MBQ[[#This Row],[QTY TOTAL]]/1000</f>
        <v>1.3</v>
      </c>
      <c r="S47" s="30">
        <f>MBQ[[#This Row],[WIDTH (mm)]]*MBQ[[#This Row],[QTY TOTAL]]/1000</f>
        <v>1.2</v>
      </c>
      <c r="T47" s="9">
        <f>(MBQ[[#This Row],[HEIGHT (mm)]]+MBQ[[#This Row],[WIDTH (mm)]])/1000*2*MBQ[[#This Row],[QTY TOTAL]]</f>
        <v>5</v>
      </c>
      <c r="U47" s="266">
        <f>MBQ[[#This Row],[MULTIPLIER]]*MBQ[[#This Row],[QTY]]</f>
        <v>1</v>
      </c>
      <c r="V47" s="9">
        <f>MBQ[[#This Row],[HEIGHT (mm)]]/1000*MBQ[[#This Row],[WIDTH (mm)]]/1000*MBQ[[#This Row],[QTY TOTAL]]</f>
        <v>1.56</v>
      </c>
      <c r="W47" s="287">
        <f>ROUNDUP(MBQ[[#This Row],[HEIGHT (mm)]]/450*MBQ[[#This Row],[QTY]]*2,0)+ROUNDUP(MBQ[[#This Row],[WIDTH (mm)]]/450*MBQ[[#This Row],[QTY]]*2,0)</f>
        <v>12</v>
      </c>
    </row>
    <row r="48" spans="1:23" hidden="1">
      <c r="A48" s="258">
        <v>1</v>
      </c>
      <c r="B48" s="286" t="s">
        <v>535</v>
      </c>
      <c r="C48" s="278" t="s">
        <v>534</v>
      </c>
      <c r="D48" s="277" t="s">
        <v>542</v>
      </c>
      <c r="E48" s="277" t="s">
        <v>537</v>
      </c>
      <c r="F48" s="261"/>
      <c r="G48" s="262"/>
      <c r="H48" s="262"/>
      <c r="I48" s="260" t="s">
        <v>442</v>
      </c>
      <c r="J48" s="278" t="s">
        <v>443</v>
      </c>
      <c r="K48" s="285" t="s">
        <v>580</v>
      </c>
      <c r="L48" s="277" t="s">
        <v>541</v>
      </c>
      <c r="M48" s="263"/>
      <c r="N48" s="263"/>
      <c r="O48" s="264">
        <v>1700</v>
      </c>
      <c r="P48" s="264">
        <v>1200</v>
      </c>
      <c r="Q48" s="265">
        <v>1</v>
      </c>
      <c r="R48" s="30">
        <f>MBQ[[#This Row],[HEIGHT (mm)]]*MBQ[[#This Row],[QTY TOTAL]]/1000</f>
        <v>1.7</v>
      </c>
      <c r="S48" s="30">
        <f>MBQ[[#This Row],[WIDTH (mm)]]*MBQ[[#This Row],[QTY TOTAL]]/1000</f>
        <v>1.2</v>
      </c>
      <c r="T48" s="9">
        <f>(MBQ[[#This Row],[HEIGHT (mm)]]+MBQ[[#This Row],[WIDTH (mm)]])/1000*2*MBQ[[#This Row],[QTY TOTAL]]</f>
        <v>5.8</v>
      </c>
      <c r="U48" s="266">
        <f>MBQ[[#This Row],[MULTIPLIER]]*MBQ[[#This Row],[QTY]]</f>
        <v>1</v>
      </c>
      <c r="V48" s="9">
        <f>MBQ[[#This Row],[HEIGHT (mm)]]/1000*MBQ[[#This Row],[WIDTH (mm)]]/1000*MBQ[[#This Row],[QTY TOTAL]]</f>
        <v>2.04</v>
      </c>
      <c r="W48" s="287">
        <f>ROUNDUP(MBQ[[#This Row],[HEIGHT (mm)]]/450*MBQ[[#This Row],[QTY]]*2,0)+ROUNDUP(MBQ[[#This Row],[WIDTH (mm)]]/450*MBQ[[#This Row],[QTY]]*2,0)</f>
        <v>14</v>
      </c>
    </row>
    <row r="49" spans="1:23" hidden="1">
      <c r="A49" s="258">
        <v>1</v>
      </c>
      <c r="B49" s="286" t="s">
        <v>535</v>
      </c>
      <c r="C49" s="278" t="s">
        <v>534</v>
      </c>
      <c r="D49" s="277" t="s">
        <v>542</v>
      </c>
      <c r="E49" s="277" t="s">
        <v>537</v>
      </c>
      <c r="F49" s="261"/>
      <c r="G49" s="262"/>
      <c r="H49" s="262"/>
      <c r="I49" s="260" t="s">
        <v>442</v>
      </c>
      <c r="J49" s="278" t="s">
        <v>443</v>
      </c>
      <c r="K49" s="285" t="s">
        <v>580</v>
      </c>
      <c r="L49" s="277" t="s">
        <v>540</v>
      </c>
      <c r="M49" s="263"/>
      <c r="N49" s="263"/>
      <c r="O49" s="264">
        <v>1000</v>
      </c>
      <c r="P49" s="264">
        <v>1200</v>
      </c>
      <c r="Q49" s="265">
        <v>1</v>
      </c>
      <c r="R49" s="30">
        <f>MBQ[[#This Row],[HEIGHT (mm)]]*MBQ[[#This Row],[QTY TOTAL]]/1000</f>
        <v>1</v>
      </c>
      <c r="S49" s="30">
        <f>MBQ[[#This Row],[WIDTH (mm)]]*MBQ[[#This Row],[QTY TOTAL]]/1000</f>
        <v>1.2</v>
      </c>
      <c r="T49" s="9">
        <f>(MBQ[[#This Row],[HEIGHT (mm)]]+MBQ[[#This Row],[WIDTH (mm)]])/1000*2*MBQ[[#This Row],[QTY TOTAL]]</f>
        <v>4.4000000000000004</v>
      </c>
      <c r="U49" s="266">
        <f>MBQ[[#This Row],[MULTIPLIER]]*MBQ[[#This Row],[QTY]]</f>
        <v>1</v>
      </c>
      <c r="V49" s="9">
        <f>MBQ[[#This Row],[HEIGHT (mm)]]/1000*MBQ[[#This Row],[WIDTH (mm)]]/1000*MBQ[[#This Row],[QTY TOTAL]]</f>
        <v>1.2</v>
      </c>
      <c r="W49" s="287">
        <f>ROUNDUP(MBQ[[#This Row],[HEIGHT (mm)]]/450*MBQ[[#This Row],[QTY]]*2,0)+ROUNDUP(MBQ[[#This Row],[WIDTH (mm)]]/450*MBQ[[#This Row],[QTY]]*2,0)</f>
        <v>11</v>
      </c>
    </row>
    <row r="50" spans="1:23" hidden="1">
      <c r="A50" s="258">
        <v>1</v>
      </c>
      <c r="B50" s="286" t="s">
        <v>535</v>
      </c>
      <c r="C50" s="278" t="s">
        <v>534</v>
      </c>
      <c r="D50" s="277" t="s">
        <v>542</v>
      </c>
      <c r="E50" s="277" t="s">
        <v>537</v>
      </c>
      <c r="F50" s="261"/>
      <c r="G50" s="262"/>
      <c r="H50" s="262"/>
      <c r="I50" s="260" t="s">
        <v>442</v>
      </c>
      <c r="J50" s="278" t="s">
        <v>443</v>
      </c>
      <c r="K50" s="285" t="s">
        <v>580</v>
      </c>
      <c r="L50" s="277" t="s">
        <v>540</v>
      </c>
      <c r="M50" s="263"/>
      <c r="N50" s="263"/>
      <c r="O50" s="264">
        <v>1300</v>
      </c>
      <c r="P50" s="264">
        <v>1200</v>
      </c>
      <c r="Q50" s="265">
        <v>1</v>
      </c>
      <c r="R50" s="30">
        <f>MBQ[[#This Row],[HEIGHT (mm)]]*MBQ[[#This Row],[QTY TOTAL]]/1000</f>
        <v>1.3</v>
      </c>
      <c r="S50" s="30">
        <f>MBQ[[#This Row],[WIDTH (mm)]]*MBQ[[#This Row],[QTY TOTAL]]/1000</f>
        <v>1.2</v>
      </c>
      <c r="T50" s="9">
        <f>(MBQ[[#This Row],[HEIGHT (mm)]]+MBQ[[#This Row],[WIDTH (mm)]])/1000*2*MBQ[[#This Row],[QTY TOTAL]]</f>
        <v>5</v>
      </c>
      <c r="U50" s="266">
        <f>MBQ[[#This Row],[MULTIPLIER]]*MBQ[[#This Row],[QTY]]</f>
        <v>1</v>
      </c>
      <c r="V50" s="9">
        <f>MBQ[[#This Row],[HEIGHT (mm)]]/1000*MBQ[[#This Row],[WIDTH (mm)]]/1000*MBQ[[#This Row],[QTY TOTAL]]</f>
        <v>1.56</v>
      </c>
      <c r="W50" s="287">
        <f>ROUNDUP(MBQ[[#This Row],[HEIGHT (mm)]]/450*MBQ[[#This Row],[QTY]]*2,0)+ROUNDUP(MBQ[[#This Row],[WIDTH (mm)]]/450*MBQ[[#This Row],[QTY]]*2,0)</f>
        <v>12</v>
      </c>
    </row>
    <row r="51" spans="1:23" hidden="1">
      <c r="A51" s="258">
        <v>1</v>
      </c>
      <c r="B51" s="286" t="s">
        <v>535</v>
      </c>
      <c r="C51" s="278" t="s">
        <v>534</v>
      </c>
      <c r="D51" s="277" t="s">
        <v>542</v>
      </c>
      <c r="E51" s="277" t="s">
        <v>537</v>
      </c>
      <c r="F51" s="261"/>
      <c r="G51" s="262"/>
      <c r="H51" s="262"/>
      <c r="I51" s="260" t="s">
        <v>442</v>
      </c>
      <c r="J51" s="278" t="s">
        <v>443</v>
      </c>
      <c r="K51" s="285" t="s">
        <v>580</v>
      </c>
      <c r="L51" s="277" t="s">
        <v>541</v>
      </c>
      <c r="M51" s="263"/>
      <c r="N51" s="263"/>
      <c r="O51" s="264">
        <v>1700</v>
      </c>
      <c r="P51" s="264">
        <v>1200</v>
      </c>
      <c r="Q51" s="265">
        <v>1</v>
      </c>
      <c r="R51" s="30">
        <f>MBQ[[#This Row],[HEIGHT (mm)]]*MBQ[[#This Row],[QTY TOTAL]]/1000</f>
        <v>1.7</v>
      </c>
      <c r="S51" s="30">
        <f>MBQ[[#This Row],[WIDTH (mm)]]*MBQ[[#This Row],[QTY TOTAL]]/1000</f>
        <v>1.2</v>
      </c>
      <c r="T51" s="9">
        <f>(MBQ[[#This Row],[HEIGHT (mm)]]+MBQ[[#This Row],[WIDTH (mm)]])/1000*2*MBQ[[#This Row],[QTY TOTAL]]</f>
        <v>5.8</v>
      </c>
      <c r="U51" s="266">
        <f>MBQ[[#This Row],[MULTIPLIER]]*MBQ[[#This Row],[QTY]]</f>
        <v>1</v>
      </c>
      <c r="V51" s="9">
        <f>MBQ[[#This Row],[HEIGHT (mm)]]/1000*MBQ[[#This Row],[WIDTH (mm)]]/1000*MBQ[[#This Row],[QTY TOTAL]]</f>
        <v>2.04</v>
      </c>
      <c r="W51" s="287">
        <f>ROUNDUP(MBQ[[#This Row],[HEIGHT (mm)]]/450*MBQ[[#This Row],[QTY]]*2,0)+ROUNDUP(MBQ[[#This Row],[WIDTH (mm)]]/450*MBQ[[#This Row],[QTY]]*2,0)</f>
        <v>14</v>
      </c>
    </row>
    <row r="52" spans="1:23" hidden="1">
      <c r="A52" s="258">
        <v>1</v>
      </c>
      <c r="B52" s="286" t="s">
        <v>535</v>
      </c>
      <c r="C52" s="278" t="s">
        <v>534</v>
      </c>
      <c r="D52" s="277" t="s">
        <v>542</v>
      </c>
      <c r="E52" s="277" t="s">
        <v>537</v>
      </c>
      <c r="F52" s="261"/>
      <c r="G52" s="262"/>
      <c r="H52" s="262"/>
      <c r="I52" s="260" t="s">
        <v>442</v>
      </c>
      <c r="J52" s="278" t="s">
        <v>443</v>
      </c>
      <c r="K52" s="285" t="s">
        <v>580</v>
      </c>
      <c r="L52" s="277" t="s">
        <v>540</v>
      </c>
      <c r="M52" s="263"/>
      <c r="N52" s="263"/>
      <c r="O52" s="264">
        <v>1000</v>
      </c>
      <c r="P52" s="264">
        <v>1200</v>
      </c>
      <c r="Q52" s="265">
        <v>1</v>
      </c>
      <c r="R52" s="30">
        <f>MBQ[[#This Row],[HEIGHT (mm)]]*MBQ[[#This Row],[QTY TOTAL]]/1000</f>
        <v>1</v>
      </c>
      <c r="S52" s="30">
        <f>MBQ[[#This Row],[WIDTH (mm)]]*MBQ[[#This Row],[QTY TOTAL]]/1000</f>
        <v>1.2</v>
      </c>
      <c r="T52" s="9">
        <f>(MBQ[[#This Row],[HEIGHT (mm)]]+MBQ[[#This Row],[WIDTH (mm)]])/1000*2*MBQ[[#This Row],[QTY TOTAL]]</f>
        <v>4.4000000000000004</v>
      </c>
      <c r="U52" s="266">
        <f>MBQ[[#This Row],[MULTIPLIER]]*MBQ[[#This Row],[QTY]]</f>
        <v>1</v>
      </c>
      <c r="V52" s="9">
        <f>MBQ[[#This Row],[HEIGHT (mm)]]/1000*MBQ[[#This Row],[WIDTH (mm)]]/1000*MBQ[[#This Row],[QTY TOTAL]]</f>
        <v>1.2</v>
      </c>
      <c r="W52" s="287">
        <f>ROUNDUP(MBQ[[#This Row],[HEIGHT (mm)]]/450*MBQ[[#This Row],[QTY]]*2,0)+ROUNDUP(MBQ[[#This Row],[WIDTH (mm)]]/450*MBQ[[#This Row],[QTY]]*2,0)</f>
        <v>11</v>
      </c>
    </row>
    <row r="53" spans="1:23" hidden="1">
      <c r="A53" s="258">
        <v>1</v>
      </c>
      <c r="B53" s="286" t="s">
        <v>535</v>
      </c>
      <c r="C53" s="278" t="s">
        <v>534</v>
      </c>
      <c r="D53" s="277" t="s">
        <v>542</v>
      </c>
      <c r="E53" s="277" t="s">
        <v>537</v>
      </c>
      <c r="F53" s="261"/>
      <c r="G53" s="262"/>
      <c r="H53" s="262"/>
      <c r="I53" s="260" t="s">
        <v>442</v>
      </c>
      <c r="J53" s="278" t="s">
        <v>443</v>
      </c>
      <c r="K53" s="285" t="s">
        <v>580</v>
      </c>
      <c r="L53" s="277" t="s">
        <v>540</v>
      </c>
      <c r="M53" s="263"/>
      <c r="N53" s="263"/>
      <c r="O53" s="264">
        <v>1300</v>
      </c>
      <c r="P53" s="264">
        <v>1200</v>
      </c>
      <c r="Q53" s="265">
        <v>1</v>
      </c>
      <c r="R53" s="30">
        <f>MBQ[[#This Row],[HEIGHT (mm)]]*MBQ[[#This Row],[QTY TOTAL]]/1000</f>
        <v>1.3</v>
      </c>
      <c r="S53" s="30">
        <f>MBQ[[#This Row],[WIDTH (mm)]]*MBQ[[#This Row],[QTY TOTAL]]/1000</f>
        <v>1.2</v>
      </c>
      <c r="T53" s="9">
        <f>(MBQ[[#This Row],[HEIGHT (mm)]]+MBQ[[#This Row],[WIDTH (mm)]])/1000*2*MBQ[[#This Row],[QTY TOTAL]]</f>
        <v>5</v>
      </c>
      <c r="U53" s="266">
        <f>MBQ[[#This Row],[MULTIPLIER]]*MBQ[[#This Row],[QTY]]</f>
        <v>1</v>
      </c>
      <c r="V53" s="9">
        <f>MBQ[[#This Row],[HEIGHT (mm)]]/1000*MBQ[[#This Row],[WIDTH (mm)]]/1000*MBQ[[#This Row],[QTY TOTAL]]</f>
        <v>1.56</v>
      </c>
      <c r="W53" s="287">
        <f>ROUNDUP(MBQ[[#This Row],[HEIGHT (mm)]]/450*MBQ[[#This Row],[QTY]]*2,0)+ROUNDUP(MBQ[[#This Row],[WIDTH (mm)]]/450*MBQ[[#This Row],[QTY]]*2,0)</f>
        <v>12</v>
      </c>
    </row>
    <row r="54" spans="1:23" hidden="1">
      <c r="A54" s="258">
        <v>1</v>
      </c>
      <c r="B54" s="286" t="s">
        <v>535</v>
      </c>
      <c r="C54" s="278" t="s">
        <v>534</v>
      </c>
      <c r="D54" s="277" t="s">
        <v>542</v>
      </c>
      <c r="E54" s="277" t="s">
        <v>537</v>
      </c>
      <c r="F54" s="261"/>
      <c r="G54" s="262"/>
      <c r="H54" s="262"/>
      <c r="I54" s="260" t="s">
        <v>442</v>
      </c>
      <c r="J54" s="278" t="s">
        <v>443</v>
      </c>
      <c r="K54" s="285" t="s">
        <v>580</v>
      </c>
      <c r="L54" s="277" t="s">
        <v>541</v>
      </c>
      <c r="M54" s="263"/>
      <c r="N54" s="263"/>
      <c r="O54" s="264">
        <v>1700</v>
      </c>
      <c r="P54" s="264">
        <v>1200</v>
      </c>
      <c r="Q54" s="265">
        <v>1</v>
      </c>
      <c r="R54" s="30">
        <f>MBQ[[#This Row],[HEIGHT (mm)]]*MBQ[[#This Row],[QTY TOTAL]]/1000</f>
        <v>1.7</v>
      </c>
      <c r="S54" s="30">
        <f>MBQ[[#This Row],[WIDTH (mm)]]*MBQ[[#This Row],[QTY TOTAL]]/1000</f>
        <v>1.2</v>
      </c>
      <c r="T54" s="9">
        <f>(MBQ[[#This Row],[HEIGHT (mm)]]+MBQ[[#This Row],[WIDTH (mm)]])/1000*2*MBQ[[#This Row],[QTY TOTAL]]</f>
        <v>5.8</v>
      </c>
      <c r="U54" s="266">
        <f>MBQ[[#This Row],[MULTIPLIER]]*MBQ[[#This Row],[QTY]]</f>
        <v>1</v>
      </c>
      <c r="V54" s="9">
        <f>MBQ[[#This Row],[HEIGHT (mm)]]/1000*MBQ[[#This Row],[WIDTH (mm)]]/1000*MBQ[[#This Row],[QTY TOTAL]]</f>
        <v>2.04</v>
      </c>
      <c r="W54" s="287">
        <f>ROUNDUP(MBQ[[#This Row],[HEIGHT (mm)]]/450*MBQ[[#This Row],[QTY]]*2,0)+ROUNDUP(MBQ[[#This Row],[WIDTH (mm)]]/450*MBQ[[#This Row],[QTY]]*2,0)</f>
        <v>14</v>
      </c>
    </row>
    <row r="55" spans="1:23" hidden="1">
      <c r="A55" s="258">
        <v>1</v>
      </c>
      <c r="B55" s="286" t="s">
        <v>535</v>
      </c>
      <c r="C55" s="278" t="s">
        <v>534</v>
      </c>
      <c r="D55" s="277" t="s">
        <v>542</v>
      </c>
      <c r="E55" s="277" t="s">
        <v>537</v>
      </c>
      <c r="F55" s="261"/>
      <c r="G55" s="262"/>
      <c r="H55" s="262"/>
      <c r="I55" s="260" t="s">
        <v>442</v>
      </c>
      <c r="J55" s="278" t="s">
        <v>443</v>
      </c>
      <c r="K55" s="285" t="s">
        <v>580</v>
      </c>
      <c r="L55" s="277" t="s">
        <v>540</v>
      </c>
      <c r="M55" s="263"/>
      <c r="N55" s="263"/>
      <c r="O55" s="264">
        <v>1000</v>
      </c>
      <c r="P55" s="264">
        <v>1200</v>
      </c>
      <c r="Q55" s="265">
        <v>1</v>
      </c>
      <c r="R55" s="30">
        <f>MBQ[[#This Row],[HEIGHT (mm)]]*MBQ[[#This Row],[QTY TOTAL]]/1000</f>
        <v>1</v>
      </c>
      <c r="S55" s="30">
        <f>MBQ[[#This Row],[WIDTH (mm)]]*MBQ[[#This Row],[QTY TOTAL]]/1000</f>
        <v>1.2</v>
      </c>
      <c r="T55" s="9">
        <f>(MBQ[[#This Row],[HEIGHT (mm)]]+MBQ[[#This Row],[WIDTH (mm)]])/1000*2*MBQ[[#This Row],[QTY TOTAL]]</f>
        <v>4.4000000000000004</v>
      </c>
      <c r="U55" s="266">
        <f>MBQ[[#This Row],[MULTIPLIER]]*MBQ[[#This Row],[QTY]]</f>
        <v>1</v>
      </c>
      <c r="V55" s="9">
        <f>MBQ[[#This Row],[HEIGHT (mm)]]/1000*MBQ[[#This Row],[WIDTH (mm)]]/1000*MBQ[[#This Row],[QTY TOTAL]]</f>
        <v>1.2</v>
      </c>
      <c r="W55" s="287">
        <f>ROUNDUP(MBQ[[#This Row],[HEIGHT (mm)]]/450*MBQ[[#This Row],[QTY]]*2,0)+ROUNDUP(MBQ[[#This Row],[WIDTH (mm)]]/450*MBQ[[#This Row],[QTY]]*2,0)</f>
        <v>11</v>
      </c>
    </row>
    <row r="56" spans="1:23" hidden="1">
      <c r="A56" s="258">
        <v>1</v>
      </c>
      <c r="B56" s="286" t="s">
        <v>535</v>
      </c>
      <c r="C56" s="278" t="s">
        <v>534</v>
      </c>
      <c r="D56" s="277" t="s">
        <v>542</v>
      </c>
      <c r="E56" s="277" t="s">
        <v>537</v>
      </c>
      <c r="F56" s="261"/>
      <c r="G56" s="262"/>
      <c r="H56" s="262"/>
      <c r="I56" s="260" t="s">
        <v>442</v>
      </c>
      <c r="J56" s="278" t="s">
        <v>443</v>
      </c>
      <c r="K56" s="285" t="s">
        <v>580</v>
      </c>
      <c r="L56" s="277" t="s">
        <v>540</v>
      </c>
      <c r="M56" s="263"/>
      <c r="N56" s="263"/>
      <c r="O56" s="264">
        <v>1300</v>
      </c>
      <c r="P56" s="264">
        <v>1200</v>
      </c>
      <c r="Q56" s="265">
        <v>1</v>
      </c>
      <c r="R56" s="30">
        <f>MBQ[[#This Row],[HEIGHT (mm)]]*MBQ[[#This Row],[QTY TOTAL]]/1000</f>
        <v>1.3</v>
      </c>
      <c r="S56" s="30">
        <f>MBQ[[#This Row],[WIDTH (mm)]]*MBQ[[#This Row],[QTY TOTAL]]/1000</f>
        <v>1.2</v>
      </c>
      <c r="T56" s="9">
        <f>(MBQ[[#This Row],[HEIGHT (mm)]]+MBQ[[#This Row],[WIDTH (mm)]])/1000*2*MBQ[[#This Row],[QTY TOTAL]]</f>
        <v>5</v>
      </c>
      <c r="U56" s="266">
        <f>MBQ[[#This Row],[MULTIPLIER]]*MBQ[[#This Row],[QTY]]</f>
        <v>1</v>
      </c>
      <c r="V56" s="9">
        <f>MBQ[[#This Row],[HEIGHT (mm)]]/1000*MBQ[[#This Row],[WIDTH (mm)]]/1000*MBQ[[#This Row],[QTY TOTAL]]</f>
        <v>1.56</v>
      </c>
      <c r="W56" s="287">
        <f>ROUNDUP(MBQ[[#This Row],[HEIGHT (mm)]]/450*MBQ[[#This Row],[QTY]]*2,0)+ROUNDUP(MBQ[[#This Row],[WIDTH (mm)]]/450*MBQ[[#This Row],[QTY]]*2,0)</f>
        <v>12</v>
      </c>
    </row>
    <row r="57" spans="1:23" hidden="1">
      <c r="A57" s="258">
        <v>1</v>
      </c>
      <c r="B57" s="286" t="s">
        <v>535</v>
      </c>
      <c r="C57" s="278" t="s">
        <v>534</v>
      </c>
      <c r="D57" s="277" t="s">
        <v>542</v>
      </c>
      <c r="E57" s="277" t="s">
        <v>537</v>
      </c>
      <c r="F57" s="261"/>
      <c r="G57" s="262"/>
      <c r="H57" s="262"/>
      <c r="I57" s="260" t="s">
        <v>442</v>
      </c>
      <c r="J57" s="278" t="s">
        <v>443</v>
      </c>
      <c r="K57" s="285" t="s">
        <v>580</v>
      </c>
      <c r="L57" s="277" t="s">
        <v>541</v>
      </c>
      <c r="M57" s="263"/>
      <c r="N57" s="263"/>
      <c r="O57" s="264">
        <v>1700</v>
      </c>
      <c r="P57" s="264">
        <v>1200</v>
      </c>
      <c r="Q57" s="265">
        <v>1</v>
      </c>
      <c r="R57" s="30">
        <f>MBQ[[#This Row],[HEIGHT (mm)]]*MBQ[[#This Row],[QTY TOTAL]]/1000</f>
        <v>1.7</v>
      </c>
      <c r="S57" s="30">
        <f>MBQ[[#This Row],[WIDTH (mm)]]*MBQ[[#This Row],[QTY TOTAL]]/1000</f>
        <v>1.2</v>
      </c>
      <c r="T57" s="9">
        <f>(MBQ[[#This Row],[HEIGHT (mm)]]+MBQ[[#This Row],[WIDTH (mm)]])/1000*2*MBQ[[#This Row],[QTY TOTAL]]</f>
        <v>5.8</v>
      </c>
      <c r="U57" s="266">
        <f>MBQ[[#This Row],[MULTIPLIER]]*MBQ[[#This Row],[QTY]]</f>
        <v>1</v>
      </c>
      <c r="V57" s="9">
        <f>MBQ[[#This Row],[HEIGHT (mm)]]/1000*MBQ[[#This Row],[WIDTH (mm)]]/1000*MBQ[[#This Row],[QTY TOTAL]]</f>
        <v>2.04</v>
      </c>
      <c r="W57" s="287">
        <f>ROUNDUP(MBQ[[#This Row],[HEIGHT (mm)]]/450*MBQ[[#This Row],[QTY]]*2,0)+ROUNDUP(MBQ[[#This Row],[WIDTH (mm)]]/450*MBQ[[#This Row],[QTY]]*2,0)</f>
        <v>14</v>
      </c>
    </row>
    <row r="58" spans="1:23" hidden="1">
      <c r="A58" s="258">
        <v>1</v>
      </c>
      <c r="B58" s="286" t="s">
        <v>535</v>
      </c>
      <c r="C58" s="278" t="s">
        <v>534</v>
      </c>
      <c r="D58" s="277" t="s">
        <v>542</v>
      </c>
      <c r="E58" s="277" t="s">
        <v>537</v>
      </c>
      <c r="F58" s="261"/>
      <c r="G58" s="262"/>
      <c r="H58" s="262"/>
      <c r="I58" s="260" t="s">
        <v>442</v>
      </c>
      <c r="J58" s="278" t="s">
        <v>443</v>
      </c>
      <c r="K58" s="285" t="s">
        <v>580</v>
      </c>
      <c r="L58" s="277" t="s">
        <v>540</v>
      </c>
      <c r="M58" s="263"/>
      <c r="N58" s="263"/>
      <c r="O58" s="264">
        <v>1000</v>
      </c>
      <c r="P58" s="264">
        <v>1200</v>
      </c>
      <c r="Q58" s="265">
        <v>1</v>
      </c>
      <c r="R58" s="30">
        <f>MBQ[[#This Row],[HEIGHT (mm)]]*MBQ[[#This Row],[QTY TOTAL]]/1000</f>
        <v>1</v>
      </c>
      <c r="S58" s="30">
        <f>MBQ[[#This Row],[WIDTH (mm)]]*MBQ[[#This Row],[QTY TOTAL]]/1000</f>
        <v>1.2</v>
      </c>
      <c r="T58" s="9">
        <f>(MBQ[[#This Row],[HEIGHT (mm)]]+MBQ[[#This Row],[WIDTH (mm)]])/1000*2*MBQ[[#This Row],[QTY TOTAL]]</f>
        <v>4.4000000000000004</v>
      </c>
      <c r="U58" s="266">
        <f>MBQ[[#This Row],[MULTIPLIER]]*MBQ[[#This Row],[QTY]]</f>
        <v>1</v>
      </c>
      <c r="V58" s="9">
        <f>MBQ[[#This Row],[HEIGHT (mm)]]/1000*MBQ[[#This Row],[WIDTH (mm)]]/1000*MBQ[[#This Row],[QTY TOTAL]]</f>
        <v>1.2</v>
      </c>
      <c r="W58" s="287">
        <f>ROUNDUP(MBQ[[#This Row],[HEIGHT (mm)]]/450*MBQ[[#This Row],[QTY]]*2,0)+ROUNDUP(MBQ[[#This Row],[WIDTH (mm)]]/450*MBQ[[#This Row],[QTY]]*2,0)</f>
        <v>11</v>
      </c>
    </row>
    <row r="59" spans="1:23" hidden="1">
      <c r="A59" s="258">
        <v>1</v>
      </c>
      <c r="B59" s="286" t="s">
        <v>535</v>
      </c>
      <c r="C59" s="278" t="s">
        <v>534</v>
      </c>
      <c r="D59" s="277" t="s">
        <v>542</v>
      </c>
      <c r="E59" s="277" t="s">
        <v>537</v>
      </c>
      <c r="F59" s="261"/>
      <c r="G59" s="262"/>
      <c r="H59" s="262"/>
      <c r="I59" s="260" t="s">
        <v>442</v>
      </c>
      <c r="J59" s="278" t="s">
        <v>443</v>
      </c>
      <c r="K59" s="285" t="s">
        <v>580</v>
      </c>
      <c r="L59" s="277" t="s">
        <v>540</v>
      </c>
      <c r="M59" s="263"/>
      <c r="N59" s="263"/>
      <c r="O59" s="264">
        <v>1300</v>
      </c>
      <c r="P59" s="264">
        <v>1200</v>
      </c>
      <c r="Q59" s="265">
        <v>1</v>
      </c>
      <c r="R59" s="30">
        <f>MBQ[[#This Row],[HEIGHT (mm)]]*MBQ[[#This Row],[QTY TOTAL]]/1000</f>
        <v>1.3</v>
      </c>
      <c r="S59" s="30">
        <f>MBQ[[#This Row],[WIDTH (mm)]]*MBQ[[#This Row],[QTY TOTAL]]/1000</f>
        <v>1.2</v>
      </c>
      <c r="T59" s="9">
        <f>(MBQ[[#This Row],[HEIGHT (mm)]]+MBQ[[#This Row],[WIDTH (mm)]])/1000*2*MBQ[[#This Row],[QTY TOTAL]]</f>
        <v>5</v>
      </c>
      <c r="U59" s="266">
        <f>MBQ[[#This Row],[MULTIPLIER]]*MBQ[[#This Row],[QTY]]</f>
        <v>1</v>
      </c>
      <c r="V59" s="9">
        <f>MBQ[[#This Row],[HEIGHT (mm)]]/1000*MBQ[[#This Row],[WIDTH (mm)]]/1000*MBQ[[#This Row],[QTY TOTAL]]</f>
        <v>1.56</v>
      </c>
      <c r="W59" s="287">
        <f>ROUNDUP(MBQ[[#This Row],[HEIGHT (mm)]]/450*MBQ[[#This Row],[QTY]]*2,0)+ROUNDUP(MBQ[[#This Row],[WIDTH (mm)]]/450*MBQ[[#This Row],[QTY]]*2,0)</f>
        <v>12</v>
      </c>
    </row>
    <row r="60" spans="1:23" hidden="1">
      <c r="A60" s="258">
        <v>1</v>
      </c>
      <c r="B60" s="286" t="s">
        <v>535</v>
      </c>
      <c r="C60" s="278" t="s">
        <v>534</v>
      </c>
      <c r="D60" s="277" t="s">
        <v>542</v>
      </c>
      <c r="E60" s="277" t="s">
        <v>537</v>
      </c>
      <c r="F60" s="261"/>
      <c r="G60" s="262"/>
      <c r="H60" s="262"/>
      <c r="I60" s="260" t="s">
        <v>442</v>
      </c>
      <c r="J60" s="278" t="s">
        <v>443</v>
      </c>
      <c r="K60" s="285" t="s">
        <v>580</v>
      </c>
      <c r="L60" s="277" t="s">
        <v>541</v>
      </c>
      <c r="M60" s="263"/>
      <c r="N60" s="263"/>
      <c r="O60" s="264">
        <v>1700</v>
      </c>
      <c r="P60" s="264">
        <v>1200</v>
      </c>
      <c r="Q60" s="265">
        <v>1</v>
      </c>
      <c r="R60" s="30">
        <f>MBQ[[#This Row],[HEIGHT (mm)]]*MBQ[[#This Row],[QTY TOTAL]]/1000</f>
        <v>1.7</v>
      </c>
      <c r="S60" s="30">
        <f>MBQ[[#This Row],[WIDTH (mm)]]*MBQ[[#This Row],[QTY TOTAL]]/1000</f>
        <v>1.2</v>
      </c>
      <c r="T60" s="9">
        <f>(MBQ[[#This Row],[HEIGHT (mm)]]+MBQ[[#This Row],[WIDTH (mm)]])/1000*2*MBQ[[#This Row],[QTY TOTAL]]</f>
        <v>5.8</v>
      </c>
      <c r="U60" s="266">
        <f>MBQ[[#This Row],[MULTIPLIER]]*MBQ[[#This Row],[QTY]]</f>
        <v>1</v>
      </c>
      <c r="V60" s="9">
        <f>MBQ[[#This Row],[HEIGHT (mm)]]/1000*MBQ[[#This Row],[WIDTH (mm)]]/1000*MBQ[[#This Row],[QTY TOTAL]]</f>
        <v>2.04</v>
      </c>
      <c r="W60" s="287">
        <f>ROUNDUP(MBQ[[#This Row],[HEIGHT (mm)]]/450*MBQ[[#This Row],[QTY]]*2,0)+ROUNDUP(MBQ[[#This Row],[WIDTH (mm)]]/450*MBQ[[#This Row],[QTY]]*2,0)</f>
        <v>14</v>
      </c>
    </row>
    <row r="61" spans="1:23" hidden="1">
      <c r="A61" s="258">
        <v>1</v>
      </c>
      <c r="B61" s="286" t="s">
        <v>535</v>
      </c>
      <c r="C61" s="278" t="s">
        <v>534</v>
      </c>
      <c r="D61" s="277" t="s">
        <v>542</v>
      </c>
      <c r="E61" s="277" t="s">
        <v>537</v>
      </c>
      <c r="F61" s="261"/>
      <c r="G61" s="262"/>
      <c r="H61" s="262"/>
      <c r="I61" s="260" t="s">
        <v>442</v>
      </c>
      <c r="J61" s="278" t="s">
        <v>443</v>
      </c>
      <c r="K61" s="285" t="s">
        <v>580</v>
      </c>
      <c r="L61" s="277" t="s">
        <v>540</v>
      </c>
      <c r="M61" s="263"/>
      <c r="N61" s="263"/>
      <c r="O61" s="264">
        <v>1000</v>
      </c>
      <c r="P61" s="264">
        <v>1200</v>
      </c>
      <c r="Q61" s="265">
        <v>1</v>
      </c>
      <c r="R61" s="30">
        <f>MBQ[[#This Row],[HEIGHT (mm)]]*MBQ[[#This Row],[QTY TOTAL]]/1000</f>
        <v>1</v>
      </c>
      <c r="S61" s="30">
        <f>MBQ[[#This Row],[WIDTH (mm)]]*MBQ[[#This Row],[QTY TOTAL]]/1000</f>
        <v>1.2</v>
      </c>
      <c r="T61" s="9">
        <f>(MBQ[[#This Row],[HEIGHT (mm)]]+MBQ[[#This Row],[WIDTH (mm)]])/1000*2*MBQ[[#This Row],[QTY TOTAL]]</f>
        <v>4.4000000000000004</v>
      </c>
      <c r="U61" s="266">
        <f>MBQ[[#This Row],[MULTIPLIER]]*MBQ[[#This Row],[QTY]]</f>
        <v>1</v>
      </c>
      <c r="V61" s="9">
        <f>MBQ[[#This Row],[HEIGHT (mm)]]/1000*MBQ[[#This Row],[WIDTH (mm)]]/1000*MBQ[[#This Row],[QTY TOTAL]]</f>
        <v>1.2</v>
      </c>
      <c r="W61" s="287">
        <f>ROUNDUP(MBQ[[#This Row],[HEIGHT (mm)]]/450*MBQ[[#This Row],[QTY]]*2,0)+ROUNDUP(MBQ[[#This Row],[WIDTH (mm)]]/450*MBQ[[#This Row],[QTY]]*2,0)</f>
        <v>11</v>
      </c>
    </row>
    <row r="62" spans="1:23" hidden="1">
      <c r="A62" s="258">
        <v>1</v>
      </c>
      <c r="B62" s="286" t="s">
        <v>535</v>
      </c>
      <c r="C62" s="278" t="s">
        <v>534</v>
      </c>
      <c r="D62" s="277" t="s">
        <v>542</v>
      </c>
      <c r="E62" s="277" t="s">
        <v>537</v>
      </c>
      <c r="F62" s="261"/>
      <c r="G62" s="262"/>
      <c r="H62" s="262"/>
      <c r="I62" s="260" t="s">
        <v>442</v>
      </c>
      <c r="J62" s="278" t="s">
        <v>443</v>
      </c>
      <c r="K62" s="285" t="s">
        <v>580</v>
      </c>
      <c r="L62" s="277" t="s">
        <v>540</v>
      </c>
      <c r="M62" s="263"/>
      <c r="N62" s="263"/>
      <c r="O62" s="264">
        <v>1300</v>
      </c>
      <c r="P62" s="264">
        <v>1200</v>
      </c>
      <c r="Q62" s="265">
        <v>1</v>
      </c>
      <c r="R62" s="30">
        <f>MBQ[[#This Row],[HEIGHT (mm)]]*MBQ[[#This Row],[QTY TOTAL]]/1000</f>
        <v>1.3</v>
      </c>
      <c r="S62" s="30">
        <f>MBQ[[#This Row],[WIDTH (mm)]]*MBQ[[#This Row],[QTY TOTAL]]/1000</f>
        <v>1.2</v>
      </c>
      <c r="T62" s="9">
        <f>(MBQ[[#This Row],[HEIGHT (mm)]]+MBQ[[#This Row],[WIDTH (mm)]])/1000*2*MBQ[[#This Row],[QTY TOTAL]]</f>
        <v>5</v>
      </c>
      <c r="U62" s="266">
        <f>MBQ[[#This Row],[MULTIPLIER]]*MBQ[[#This Row],[QTY]]</f>
        <v>1</v>
      </c>
      <c r="V62" s="9">
        <f>MBQ[[#This Row],[HEIGHT (mm)]]/1000*MBQ[[#This Row],[WIDTH (mm)]]/1000*MBQ[[#This Row],[QTY TOTAL]]</f>
        <v>1.56</v>
      </c>
      <c r="W62" s="287">
        <f>ROUNDUP(MBQ[[#This Row],[HEIGHT (mm)]]/450*MBQ[[#This Row],[QTY]]*2,0)+ROUNDUP(MBQ[[#This Row],[WIDTH (mm)]]/450*MBQ[[#This Row],[QTY]]*2,0)</f>
        <v>12</v>
      </c>
    </row>
    <row r="63" spans="1:23" hidden="1">
      <c r="A63" s="258">
        <v>1</v>
      </c>
      <c r="B63" s="286" t="s">
        <v>535</v>
      </c>
      <c r="C63" s="278" t="s">
        <v>534</v>
      </c>
      <c r="D63" s="277" t="s">
        <v>542</v>
      </c>
      <c r="E63" s="277" t="s">
        <v>537</v>
      </c>
      <c r="F63" s="261"/>
      <c r="G63" s="262"/>
      <c r="H63" s="262"/>
      <c r="I63" s="260" t="s">
        <v>442</v>
      </c>
      <c r="J63" s="278" t="s">
        <v>443</v>
      </c>
      <c r="K63" s="285" t="s">
        <v>580</v>
      </c>
      <c r="L63" s="277" t="s">
        <v>541</v>
      </c>
      <c r="M63" s="263"/>
      <c r="N63" s="263"/>
      <c r="O63" s="264">
        <v>1700</v>
      </c>
      <c r="P63" s="264">
        <v>1200</v>
      </c>
      <c r="Q63" s="265">
        <v>1</v>
      </c>
      <c r="R63" s="30">
        <f>MBQ[[#This Row],[HEIGHT (mm)]]*MBQ[[#This Row],[QTY TOTAL]]/1000</f>
        <v>1.7</v>
      </c>
      <c r="S63" s="30">
        <f>MBQ[[#This Row],[WIDTH (mm)]]*MBQ[[#This Row],[QTY TOTAL]]/1000</f>
        <v>1.2</v>
      </c>
      <c r="T63" s="9">
        <f>(MBQ[[#This Row],[HEIGHT (mm)]]+MBQ[[#This Row],[WIDTH (mm)]])/1000*2*MBQ[[#This Row],[QTY TOTAL]]</f>
        <v>5.8</v>
      </c>
      <c r="U63" s="266">
        <f>MBQ[[#This Row],[MULTIPLIER]]*MBQ[[#This Row],[QTY]]</f>
        <v>1</v>
      </c>
      <c r="V63" s="9">
        <f>MBQ[[#This Row],[HEIGHT (mm)]]/1000*MBQ[[#This Row],[WIDTH (mm)]]/1000*MBQ[[#This Row],[QTY TOTAL]]</f>
        <v>2.04</v>
      </c>
      <c r="W63" s="287">
        <f>ROUNDUP(MBQ[[#This Row],[HEIGHT (mm)]]/450*MBQ[[#This Row],[QTY]]*2,0)+ROUNDUP(MBQ[[#This Row],[WIDTH (mm)]]/450*MBQ[[#This Row],[QTY]]*2,0)</f>
        <v>14</v>
      </c>
    </row>
    <row r="64" spans="1:23" hidden="1">
      <c r="A64" s="258">
        <v>1</v>
      </c>
      <c r="B64" s="286" t="s">
        <v>535</v>
      </c>
      <c r="C64" s="278" t="s">
        <v>534</v>
      </c>
      <c r="D64" s="277" t="s">
        <v>542</v>
      </c>
      <c r="E64" s="277" t="s">
        <v>537</v>
      </c>
      <c r="F64" s="261"/>
      <c r="G64" s="262"/>
      <c r="H64" s="262"/>
      <c r="I64" s="260" t="s">
        <v>442</v>
      </c>
      <c r="J64" s="278" t="s">
        <v>443</v>
      </c>
      <c r="K64" s="285" t="s">
        <v>580</v>
      </c>
      <c r="L64" s="277" t="s">
        <v>540</v>
      </c>
      <c r="M64" s="263"/>
      <c r="N64" s="263"/>
      <c r="O64" s="264">
        <v>1000</v>
      </c>
      <c r="P64" s="264">
        <v>1200</v>
      </c>
      <c r="Q64" s="265">
        <v>1</v>
      </c>
      <c r="R64" s="30">
        <f>MBQ[[#This Row],[HEIGHT (mm)]]*MBQ[[#This Row],[QTY TOTAL]]/1000</f>
        <v>1</v>
      </c>
      <c r="S64" s="30">
        <f>MBQ[[#This Row],[WIDTH (mm)]]*MBQ[[#This Row],[QTY TOTAL]]/1000</f>
        <v>1.2</v>
      </c>
      <c r="T64" s="9">
        <f>(MBQ[[#This Row],[HEIGHT (mm)]]+MBQ[[#This Row],[WIDTH (mm)]])/1000*2*MBQ[[#This Row],[QTY TOTAL]]</f>
        <v>4.4000000000000004</v>
      </c>
      <c r="U64" s="266">
        <f>MBQ[[#This Row],[MULTIPLIER]]*MBQ[[#This Row],[QTY]]</f>
        <v>1</v>
      </c>
      <c r="V64" s="9">
        <f>MBQ[[#This Row],[HEIGHT (mm)]]/1000*MBQ[[#This Row],[WIDTH (mm)]]/1000*MBQ[[#This Row],[QTY TOTAL]]</f>
        <v>1.2</v>
      </c>
      <c r="W64" s="287">
        <f>ROUNDUP(MBQ[[#This Row],[HEIGHT (mm)]]/450*MBQ[[#This Row],[QTY]]*2,0)+ROUNDUP(MBQ[[#This Row],[WIDTH (mm)]]/450*MBQ[[#This Row],[QTY]]*2,0)</f>
        <v>11</v>
      </c>
    </row>
    <row r="65" spans="1:23" hidden="1">
      <c r="A65" s="258">
        <v>1</v>
      </c>
      <c r="B65" s="286" t="s">
        <v>535</v>
      </c>
      <c r="C65" s="278" t="s">
        <v>534</v>
      </c>
      <c r="D65" s="277" t="s">
        <v>542</v>
      </c>
      <c r="E65" s="277" t="s">
        <v>537</v>
      </c>
      <c r="F65" s="261"/>
      <c r="G65" s="262"/>
      <c r="H65" s="262"/>
      <c r="I65" s="260" t="s">
        <v>442</v>
      </c>
      <c r="J65" s="278" t="s">
        <v>443</v>
      </c>
      <c r="K65" s="285" t="s">
        <v>580</v>
      </c>
      <c r="L65" s="277" t="s">
        <v>540</v>
      </c>
      <c r="M65" s="263"/>
      <c r="N65" s="263"/>
      <c r="O65" s="264">
        <v>1300</v>
      </c>
      <c r="P65" s="264">
        <v>1200</v>
      </c>
      <c r="Q65" s="265">
        <v>1</v>
      </c>
      <c r="R65" s="30">
        <f>MBQ[[#This Row],[HEIGHT (mm)]]*MBQ[[#This Row],[QTY TOTAL]]/1000</f>
        <v>1.3</v>
      </c>
      <c r="S65" s="30">
        <f>MBQ[[#This Row],[WIDTH (mm)]]*MBQ[[#This Row],[QTY TOTAL]]/1000</f>
        <v>1.2</v>
      </c>
      <c r="T65" s="9">
        <f>(MBQ[[#This Row],[HEIGHT (mm)]]+MBQ[[#This Row],[WIDTH (mm)]])/1000*2*MBQ[[#This Row],[QTY TOTAL]]</f>
        <v>5</v>
      </c>
      <c r="U65" s="266">
        <f>MBQ[[#This Row],[MULTIPLIER]]*MBQ[[#This Row],[QTY]]</f>
        <v>1</v>
      </c>
      <c r="V65" s="9">
        <f>MBQ[[#This Row],[HEIGHT (mm)]]/1000*MBQ[[#This Row],[WIDTH (mm)]]/1000*MBQ[[#This Row],[QTY TOTAL]]</f>
        <v>1.56</v>
      </c>
      <c r="W65" s="287">
        <f>ROUNDUP(MBQ[[#This Row],[HEIGHT (mm)]]/450*MBQ[[#This Row],[QTY]]*2,0)+ROUNDUP(MBQ[[#This Row],[WIDTH (mm)]]/450*MBQ[[#This Row],[QTY]]*2,0)</f>
        <v>12</v>
      </c>
    </row>
    <row r="66" spans="1:23" hidden="1">
      <c r="A66" s="258">
        <v>1</v>
      </c>
      <c r="B66" s="286" t="s">
        <v>535</v>
      </c>
      <c r="C66" s="278" t="s">
        <v>534</v>
      </c>
      <c r="D66" s="277" t="s">
        <v>542</v>
      </c>
      <c r="E66" s="277" t="s">
        <v>537</v>
      </c>
      <c r="F66" s="261"/>
      <c r="G66" s="262"/>
      <c r="H66" s="262"/>
      <c r="I66" s="260" t="s">
        <v>442</v>
      </c>
      <c r="J66" s="278" t="s">
        <v>443</v>
      </c>
      <c r="K66" s="285" t="s">
        <v>580</v>
      </c>
      <c r="L66" s="277" t="s">
        <v>541</v>
      </c>
      <c r="M66" s="263"/>
      <c r="N66" s="263"/>
      <c r="O66" s="264">
        <v>1700</v>
      </c>
      <c r="P66" s="264">
        <v>1200</v>
      </c>
      <c r="Q66" s="265">
        <v>1</v>
      </c>
      <c r="R66" s="30">
        <f>MBQ[[#This Row],[HEIGHT (mm)]]*MBQ[[#This Row],[QTY TOTAL]]/1000</f>
        <v>1.7</v>
      </c>
      <c r="S66" s="30">
        <f>MBQ[[#This Row],[WIDTH (mm)]]*MBQ[[#This Row],[QTY TOTAL]]/1000</f>
        <v>1.2</v>
      </c>
      <c r="T66" s="9">
        <f>(MBQ[[#This Row],[HEIGHT (mm)]]+MBQ[[#This Row],[WIDTH (mm)]])/1000*2*MBQ[[#This Row],[QTY TOTAL]]</f>
        <v>5.8</v>
      </c>
      <c r="U66" s="266">
        <f>MBQ[[#This Row],[MULTIPLIER]]*MBQ[[#This Row],[QTY]]</f>
        <v>1</v>
      </c>
      <c r="V66" s="9">
        <f>MBQ[[#This Row],[HEIGHT (mm)]]/1000*MBQ[[#This Row],[WIDTH (mm)]]/1000*MBQ[[#This Row],[QTY TOTAL]]</f>
        <v>2.04</v>
      </c>
      <c r="W66" s="287">
        <f>ROUNDUP(MBQ[[#This Row],[HEIGHT (mm)]]/450*MBQ[[#This Row],[QTY]]*2,0)+ROUNDUP(MBQ[[#This Row],[WIDTH (mm)]]/450*MBQ[[#This Row],[QTY]]*2,0)</f>
        <v>14</v>
      </c>
    </row>
    <row r="67" spans="1:23" hidden="1">
      <c r="A67" s="258">
        <v>1</v>
      </c>
      <c r="B67" s="286" t="s">
        <v>535</v>
      </c>
      <c r="C67" s="278" t="s">
        <v>534</v>
      </c>
      <c r="D67" s="277" t="s">
        <v>542</v>
      </c>
      <c r="E67" s="277" t="s">
        <v>537</v>
      </c>
      <c r="F67" s="261"/>
      <c r="G67" s="262"/>
      <c r="H67" s="262"/>
      <c r="I67" s="260" t="s">
        <v>442</v>
      </c>
      <c r="J67" s="278" t="s">
        <v>443</v>
      </c>
      <c r="K67" s="285" t="s">
        <v>580</v>
      </c>
      <c r="L67" s="277" t="s">
        <v>540</v>
      </c>
      <c r="M67" s="263"/>
      <c r="N67" s="263"/>
      <c r="O67" s="264">
        <v>1000</v>
      </c>
      <c r="P67" s="264">
        <v>1200</v>
      </c>
      <c r="Q67" s="265">
        <v>1</v>
      </c>
      <c r="R67" s="30">
        <f>MBQ[[#This Row],[HEIGHT (mm)]]*MBQ[[#This Row],[QTY TOTAL]]/1000</f>
        <v>1</v>
      </c>
      <c r="S67" s="30">
        <f>MBQ[[#This Row],[WIDTH (mm)]]*MBQ[[#This Row],[QTY TOTAL]]/1000</f>
        <v>1.2</v>
      </c>
      <c r="T67" s="9">
        <f>(MBQ[[#This Row],[HEIGHT (mm)]]+MBQ[[#This Row],[WIDTH (mm)]])/1000*2*MBQ[[#This Row],[QTY TOTAL]]</f>
        <v>4.4000000000000004</v>
      </c>
      <c r="U67" s="266">
        <f>MBQ[[#This Row],[MULTIPLIER]]*MBQ[[#This Row],[QTY]]</f>
        <v>1</v>
      </c>
      <c r="V67" s="9">
        <f>MBQ[[#This Row],[HEIGHT (mm)]]/1000*MBQ[[#This Row],[WIDTH (mm)]]/1000*MBQ[[#This Row],[QTY TOTAL]]</f>
        <v>1.2</v>
      </c>
      <c r="W67" s="287">
        <f>ROUNDUP(MBQ[[#This Row],[HEIGHT (mm)]]/450*MBQ[[#This Row],[QTY]]*2,0)+ROUNDUP(MBQ[[#This Row],[WIDTH (mm)]]/450*MBQ[[#This Row],[QTY]]*2,0)</f>
        <v>11</v>
      </c>
    </row>
    <row r="68" spans="1:23" hidden="1">
      <c r="A68" s="258">
        <v>1</v>
      </c>
      <c r="B68" s="286" t="s">
        <v>535</v>
      </c>
      <c r="C68" s="278" t="s">
        <v>534</v>
      </c>
      <c r="D68" s="277" t="s">
        <v>542</v>
      </c>
      <c r="E68" s="277" t="s">
        <v>537</v>
      </c>
      <c r="F68" s="261"/>
      <c r="G68" s="262"/>
      <c r="H68" s="262"/>
      <c r="I68" s="260" t="s">
        <v>442</v>
      </c>
      <c r="J68" s="278" t="s">
        <v>443</v>
      </c>
      <c r="K68" s="285" t="s">
        <v>580</v>
      </c>
      <c r="L68" s="277" t="s">
        <v>540</v>
      </c>
      <c r="M68" s="263"/>
      <c r="N68" s="263"/>
      <c r="O68" s="264">
        <v>1300</v>
      </c>
      <c r="P68" s="264">
        <v>1200</v>
      </c>
      <c r="Q68" s="265">
        <v>1</v>
      </c>
      <c r="R68" s="30">
        <f>MBQ[[#This Row],[HEIGHT (mm)]]*MBQ[[#This Row],[QTY TOTAL]]/1000</f>
        <v>1.3</v>
      </c>
      <c r="S68" s="30">
        <f>MBQ[[#This Row],[WIDTH (mm)]]*MBQ[[#This Row],[QTY TOTAL]]/1000</f>
        <v>1.2</v>
      </c>
      <c r="T68" s="9">
        <f>(MBQ[[#This Row],[HEIGHT (mm)]]+MBQ[[#This Row],[WIDTH (mm)]])/1000*2*MBQ[[#This Row],[QTY TOTAL]]</f>
        <v>5</v>
      </c>
      <c r="U68" s="266">
        <f>MBQ[[#This Row],[MULTIPLIER]]*MBQ[[#This Row],[QTY]]</f>
        <v>1</v>
      </c>
      <c r="V68" s="9">
        <f>MBQ[[#This Row],[HEIGHT (mm)]]/1000*MBQ[[#This Row],[WIDTH (mm)]]/1000*MBQ[[#This Row],[QTY TOTAL]]</f>
        <v>1.56</v>
      </c>
      <c r="W68" s="287">
        <f>ROUNDUP(MBQ[[#This Row],[HEIGHT (mm)]]/450*MBQ[[#This Row],[QTY]]*2,0)+ROUNDUP(MBQ[[#This Row],[WIDTH (mm)]]/450*MBQ[[#This Row],[QTY]]*2,0)</f>
        <v>12</v>
      </c>
    </row>
    <row r="69" spans="1:23" hidden="1">
      <c r="A69" s="258">
        <v>1</v>
      </c>
      <c r="B69" s="286" t="s">
        <v>535</v>
      </c>
      <c r="C69" s="278" t="s">
        <v>534</v>
      </c>
      <c r="D69" s="277" t="s">
        <v>542</v>
      </c>
      <c r="E69" s="277" t="s">
        <v>537</v>
      </c>
      <c r="F69" s="261"/>
      <c r="G69" s="262"/>
      <c r="H69" s="262"/>
      <c r="I69" s="260" t="s">
        <v>442</v>
      </c>
      <c r="J69" s="278" t="s">
        <v>443</v>
      </c>
      <c r="K69" s="285" t="s">
        <v>580</v>
      </c>
      <c r="L69" s="277" t="s">
        <v>541</v>
      </c>
      <c r="M69" s="263"/>
      <c r="N69" s="263"/>
      <c r="O69" s="264">
        <v>1700</v>
      </c>
      <c r="P69" s="264">
        <v>1200</v>
      </c>
      <c r="Q69" s="265">
        <v>1</v>
      </c>
      <c r="R69" s="30">
        <f>MBQ[[#This Row],[HEIGHT (mm)]]*MBQ[[#This Row],[QTY TOTAL]]/1000</f>
        <v>1.7</v>
      </c>
      <c r="S69" s="30">
        <f>MBQ[[#This Row],[WIDTH (mm)]]*MBQ[[#This Row],[QTY TOTAL]]/1000</f>
        <v>1.2</v>
      </c>
      <c r="T69" s="9">
        <f>(MBQ[[#This Row],[HEIGHT (mm)]]+MBQ[[#This Row],[WIDTH (mm)]])/1000*2*MBQ[[#This Row],[QTY TOTAL]]</f>
        <v>5.8</v>
      </c>
      <c r="U69" s="266">
        <f>MBQ[[#This Row],[MULTIPLIER]]*MBQ[[#This Row],[QTY]]</f>
        <v>1</v>
      </c>
      <c r="V69" s="9">
        <f>MBQ[[#This Row],[HEIGHT (mm)]]/1000*MBQ[[#This Row],[WIDTH (mm)]]/1000*MBQ[[#This Row],[QTY TOTAL]]</f>
        <v>2.04</v>
      </c>
      <c r="W69" s="287">
        <f>ROUNDUP(MBQ[[#This Row],[HEIGHT (mm)]]/450*MBQ[[#This Row],[QTY]]*2,0)+ROUNDUP(MBQ[[#This Row],[WIDTH (mm)]]/450*MBQ[[#This Row],[QTY]]*2,0)</f>
        <v>14</v>
      </c>
    </row>
    <row r="70" spans="1:23" hidden="1">
      <c r="A70" s="258">
        <v>1</v>
      </c>
      <c r="B70" s="286" t="s">
        <v>535</v>
      </c>
      <c r="C70" s="278" t="s">
        <v>534</v>
      </c>
      <c r="D70" s="277" t="s">
        <v>542</v>
      </c>
      <c r="E70" s="277" t="s">
        <v>537</v>
      </c>
      <c r="F70" s="261"/>
      <c r="G70" s="262"/>
      <c r="H70" s="262"/>
      <c r="I70" s="260" t="s">
        <v>442</v>
      </c>
      <c r="J70" s="278" t="s">
        <v>443</v>
      </c>
      <c r="K70" s="285" t="s">
        <v>580</v>
      </c>
      <c r="L70" s="277" t="s">
        <v>540</v>
      </c>
      <c r="M70" s="263"/>
      <c r="N70" s="263"/>
      <c r="O70" s="264">
        <v>1000</v>
      </c>
      <c r="P70" s="264">
        <v>1200</v>
      </c>
      <c r="Q70" s="265">
        <v>1</v>
      </c>
      <c r="R70" s="30">
        <f>MBQ[[#This Row],[HEIGHT (mm)]]*MBQ[[#This Row],[QTY TOTAL]]/1000</f>
        <v>1</v>
      </c>
      <c r="S70" s="30">
        <f>MBQ[[#This Row],[WIDTH (mm)]]*MBQ[[#This Row],[QTY TOTAL]]/1000</f>
        <v>1.2</v>
      </c>
      <c r="T70" s="9">
        <f>(MBQ[[#This Row],[HEIGHT (mm)]]+MBQ[[#This Row],[WIDTH (mm)]])/1000*2*MBQ[[#This Row],[QTY TOTAL]]</f>
        <v>4.4000000000000004</v>
      </c>
      <c r="U70" s="266">
        <f>MBQ[[#This Row],[MULTIPLIER]]*MBQ[[#This Row],[QTY]]</f>
        <v>1</v>
      </c>
      <c r="V70" s="9">
        <f>MBQ[[#This Row],[HEIGHT (mm)]]/1000*MBQ[[#This Row],[WIDTH (mm)]]/1000*MBQ[[#This Row],[QTY TOTAL]]</f>
        <v>1.2</v>
      </c>
      <c r="W70" s="287">
        <f>ROUNDUP(MBQ[[#This Row],[HEIGHT (mm)]]/450*MBQ[[#This Row],[QTY]]*2,0)+ROUNDUP(MBQ[[#This Row],[WIDTH (mm)]]/450*MBQ[[#This Row],[QTY]]*2,0)</f>
        <v>11</v>
      </c>
    </row>
    <row r="71" spans="1:23" hidden="1">
      <c r="A71" s="258">
        <v>1</v>
      </c>
      <c r="B71" s="276" t="s">
        <v>536</v>
      </c>
      <c r="C71" s="278" t="s">
        <v>534</v>
      </c>
      <c r="D71" s="277" t="s">
        <v>542</v>
      </c>
      <c r="E71" s="277" t="s">
        <v>537</v>
      </c>
      <c r="F71" s="261"/>
      <c r="G71" s="262"/>
      <c r="H71" s="262"/>
      <c r="I71" s="260" t="s">
        <v>442</v>
      </c>
      <c r="J71" s="278" t="s">
        <v>443</v>
      </c>
      <c r="K71" s="285" t="s">
        <v>580</v>
      </c>
      <c r="L71" s="277" t="s">
        <v>540</v>
      </c>
      <c r="M71" s="263"/>
      <c r="N71" s="263"/>
      <c r="O71" s="264">
        <v>1300</v>
      </c>
      <c r="P71" s="264">
        <v>1200</v>
      </c>
      <c r="Q71" s="265">
        <v>1</v>
      </c>
      <c r="R71" s="30">
        <f>MBQ[[#This Row],[HEIGHT (mm)]]*MBQ[[#This Row],[QTY TOTAL]]/1000</f>
        <v>1.3</v>
      </c>
      <c r="S71" s="30">
        <f>MBQ[[#This Row],[WIDTH (mm)]]*MBQ[[#This Row],[QTY TOTAL]]/1000</f>
        <v>1.2</v>
      </c>
      <c r="T71" s="9">
        <f>(MBQ[[#This Row],[HEIGHT (mm)]]+MBQ[[#This Row],[WIDTH (mm)]])/1000*2*MBQ[[#This Row],[QTY TOTAL]]</f>
        <v>5</v>
      </c>
      <c r="U71" s="266">
        <f>MBQ[[#This Row],[MULTIPLIER]]*MBQ[[#This Row],[QTY]]</f>
        <v>1</v>
      </c>
      <c r="V71" s="9">
        <f>MBQ[[#This Row],[HEIGHT (mm)]]/1000*MBQ[[#This Row],[WIDTH (mm)]]/1000*MBQ[[#This Row],[QTY TOTAL]]</f>
        <v>1.56</v>
      </c>
      <c r="W71" s="287">
        <f>ROUNDUP(MBQ[[#This Row],[HEIGHT (mm)]]/450*MBQ[[#This Row],[QTY]]*2,0)+ROUNDUP(MBQ[[#This Row],[WIDTH (mm)]]/450*MBQ[[#This Row],[QTY]]*2,0)</f>
        <v>12</v>
      </c>
    </row>
    <row r="72" spans="1:23" hidden="1">
      <c r="A72" s="258">
        <v>1</v>
      </c>
      <c r="B72" s="276" t="s">
        <v>536</v>
      </c>
      <c r="C72" s="278" t="s">
        <v>534</v>
      </c>
      <c r="D72" s="277" t="s">
        <v>542</v>
      </c>
      <c r="E72" s="277" t="s">
        <v>537</v>
      </c>
      <c r="F72" s="261"/>
      <c r="G72" s="262"/>
      <c r="H72" s="262"/>
      <c r="I72" s="260" t="s">
        <v>442</v>
      </c>
      <c r="J72" s="278" t="s">
        <v>443</v>
      </c>
      <c r="K72" s="285" t="s">
        <v>580</v>
      </c>
      <c r="L72" s="277" t="s">
        <v>541</v>
      </c>
      <c r="M72" s="263"/>
      <c r="N72" s="263"/>
      <c r="O72" s="264">
        <v>1700</v>
      </c>
      <c r="P72" s="264">
        <v>1200</v>
      </c>
      <c r="Q72" s="265">
        <v>1</v>
      </c>
      <c r="R72" s="30">
        <f>MBQ[[#This Row],[HEIGHT (mm)]]*MBQ[[#This Row],[QTY TOTAL]]/1000</f>
        <v>1.7</v>
      </c>
      <c r="S72" s="30">
        <f>MBQ[[#This Row],[WIDTH (mm)]]*MBQ[[#This Row],[QTY TOTAL]]/1000</f>
        <v>1.2</v>
      </c>
      <c r="T72" s="9">
        <f>(MBQ[[#This Row],[HEIGHT (mm)]]+MBQ[[#This Row],[WIDTH (mm)]])/1000*2*MBQ[[#This Row],[QTY TOTAL]]</f>
        <v>5.8</v>
      </c>
      <c r="U72" s="266">
        <f>MBQ[[#This Row],[MULTIPLIER]]*MBQ[[#This Row],[QTY]]</f>
        <v>1</v>
      </c>
      <c r="V72" s="9">
        <f>MBQ[[#This Row],[HEIGHT (mm)]]/1000*MBQ[[#This Row],[WIDTH (mm)]]/1000*MBQ[[#This Row],[QTY TOTAL]]</f>
        <v>2.04</v>
      </c>
      <c r="W72" s="287">
        <f>ROUNDUP(MBQ[[#This Row],[HEIGHT (mm)]]/450*MBQ[[#This Row],[QTY]]*2,0)+ROUNDUP(MBQ[[#This Row],[WIDTH (mm)]]/450*MBQ[[#This Row],[QTY]]*2,0)</f>
        <v>14</v>
      </c>
    </row>
    <row r="73" spans="1:23" hidden="1">
      <c r="A73" s="258">
        <v>1</v>
      </c>
      <c r="B73" s="276" t="s">
        <v>536</v>
      </c>
      <c r="C73" s="278" t="s">
        <v>534</v>
      </c>
      <c r="D73" s="277" t="s">
        <v>542</v>
      </c>
      <c r="E73" s="277" t="s">
        <v>537</v>
      </c>
      <c r="F73" s="261"/>
      <c r="G73" s="262"/>
      <c r="H73" s="262"/>
      <c r="I73" s="260" t="s">
        <v>442</v>
      </c>
      <c r="J73" s="278" t="s">
        <v>443</v>
      </c>
      <c r="K73" s="285" t="s">
        <v>580</v>
      </c>
      <c r="L73" s="277" t="s">
        <v>540</v>
      </c>
      <c r="M73" s="263"/>
      <c r="N73" s="263"/>
      <c r="O73" s="264">
        <v>1000</v>
      </c>
      <c r="P73" s="264">
        <v>1200</v>
      </c>
      <c r="Q73" s="265">
        <v>1</v>
      </c>
      <c r="R73" s="30">
        <f>MBQ[[#This Row],[HEIGHT (mm)]]*MBQ[[#This Row],[QTY TOTAL]]/1000</f>
        <v>1</v>
      </c>
      <c r="S73" s="30">
        <f>MBQ[[#This Row],[WIDTH (mm)]]*MBQ[[#This Row],[QTY TOTAL]]/1000</f>
        <v>1.2</v>
      </c>
      <c r="T73" s="9">
        <f>(MBQ[[#This Row],[HEIGHT (mm)]]+MBQ[[#This Row],[WIDTH (mm)]])/1000*2*MBQ[[#This Row],[QTY TOTAL]]</f>
        <v>4.4000000000000004</v>
      </c>
      <c r="U73" s="266">
        <f>MBQ[[#This Row],[MULTIPLIER]]*MBQ[[#This Row],[QTY]]</f>
        <v>1</v>
      </c>
      <c r="V73" s="9">
        <f>MBQ[[#This Row],[HEIGHT (mm)]]/1000*MBQ[[#This Row],[WIDTH (mm)]]/1000*MBQ[[#This Row],[QTY TOTAL]]</f>
        <v>1.2</v>
      </c>
      <c r="W73" s="287">
        <f>ROUNDUP(MBQ[[#This Row],[HEIGHT (mm)]]/450*MBQ[[#This Row],[QTY]]*2,0)+ROUNDUP(MBQ[[#This Row],[WIDTH (mm)]]/450*MBQ[[#This Row],[QTY]]*2,0)</f>
        <v>11</v>
      </c>
    </row>
    <row r="74" spans="1:23" hidden="1">
      <c r="A74" s="258">
        <v>1</v>
      </c>
      <c r="B74" s="276" t="s">
        <v>536</v>
      </c>
      <c r="C74" s="278" t="s">
        <v>534</v>
      </c>
      <c r="D74" s="277" t="s">
        <v>542</v>
      </c>
      <c r="E74" s="277" t="s">
        <v>537</v>
      </c>
      <c r="F74" s="261"/>
      <c r="G74" s="262"/>
      <c r="H74" s="262"/>
      <c r="I74" s="260" t="s">
        <v>442</v>
      </c>
      <c r="J74" s="278" t="s">
        <v>443</v>
      </c>
      <c r="K74" s="285" t="s">
        <v>580</v>
      </c>
      <c r="L74" s="277" t="s">
        <v>540</v>
      </c>
      <c r="M74" s="263"/>
      <c r="N74" s="263"/>
      <c r="O74" s="264">
        <v>1300</v>
      </c>
      <c r="P74" s="264">
        <v>1200</v>
      </c>
      <c r="Q74" s="265">
        <v>1</v>
      </c>
      <c r="R74" s="30">
        <f>MBQ[[#This Row],[HEIGHT (mm)]]*MBQ[[#This Row],[QTY TOTAL]]/1000</f>
        <v>1.3</v>
      </c>
      <c r="S74" s="30">
        <f>MBQ[[#This Row],[WIDTH (mm)]]*MBQ[[#This Row],[QTY TOTAL]]/1000</f>
        <v>1.2</v>
      </c>
      <c r="T74" s="9">
        <f>(MBQ[[#This Row],[HEIGHT (mm)]]+MBQ[[#This Row],[WIDTH (mm)]])/1000*2*MBQ[[#This Row],[QTY TOTAL]]</f>
        <v>5</v>
      </c>
      <c r="U74" s="266">
        <f>MBQ[[#This Row],[MULTIPLIER]]*MBQ[[#This Row],[QTY]]</f>
        <v>1</v>
      </c>
      <c r="V74" s="9">
        <f>MBQ[[#This Row],[HEIGHT (mm)]]/1000*MBQ[[#This Row],[WIDTH (mm)]]/1000*MBQ[[#This Row],[QTY TOTAL]]</f>
        <v>1.56</v>
      </c>
      <c r="W74" s="287">
        <f>ROUNDUP(MBQ[[#This Row],[HEIGHT (mm)]]/450*MBQ[[#This Row],[QTY]]*2,0)+ROUNDUP(MBQ[[#This Row],[WIDTH (mm)]]/450*MBQ[[#This Row],[QTY]]*2,0)</f>
        <v>12</v>
      </c>
    </row>
    <row r="75" spans="1:23" hidden="1">
      <c r="A75" s="258">
        <v>1</v>
      </c>
      <c r="B75" s="276" t="s">
        <v>536</v>
      </c>
      <c r="C75" s="278" t="s">
        <v>534</v>
      </c>
      <c r="D75" s="277" t="s">
        <v>542</v>
      </c>
      <c r="E75" s="277" t="s">
        <v>537</v>
      </c>
      <c r="F75" s="261"/>
      <c r="G75" s="262"/>
      <c r="H75" s="262"/>
      <c r="I75" s="260" t="s">
        <v>442</v>
      </c>
      <c r="J75" s="278" t="s">
        <v>443</v>
      </c>
      <c r="K75" s="285" t="s">
        <v>580</v>
      </c>
      <c r="L75" s="277" t="s">
        <v>541</v>
      </c>
      <c r="M75" s="263"/>
      <c r="N75" s="263"/>
      <c r="O75" s="264">
        <v>1700</v>
      </c>
      <c r="P75" s="264">
        <v>1200</v>
      </c>
      <c r="Q75" s="265">
        <v>1</v>
      </c>
      <c r="R75" s="30">
        <f>MBQ[[#This Row],[HEIGHT (mm)]]*MBQ[[#This Row],[QTY TOTAL]]/1000</f>
        <v>1.7</v>
      </c>
      <c r="S75" s="30">
        <f>MBQ[[#This Row],[WIDTH (mm)]]*MBQ[[#This Row],[QTY TOTAL]]/1000</f>
        <v>1.2</v>
      </c>
      <c r="T75" s="9">
        <f>(MBQ[[#This Row],[HEIGHT (mm)]]+MBQ[[#This Row],[WIDTH (mm)]])/1000*2*MBQ[[#This Row],[QTY TOTAL]]</f>
        <v>5.8</v>
      </c>
      <c r="U75" s="266">
        <f>MBQ[[#This Row],[MULTIPLIER]]*MBQ[[#This Row],[QTY]]</f>
        <v>1</v>
      </c>
      <c r="V75" s="9">
        <f>MBQ[[#This Row],[HEIGHT (mm)]]/1000*MBQ[[#This Row],[WIDTH (mm)]]/1000*MBQ[[#This Row],[QTY TOTAL]]</f>
        <v>2.04</v>
      </c>
      <c r="W75" s="287">
        <f>ROUNDUP(MBQ[[#This Row],[HEIGHT (mm)]]/450*MBQ[[#This Row],[QTY]]*2,0)+ROUNDUP(MBQ[[#This Row],[WIDTH (mm)]]/450*MBQ[[#This Row],[QTY]]*2,0)</f>
        <v>14</v>
      </c>
    </row>
    <row r="76" spans="1:23" hidden="1">
      <c r="A76" s="258">
        <v>1</v>
      </c>
      <c r="B76" s="276" t="s">
        <v>536</v>
      </c>
      <c r="C76" s="278" t="s">
        <v>534</v>
      </c>
      <c r="D76" s="277" t="s">
        <v>542</v>
      </c>
      <c r="E76" s="277" t="s">
        <v>537</v>
      </c>
      <c r="F76" s="261"/>
      <c r="G76" s="262"/>
      <c r="H76" s="262"/>
      <c r="I76" s="260" t="s">
        <v>442</v>
      </c>
      <c r="J76" s="278" t="s">
        <v>443</v>
      </c>
      <c r="K76" s="285" t="s">
        <v>580</v>
      </c>
      <c r="L76" s="277" t="s">
        <v>540</v>
      </c>
      <c r="M76" s="263"/>
      <c r="N76" s="263"/>
      <c r="O76" s="264">
        <v>1000</v>
      </c>
      <c r="P76" s="264">
        <v>1200</v>
      </c>
      <c r="Q76" s="265">
        <v>1</v>
      </c>
      <c r="R76" s="30">
        <f>MBQ[[#This Row],[HEIGHT (mm)]]*MBQ[[#This Row],[QTY TOTAL]]/1000</f>
        <v>1</v>
      </c>
      <c r="S76" s="30">
        <f>MBQ[[#This Row],[WIDTH (mm)]]*MBQ[[#This Row],[QTY TOTAL]]/1000</f>
        <v>1.2</v>
      </c>
      <c r="T76" s="9">
        <f>(MBQ[[#This Row],[HEIGHT (mm)]]+MBQ[[#This Row],[WIDTH (mm)]])/1000*2*MBQ[[#This Row],[QTY TOTAL]]</f>
        <v>4.4000000000000004</v>
      </c>
      <c r="U76" s="266">
        <f>MBQ[[#This Row],[MULTIPLIER]]*MBQ[[#This Row],[QTY]]</f>
        <v>1</v>
      </c>
      <c r="V76" s="9">
        <f>MBQ[[#This Row],[HEIGHT (mm)]]/1000*MBQ[[#This Row],[WIDTH (mm)]]/1000*MBQ[[#This Row],[QTY TOTAL]]</f>
        <v>1.2</v>
      </c>
      <c r="W76" s="287">
        <f>ROUNDUP(MBQ[[#This Row],[HEIGHT (mm)]]/450*MBQ[[#This Row],[QTY]]*2,0)+ROUNDUP(MBQ[[#This Row],[WIDTH (mm)]]/450*MBQ[[#This Row],[QTY]]*2,0)</f>
        <v>11</v>
      </c>
    </row>
    <row r="77" spans="1:23" hidden="1">
      <c r="A77" s="258">
        <v>1</v>
      </c>
      <c r="B77" s="276" t="s">
        <v>536</v>
      </c>
      <c r="C77" s="278" t="s">
        <v>534</v>
      </c>
      <c r="D77" s="277" t="s">
        <v>542</v>
      </c>
      <c r="E77" s="277" t="s">
        <v>537</v>
      </c>
      <c r="F77" s="261"/>
      <c r="G77" s="262"/>
      <c r="H77" s="262"/>
      <c r="I77" s="260" t="s">
        <v>442</v>
      </c>
      <c r="J77" s="278" t="s">
        <v>443</v>
      </c>
      <c r="K77" s="285" t="s">
        <v>580</v>
      </c>
      <c r="L77" s="277" t="s">
        <v>540</v>
      </c>
      <c r="M77" s="263"/>
      <c r="N77" s="263"/>
      <c r="O77" s="264">
        <v>1300</v>
      </c>
      <c r="P77" s="264">
        <v>1200</v>
      </c>
      <c r="Q77" s="265">
        <v>1</v>
      </c>
      <c r="R77" s="30">
        <f>MBQ[[#This Row],[HEIGHT (mm)]]*MBQ[[#This Row],[QTY TOTAL]]/1000</f>
        <v>1.3</v>
      </c>
      <c r="S77" s="30">
        <f>MBQ[[#This Row],[WIDTH (mm)]]*MBQ[[#This Row],[QTY TOTAL]]/1000</f>
        <v>1.2</v>
      </c>
      <c r="T77" s="9">
        <f>(MBQ[[#This Row],[HEIGHT (mm)]]+MBQ[[#This Row],[WIDTH (mm)]])/1000*2*MBQ[[#This Row],[QTY TOTAL]]</f>
        <v>5</v>
      </c>
      <c r="U77" s="266">
        <f>MBQ[[#This Row],[MULTIPLIER]]*MBQ[[#This Row],[QTY]]</f>
        <v>1</v>
      </c>
      <c r="V77" s="9">
        <f>MBQ[[#This Row],[HEIGHT (mm)]]/1000*MBQ[[#This Row],[WIDTH (mm)]]/1000*MBQ[[#This Row],[QTY TOTAL]]</f>
        <v>1.56</v>
      </c>
      <c r="W77" s="287">
        <f>ROUNDUP(MBQ[[#This Row],[HEIGHT (mm)]]/450*MBQ[[#This Row],[QTY]]*2,0)+ROUNDUP(MBQ[[#This Row],[WIDTH (mm)]]/450*MBQ[[#This Row],[QTY]]*2,0)</f>
        <v>12</v>
      </c>
    </row>
    <row r="78" spans="1:23" hidden="1">
      <c r="A78" s="258">
        <v>1</v>
      </c>
      <c r="B78" s="276" t="s">
        <v>536</v>
      </c>
      <c r="C78" s="278" t="s">
        <v>534</v>
      </c>
      <c r="D78" s="277" t="s">
        <v>542</v>
      </c>
      <c r="E78" s="277" t="s">
        <v>537</v>
      </c>
      <c r="F78" s="261"/>
      <c r="G78" s="262"/>
      <c r="H78" s="262"/>
      <c r="I78" s="260" t="s">
        <v>442</v>
      </c>
      <c r="J78" s="278" t="s">
        <v>443</v>
      </c>
      <c r="K78" s="285" t="s">
        <v>580</v>
      </c>
      <c r="L78" s="277" t="s">
        <v>541</v>
      </c>
      <c r="M78" s="263"/>
      <c r="N78" s="263"/>
      <c r="O78" s="264">
        <v>1700</v>
      </c>
      <c r="P78" s="264">
        <v>1200</v>
      </c>
      <c r="Q78" s="265">
        <v>1</v>
      </c>
      <c r="R78" s="30">
        <f>MBQ[[#This Row],[HEIGHT (mm)]]*MBQ[[#This Row],[QTY TOTAL]]/1000</f>
        <v>1.7</v>
      </c>
      <c r="S78" s="30">
        <f>MBQ[[#This Row],[WIDTH (mm)]]*MBQ[[#This Row],[QTY TOTAL]]/1000</f>
        <v>1.2</v>
      </c>
      <c r="T78" s="9">
        <f>(MBQ[[#This Row],[HEIGHT (mm)]]+MBQ[[#This Row],[WIDTH (mm)]])/1000*2*MBQ[[#This Row],[QTY TOTAL]]</f>
        <v>5.8</v>
      </c>
      <c r="U78" s="266">
        <f>MBQ[[#This Row],[MULTIPLIER]]*MBQ[[#This Row],[QTY]]</f>
        <v>1</v>
      </c>
      <c r="V78" s="9">
        <f>MBQ[[#This Row],[HEIGHT (mm)]]/1000*MBQ[[#This Row],[WIDTH (mm)]]/1000*MBQ[[#This Row],[QTY TOTAL]]</f>
        <v>2.04</v>
      </c>
      <c r="W78" s="287">
        <f>ROUNDUP(MBQ[[#This Row],[HEIGHT (mm)]]/450*MBQ[[#This Row],[QTY]]*2,0)+ROUNDUP(MBQ[[#This Row],[WIDTH (mm)]]/450*MBQ[[#This Row],[QTY]]*2,0)</f>
        <v>14</v>
      </c>
    </row>
    <row r="79" spans="1:23" hidden="1">
      <c r="A79" s="258">
        <v>1</v>
      </c>
      <c r="B79" s="276" t="s">
        <v>536</v>
      </c>
      <c r="C79" s="278" t="s">
        <v>534</v>
      </c>
      <c r="D79" s="277" t="s">
        <v>542</v>
      </c>
      <c r="E79" s="277" t="s">
        <v>537</v>
      </c>
      <c r="F79" s="261"/>
      <c r="G79" s="262"/>
      <c r="H79" s="262"/>
      <c r="I79" s="260" t="s">
        <v>442</v>
      </c>
      <c r="J79" s="278" t="s">
        <v>443</v>
      </c>
      <c r="K79" s="285" t="s">
        <v>580</v>
      </c>
      <c r="L79" s="277" t="s">
        <v>540</v>
      </c>
      <c r="M79" s="263"/>
      <c r="N79" s="263"/>
      <c r="O79" s="264">
        <v>1000</v>
      </c>
      <c r="P79" s="264">
        <v>1200</v>
      </c>
      <c r="Q79" s="265">
        <v>1</v>
      </c>
      <c r="R79" s="30">
        <f>MBQ[[#This Row],[HEIGHT (mm)]]*MBQ[[#This Row],[QTY TOTAL]]/1000</f>
        <v>1</v>
      </c>
      <c r="S79" s="30">
        <f>MBQ[[#This Row],[WIDTH (mm)]]*MBQ[[#This Row],[QTY TOTAL]]/1000</f>
        <v>1.2</v>
      </c>
      <c r="T79" s="9">
        <f>(MBQ[[#This Row],[HEIGHT (mm)]]+MBQ[[#This Row],[WIDTH (mm)]])/1000*2*MBQ[[#This Row],[QTY TOTAL]]</f>
        <v>4.4000000000000004</v>
      </c>
      <c r="U79" s="266">
        <f>MBQ[[#This Row],[MULTIPLIER]]*MBQ[[#This Row],[QTY]]</f>
        <v>1</v>
      </c>
      <c r="V79" s="9">
        <f>MBQ[[#This Row],[HEIGHT (mm)]]/1000*MBQ[[#This Row],[WIDTH (mm)]]/1000*MBQ[[#This Row],[QTY TOTAL]]</f>
        <v>1.2</v>
      </c>
      <c r="W79" s="287">
        <f>ROUNDUP(MBQ[[#This Row],[HEIGHT (mm)]]/450*MBQ[[#This Row],[QTY]]*2,0)+ROUNDUP(MBQ[[#This Row],[WIDTH (mm)]]/450*MBQ[[#This Row],[QTY]]*2,0)</f>
        <v>11</v>
      </c>
    </row>
    <row r="80" spans="1:23" hidden="1">
      <c r="A80" s="258">
        <v>1</v>
      </c>
      <c r="B80" s="276" t="s">
        <v>536</v>
      </c>
      <c r="C80" s="278" t="s">
        <v>534</v>
      </c>
      <c r="D80" s="277" t="s">
        <v>542</v>
      </c>
      <c r="E80" s="277" t="s">
        <v>537</v>
      </c>
      <c r="F80" s="261"/>
      <c r="G80" s="262"/>
      <c r="H80" s="262"/>
      <c r="I80" s="260" t="s">
        <v>442</v>
      </c>
      <c r="J80" s="278" t="s">
        <v>443</v>
      </c>
      <c r="K80" s="285" t="s">
        <v>580</v>
      </c>
      <c r="L80" s="277" t="s">
        <v>540</v>
      </c>
      <c r="M80" s="263"/>
      <c r="N80" s="263"/>
      <c r="O80" s="264">
        <v>1300</v>
      </c>
      <c r="P80" s="264">
        <v>1200</v>
      </c>
      <c r="Q80" s="265">
        <v>1</v>
      </c>
      <c r="R80" s="30">
        <f>MBQ[[#This Row],[HEIGHT (mm)]]*MBQ[[#This Row],[QTY TOTAL]]/1000</f>
        <v>1.3</v>
      </c>
      <c r="S80" s="30">
        <f>MBQ[[#This Row],[WIDTH (mm)]]*MBQ[[#This Row],[QTY TOTAL]]/1000</f>
        <v>1.2</v>
      </c>
      <c r="T80" s="9">
        <f>(MBQ[[#This Row],[HEIGHT (mm)]]+MBQ[[#This Row],[WIDTH (mm)]])/1000*2*MBQ[[#This Row],[QTY TOTAL]]</f>
        <v>5</v>
      </c>
      <c r="U80" s="266">
        <f>MBQ[[#This Row],[MULTIPLIER]]*MBQ[[#This Row],[QTY]]</f>
        <v>1</v>
      </c>
      <c r="V80" s="9">
        <f>MBQ[[#This Row],[HEIGHT (mm)]]/1000*MBQ[[#This Row],[WIDTH (mm)]]/1000*MBQ[[#This Row],[QTY TOTAL]]</f>
        <v>1.56</v>
      </c>
      <c r="W80" s="287">
        <f>ROUNDUP(MBQ[[#This Row],[HEIGHT (mm)]]/450*MBQ[[#This Row],[QTY]]*2,0)+ROUNDUP(MBQ[[#This Row],[WIDTH (mm)]]/450*MBQ[[#This Row],[QTY]]*2,0)</f>
        <v>12</v>
      </c>
    </row>
    <row r="81" spans="1:23" hidden="1">
      <c r="A81" s="258">
        <v>1</v>
      </c>
      <c r="B81" s="276" t="s">
        <v>536</v>
      </c>
      <c r="C81" s="278" t="s">
        <v>534</v>
      </c>
      <c r="D81" s="277" t="s">
        <v>542</v>
      </c>
      <c r="E81" s="277" t="s">
        <v>537</v>
      </c>
      <c r="F81" s="261"/>
      <c r="G81" s="262"/>
      <c r="H81" s="262"/>
      <c r="I81" s="260" t="s">
        <v>442</v>
      </c>
      <c r="J81" s="278" t="s">
        <v>443</v>
      </c>
      <c r="K81" s="285" t="s">
        <v>580</v>
      </c>
      <c r="L81" s="277" t="s">
        <v>541</v>
      </c>
      <c r="M81" s="263"/>
      <c r="N81" s="263"/>
      <c r="O81" s="264">
        <v>1700</v>
      </c>
      <c r="P81" s="264">
        <v>1200</v>
      </c>
      <c r="Q81" s="265">
        <v>1</v>
      </c>
      <c r="R81" s="30">
        <f>MBQ[[#This Row],[HEIGHT (mm)]]*MBQ[[#This Row],[QTY TOTAL]]/1000</f>
        <v>1.7</v>
      </c>
      <c r="S81" s="30">
        <f>MBQ[[#This Row],[WIDTH (mm)]]*MBQ[[#This Row],[QTY TOTAL]]/1000</f>
        <v>1.2</v>
      </c>
      <c r="T81" s="9">
        <f>(MBQ[[#This Row],[HEIGHT (mm)]]+MBQ[[#This Row],[WIDTH (mm)]])/1000*2*MBQ[[#This Row],[QTY TOTAL]]</f>
        <v>5.8</v>
      </c>
      <c r="U81" s="266">
        <f>MBQ[[#This Row],[MULTIPLIER]]*MBQ[[#This Row],[QTY]]</f>
        <v>1</v>
      </c>
      <c r="V81" s="9">
        <f>MBQ[[#This Row],[HEIGHT (mm)]]/1000*MBQ[[#This Row],[WIDTH (mm)]]/1000*MBQ[[#This Row],[QTY TOTAL]]</f>
        <v>2.04</v>
      </c>
      <c r="W81" s="287">
        <f>ROUNDUP(MBQ[[#This Row],[HEIGHT (mm)]]/450*MBQ[[#This Row],[QTY]]*2,0)+ROUNDUP(MBQ[[#This Row],[WIDTH (mm)]]/450*MBQ[[#This Row],[QTY]]*2,0)</f>
        <v>14</v>
      </c>
    </row>
    <row r="82" spans="1:23" hidden="1">
      <c r="A82" s="258">
        <v>1</v>
      </c>
      <c r="B82" s="276" t="s">
        <v>536</v>
      </c>
      <c r="C82" s="278" t="s">
        <v>534</v>
      </c>
      <c r="D82" s="277" t="s">
        <v>542</v>
      </c>
      <c r="E82" s="277" t="s">
        <v>537</v>
      </c>
      <c r="F82" s="261"/>
      <c r="G82" s="262"/>
      <c r="H82" s="262"/>
      <c r="I82" s="260" t="s">
        <v>442</v>
      </c>
      <c r="J82" s="278" t="s">
        <v>443</v>
      </c>
      <c r="K82" s="285" t="s">
        <v>580</v>
      </c>
      <c r="L82" s="277" t="s">
        <v>540</v>
      </c>
      <c r="M82" s="263"/>
      <c r="N82" s="263"/>
      <c r="O82" s="264">
        <v>1000</v>
      </c>
      <c r="P82" s="264">
        <v>1200</v>
      </c>
      <c r="Q82" s="265">
        <v>1</v>
      </c>
      <c r="R82" s="30">
        <f>MBQ[[#This Row],[HEIGHT (mm)]]*MBQ[[#This Row],[QTY TOTAL]]/1000</f>
        <v>1</v>
      </c>
      <c r="S82" s="30">
        <f>MBQ[[#This Row],[WIDTH (mm)]]*MBQ[[#This Row],[QTY TOTAL]]/1000</f>
        <v>1.2</v>
      </c>
      <c r="T82" s="9">
        <f>(MBQ[[#This Row],[HEIGHT (mm)]]+MBQ[[#This Row],[WIDTH (mm)]])/1000*2*MBQ[[#This Row],[QTY TOTAL]]</f>
        <v>4.4000000000000004</v>
      </c>
      <c r="U82" s="266">
        <f>MBQ[[#This Row],[MULTIPLIER]]*MBQ[[#This Row],[QTY]]</f>
        <v>1</v>
      </c>
      <c r="V82" s="9">
        <f>MBQ[[#This Row],[HEIGHT (mm)]]/1000*MBQ[[#This Row],[WIDTH (mm)]]/1000*MBQ[[#This Row],[QTY TOTAL]]</f>
        <v>1.2</v>
      </c>
      <c r="W82" s="287">
        <f>ROUNDUP(MBQ[[#This Row],[HEIGHT (mm)]]/450*MBQ[[#This Row],[QTY]]*2,0)+ROUNDUP(MBQ[[#This Row],[WIDTH (mm)]]/450*MBQ[[#This Row],[QTY]]*2,0)</f>
        <v>11</v>
      </c>
    </row>
    <row r="83" spans="1:23" hidden="1">
      <c r="A83" s="258">
        <v>1</v>
      </c>
      <c r="B83" s="276" t="s">
        <v>536</v>
      </c>
      <c r="C83" s="278" t="s">
        <v>534</v>
      </c>
      <c r="D83" s="277" t="s">
        <v>542</v>
      </c>
      <c r="E83" s="277" t="s">
        <v>537</v>
      </c>
      <c r="F83" s="261"/>
      <c r="G83" s="262"/>
      <c r="H83" s="262"/>
      <c r="I83" s="260" t="s">
        <v>442</v>
      </c>
      <c r="J83" s="278" t="s">
        <v>443</v>
      </c>
      <c r="K83" s="285" t="s">
        <v>580</v>
      </c>
      <c r="L83" s="277" t="s">
        <v>540</v>
      </c>
      <c r="M83" s="263"/>
      <c r="N83" s="263"/>
      <c r="O83" s="264">
        <v>1300</v>
      </c>
      <c r="P83" s="264">
        <v>1200</v>
      </c>
      <c r="Q83" s="265">
        <v>1</v>
      </c>
      <c r="R83" s="30">
        <f>MBQ[[#This Row],[HEIGHT (mm)]]*MBQ[[#This Row],[QTY TOTAL]]/1000</f>
        <v>1.3</v>
      </c>
      <c r="S83" s="30">
        <f>MBQ[[#This Row],[WIDTH (mm)]]*MBQ[[#This Row],[QTY TOTAL]]/1000</f>
        <v>1.2</v>
      </c>
      <c r="T83" s="9">
        <f>(MBQ[[#This Row],[HEIGHT (mm)]]+MBQ[[#This Row],[WIDTH (mm)]])/1000*2*MBQ[[#This Row],[QTY TOTAL]]</f>
        <v>5</v>
      </c>
      <c r="U83" s="266">
        <f>MBQ[[#This Row],[MULTIPLIER]]*MBQ[[#This Row],[QTY]]</f>
        <v>1</v>
      </c>
      <c r="V83" s="9">
        <f>MBQ[[#This Row],[HEIGHT (mm)]]/1000*MBQ[[#This Row],[WIDTH (mm)]]/1000*MBQ[[#This Row],[QTY TOTAL]]</f>
        <v>1.56</v>
      </c>
      <c r="W83" s="287">
        <f>ROUNDUP(MBQ[[#This Row],[HEIGHT (mm)]]/450*MBQ[[#This Row],[QTY]]*2,0)+ROUNDUP(MBQ[[#This Row],[WIDTH (mm)]]/450*MBQ[[#This Row],[QTY]]*2,0)</f>
        <v>12</v>
      </c>
    </row>
    <row r="84" spans="1:23" hidden="1">
      <c r="A84" s="258">
        <v>1</v>
      </c>
      <c r="B84" s="276" t="s">
        <v>536</v>
      </c>
      <c r="C84" s="278" t="s">
        <v>534</v>
      </c>
      <c r="D84" s="277" t="s">
        <v>542</v>
      </c>
      <c r="E84" s="277" t="s">
        <v>537</v>
      </c>
      <c r="F84" s="261"/>
      <c r="G84" s="262"/>
      <c r="H84" s="262"/>
      <c r="I84" s="260" t="s">
        <v>442</v>
      </c>
      <c r="J84" s="278" t="s">
        <v>443</v>
      </c>
      <c r="K84" s="285" t="s">
        <v>580</v>
      </c>
      <c r="L84" s="277" t="s">
        <v>541</v>
      </c>
      <c r="M84" s="263"/>
      <c r="N84" s="263"/>
      <c r="O84" s="264">
        <v>1700</v>
      </c>
      <c r="P84" s="264">
        <v>1200</v>
      </c>
      <c r="Q84" s="265">
        <v>1</v>
      </c>
      <c r="R84" s="30">
        <f>MBQ[[#This Row],[HEIGHT (mm)]]*MBQ[[#This Row],[QTY TOTAL]]/1000</f>
        <v>1.7</v>
      </c>
      <c r="S84" s="30">
        <f>MBQ[[#This Row],[WIDTH (mm)]]*MBQ[[#This Row],[QTY TOTAL]]/1000</f>
        <v>1.2</v>
      </c>
      <c r="T84" s="9">
        <f>(MBQ[[#This Row],[HEIGHT (mm)]]+MBQ[[#This Row],[WIDTH (mm)]])/1000*2*MBQ[[#This Row],[QTY TOTAL]]</f>
        <v>5.8</v>
      </c>
      <c r="U84" s="266">
        <f>MBQ[[#This Row],[MULTIPLIER]]*MBQ[[#This Row],[QTY]]</f>
        <v>1</v>
      </c>
      <c r="V84" s="9">
        <f>MBQ[[#This Row],[HEIGHT (mm)]]/1000*MBQ[[#This Row],[WIDTH (mm)]]/1000*MBQ[[#This Row],[QTY TOTAL]]</f>
        <v>2.04</v>
      </c>
      <c r="W84" s="287">
        <f>ROUNDUP(MBQ[[#This Row],[HEIGHT (mm)]]/450*MBQ[[#This Row],[QTY]]*2,0)+ROUNDUP(MBQ[[#This Row],[WIDTH (mm)]]/450*MBQ[[#This Row],[QTY]]*2,0)</f>
        <v>14</v>
      </c>
    </row>
    <row r="85" spans="1:23" hidden="1">
      <c r="A85" s="258">
        <v>1</v>
      </c>
      <c r="B85" s="276" t="s">
        <v>536</v>
      </c>
      <c r="C85" s="278" t="s">
        <v>534</v>
      </c>
      <c r="D85" s="277" t="s">
        <v>542</v>
      </c>
      <c r="E85" s="277" t="s">
        <v>537</v>
      </c>
      <c r="F85" s="261"/>
      <c r="G85" s="262"/>
      <c r="H85" s="262"/>
      <c r="I85" s="260" t="s">
        <v>442</v>
      </c>
      <c r="J85" s="278" t="s">
        <v>443</v>
      </c>
      <c r="K85" s="285" t="s">
        <v>580</v>
      </c>
      <c r="L85" s="277" t="s">
        <v>540</v>
      </c>
      <c r="M85" s="263"/>
      <c r="N85" s="263"/>
      <c r="O85" s="264">
        <v>1000</v>
      </c>
      <c r="P85" s="264">
        <v>1200</v>
      </c>
      <c r="Q85" s="265">
        <v>1</v>
      </c>
      <c r="R85" s="30">
        <f>MBQ[[#This Row],[HEIGHT (mm)]]*MBQ[[#This Row],[QTY TOTAL]]/1000</f>
        <v>1</v>
      </c>
      <c r="S85" s="30">
        <f>MBQ[[#This Row],[WIDTH (mm)]]*MBQ[[#This Row],[QTY TOTAL]]/1000</f>
        <v>1.2</v>
      </c>
      <c r="T85" s="9">
        <f>(MBQ[[#This Row],[HEIGHT (mm)]]+MBQ[[#This Row],[WIDTH (mm)]])/1000*2*MBQ[[#This Row],[QTY TOTAL]]</f>
        <v>4.4000000000000004</v>
      </c>
      <c r="U85" s="266">
        <f>MBQ[[#This Row],[MULTIPLIER]]*MBQ[[#This Row],[QTY]]</f>
        <v>1</v>
      </c>
      <c r="V85" s="9">
        <f>MBQ[[#This Row],[HEIGHT (mm)]]/1000*MBQ[[#This Row],[WIDTH (mm)]]/1000*MBQ[[#This Row],[QTY TOTAL]]</f>
        <v>1.2</v>
      </c>
      <c r="W85" s="287">
        <f>ROUNDUP(MBQ[[#This Row],[HEIGHT (mm)]]/450*MBQ[[#This Row],[QTY]]*2,0)+ROUNDUP(MBQ[[#This Row],[WIDTH (mm)]]/450*MBQ[[#This Row],[QTY]]*2,0)</f>
        <v>11</v>
      </c>
    </row>
    <row r="86" spans="1:23" hidden="1">
      <c r="A86" s="258">
        <v>1</v>
      </c>
      <c r="B86" s="276" t="s">
        <v>536</v>
      </c>
      <c r="C86" s="278" t="s">
        <v>534</v>
      </c>
      <c r="D86" s="277" t="s">
        <v>542</v>
      </c>
      <c r="E86" s="277" t="s">
        <v>537</v>
      </c>
      <c r="F86" s="261"/>
      <c r="G86" s="262"/>
      <c r="H86" s="262"/>
      <c r="I86" s="260" t="s">
        <v>442</v>
      </c>
      <c r="J86" s="278" t="s">
        <v>443</v>
      </c>
      <c r="K86" s="285" t="s">
        <v>580</v>
      </c>
      <c r="L86" s="277" t="s">
        <v>540</v>
      </c>
      <c r="M86" s="263"/>
      <c r="N86" s="263"/>
      <c r="O86" s="264">
        <v>1300</v>
      </c>
      <c r="P86" s="264">
        <v>1200</v>
      </c>
      <c r="Q86" s="265">
        <v>1</v>
      </c>
      <c r="R86" s="30">
        <f>MBQ[[#This Row],[HEIGHT (mm)]]*MBQ[[#This Row],[QTY TOTAL]]/1000</f>
        <v>1.3</v>
      </c>
      <c r="S86" s="30">
        <f>MBQ[[#This Row],[WIDTH (mm)]]*MBQ[[#This Row],[QTY TOTAL]]/1000</f>
        <v>1.2</v>
      </c>
      <c r="T86" s="9">
        <f>(MBQ[[#This Row],[HEIGHT (mm)]]+MBQ[[#This Row],[WIDTH (mm)]])/1000*2*MBQ[[#This Row],[QTY TOTAL]]</f>
        <v>5</v>
      </c>
      <c r="U86" s="266">
        <f>MBQ[[#This Row],[MULTIPLIER]]*MBQ[[#This Row],[QTY]]</f>
        <v>1</v>
      </c>
      <c r="V86" s="9">
        <f>MBQ[[#This Row],[HEIGHT (mm)]]/1000*MBQ[[#This Row],[WIDTH (mm)]]/1000*MBQ[[#This Row],[QTY TOTAL]]</f>
        <v>1.56</v>
      </c>
      <c r="W86" s="287">
        <f>ROUNDUP(MBQ[[#This Row],[HEIGHT (mm)]]/450*MBQ[[#This Row],[QTY]]*2,0)+ROUNDUP(MBQ[[#This Row],[WIDTH (mm)]]/450*MBQ[[#This Row],[QTY]]*2,0)</f>
        <v>12</v>
      </c>
    </row>
    <row r="87" spans="1:23" hidden="1">
      <c r="A87" s="258">
        <v>1</v>
      </c>
      <c r="B87" s="276" t="s">
        <v>536</v>
      </c>
      <c r="C87" s="278" t="s">
        <v>534</v>
      </c>
      <c r="D87" s="277" t="s">
        <v>542</v>
      </c>
      <c r="E87" s="277" t="s">
        <v>537</v>
      </c>
      <c r="F87" s="261"/>
      <c r="G87" s="262"/>
      <c r="H87" s="262"/>
      <c r="I87" s="260" t="s">
        <v>442</v>
      </c>
      <c r="J87" s="278" t="s">
        <v>443</v>
      </c>
      <c r="K87" s="285" t="s">
        <v>580</v>
      </c>
      <c r="L87" s="277" t="s">
        <v>541</v>
      </c>
      <c r="M87" s="263"/>
      <c r="N87" s="263"/>
      <c r="O87" s="264">
        <v>1700</v>
      </c>
      <c r="P87" s="264">
        <v>1200</v>
      </c>
      <c r="Q87" s="265">
        <v>1</v>
      </c>
      <c r="R87" s="30">
        <f>MBQ[[#This Row],[HEIGHT (mm)]]*MBQ[[#This Row],[QTY TOTAL]]/1000</f>
        <v>1.7</v>
      </c>
      <c r="S87" s="30">
        <f>MBQ[[#This Row],[WIDTH (mm)]]*MBQ[[#This Row],[QTY TOTAL]]/1000</f>
        <v>1.2</v>
      </c>
      <c r="T87" s="9">
        <f>(MBQ[[#This Row],[HEIGHT (mm)]]+MBQ[[#This Row],[WIDTH (mm)]])/1000*2*MBQ[[#This Row],[QTY TOTAL]]</f>
        <v>5.8</v>
      </c>
      <c r="U87" s="266">
        <f>MBQ[[#This Row],[MULTIPLIER]]*MBQ[[#This Row],[QTY]]</f>
        <v>1</v>
      </c>
      <c r="V87" s="9">
        <f>MBQ[[#This Row],[HEIGHT (mm)]]/1000*MBQ[[#This Row],[WIDTH (mm)]]/1000*MBQ[[#This Row],[QTY TOTAL]]</f>
        <v>2.04</v>
      </c>
      <c r="W87" s="287">
        <f>ROUNDUP(MBQ[[#This Row],[HEIGHT (mm)]]/450*MBQ[[#This Row],[QTY]]*2,0)+ROUNDUP(MBQ[[#This Row],[WIDTH (mm)]]/450*MBQ[[#This Row],[QTY]]*2,0)</f>
        <v>14</v>
      </c>
    </row>
    <row r="88" spans="1:23" hidden="1">
      <c r="A88" s="258">
        <v>1</v>
      </c>
      <c r="B88" s="276" t="s">
        <v>536</v>
      </c>
      <c r="C88" s="278" t="s">
        <v>534</v>
      </c>
      <c r="D88" s="277" t="s">
        <v>542</v>
      </c>
      <c r="E88" s="277" t="s">
        <v>537</v>
      </c>
      <c r="F88" s="261"/>
      <c r="G88" s="262"/>
      <c r="H88" s="262"/>
      <c r="I88" s="260" t="s">
        <v>442</v>
      </c>
      <c r="J88" s="278" t="s">
        <v>443</v>
      </c>
      <c r="K88" s="285" t="s">
        <v>580</v>
      </c>
      <c r="L88" s="277" t="s">
        <v>540</v>
      </c>
      <c r="M88" s="263"/>
      <c r="N88" s="263"/>
      <c r="O88" s="264">
        <v>1000</v>
      </c>
      <c r="P88" s="264">
        <v>1200</v>
      </c>
      <c r="Q88" s="265">
        <v>1</v>
      </c>
      <c r="R88" s="30">
        <f>MBQ[[#This Row],[HEIGHT (mm)]]*MBQ[[#This Row],[QTY TOTAL]]/1000</f>
        <v>1</v>
      </c>
      <c r="S88" s="30">
        <f>MBQ[[#This Row],[WIDTH (mm)]]*MBQ[[#This Row],[QTY TOTAL]]/1000</f>
        <v>1.2</v>
      </c>
      <c r="T88" s="9">
        <f>(MBQ[[#This Row],[HEIGHT (mm)]]+MBQ[[#This Row],[WIDTH (mm)]])/1000*2*MBQ[[#This Row],[QTY TOTAL]]</f>
        <v>4.4000000000000004</v>
      </c>
      <c r="U88" s="266">
        <f>MBQ[[#This Row],[MULTIPLIER]]*MBQ[[#This Row],[QTY]]</f>
        <v>1</v>
      </c>
      <c r="V88" s="9">
        <f>MBQ[[#This Row],[HEIGHT (mm)]]/1000*MBQ[[#This Row],[WIDTH (mm)]]/1000*MBQ[[#This Row],[QTY TOTAL]]</f>
        <v>1.2</v>
      </c>
      <c r="W88" s="287">
        <f>ROUNDUP(MBQ[[#This Row],[HEIGHT (mm)]]/450*MBQ[[#This Row],[QTY]]*2,0)+ROUNDUP(MBQ[[#This Row],[WIDTH (mm)]]/450*MBQ[[#This Row],[QTY]]*2,0)</f>
        <v>11</v>
      </c>
    </row>
    <row r="89" spans="1:23" hidden="1">
      <c r="A89" s="258">
        <v>1</v>
      </c>
      <c r="B89" s="276" t="s">
        <v>536</v>
      </c>
      <c r="C89" s="278" t="s">
        <v>534</v>
      </c>
      <c r="D89" s="277" t="s">
        <v>542</v>
      </c>
      <c r="E89" s="277" t="s">
        <v>537</v>
      </c>
      <c r="F89" s="261"/>
      <c r="G89" s="262"/>
      <c r="H89" s="262"/>
      <c r="I89" s="260" t="s">
        <v>442</v>
      </c>
      <c r="J89" s="278" t="s">
        <v>443</v>
      </c>
      <c r="K89" s="285" t="s">
        <v>580</v>
      </c>
      <c r="L89" s="277" t="s">
        <v>540</v>
      </c>
      <c r="M89" s="263"/>
      <c r="N89" s="263"/>
      <c r="O89" s="264">
        <v>1300</v>
      </c>
      <c r="P89" s="264">
        <v>1200</v>
      </c>
      <c r="Q89" s="265">
        <v>1</v>
      </c>
      <c r="R89" s="30">
        <f>MBQ[[#This Row],[HEIGHT (mm)]]*MBQ[[#This Row],[QTY TOTAL]]/1000</f>
        <v>1.3</v>
      </c>
      <c r="S89" s="30">
        <f>MBQ[[#This Row],[WIDTH (mm)]]*MBQ[[#This Row],[QTY TOTAL]]/1000</f>
        <v>1.2</v>
      </c>
      <c r="T89" s="9">
        <f>(MBQ[[#This Row],[HEIGHT (mm)]]+MBQ[[#This Row],[WIDTH (mm)]])/1000*2*MBQ[[#This Row],[QTY TOTAL]]</f>
        <v>5</v>
      </c>
      <c r="U89" s="266">
        <f>MBQ[[#This Row],[MULTIPLIER]]*MBQ[[#This Row],[QTY]]</f>
        <v>1</v>
      </c>
      <c r="V89" s="9">
        <f>MBQ[[#This Row],[HEIGHT (mm)]]/1000*MBQ[[#This Row],[WIDTH (mm)]]/1000*MBQ[[#This Row],[QTY TOTAL]]</f>
        <v>1.56</v>
      </c>
      <c r="W89" s="287">
        <f>ROUNDUP(MBQ[[#This Row],[HEIGHT (mm)]]/450*MBQ[[#This Row],[QTY]]*2,0)+ROUNDUP(MBQ[[#This Row],[WIDTH (mm)]]/450*MBQ[[#This Row],[QTY]]*2,0)</f>
        <v>12</v>
      </c>
    </row>
    <row r="90" spans="1:23" hidden="1">
      <c r="A90" s="258">
        <v>1</v>
      </c>
      <c r="B90" s="276" t="s">
        <v>536</v>
      </c>
      <c r="C90" s="278" t="s">
        <v>534</v>
      </c>
      <c r="D90" s="277" t="s">
        <v>542</v>
      </c>
      <c r="E90" s="277" t="s">
        <v>537</v>
      </c>
      <c r="F90" s="261"/>
      <c r="G90" s="262"/>
      <c r="H90" s="262"/>
      <c r="I90" s="260" t="s">
        <v>442</v>
      </c>
      <c r="J90" s="278" t="s">
        <v>443</v>
      </c>
      <c r="K90" s="285" t="s">
        <v>580</v>
      </c>
      <c r="L90" s="277" t="s">
        <v>541</v>
      </c>
      <c r="M90" s="263"/>
      <c r="N90" s="263"/>
      <c r="O90" s="264">
        <v>1700</v>
      </c>
      <c r="P90" s="264">
        <v>1200</v>
      </c>
      <c r="Q90" s="265">
        <v>1</v>
      </c>
      <c r="R90" s="30">
        <f>MBQ[[#This Row],[HEIGHT (mm)]]*MBQ[[#This Row],[QTY TOTAL]]/1000</f>
        <v>1.7</v>
      </c>
      <c r="S90" s="30">
        <f>MBQ[[#This Row],[WIDTH (mm)]]*MBQ[[#This Row],[QTY TOTAL]]/1000</f>
        <v>1.2</v>
      </c>
      <c r="T90" s="9">
        <f>(MBQ[[#This Row],[HEIGHT (mm)]]+MBQ[[#This Row],[WIDTH (mm)]])/1000*2*MBQ[[#This Row],[QTY TOTAL]]</f>
        <v>5.8</v>
      </c>
      <c r="U90" s="266">
        <f>MBQ[[#This Row],[MULTIPLIER]]*MBQ[[#This Row],[QTY]]</f>
        <v>1</v>
      </c>
      <c r="V90" s="9">
        <f>MBQ[[#This Row],[HEIGHT (mm)]]/1000*MBQ[[#This Row],[WIDTH (mm)]]/1000*MBQ[[#This Row],[QTY TOTAL]]</f>
        <v>2.04</v>
      </c>
      <c r="W90" s="287">
        <f>ROUNDUP(MBQ[[#This Row],[HEIGHT (mm)]]/450*MBQ[[#This Row],[QTY]]*2,0)+ROUNDUP(MBQ[[#This Row],[WIDTH (mm)]]/450*MBQ[[#This Row],[QTY]]*2,0)</f>
        <v>14</v>
      </c>
    </row>
    <row r="91" spans="1:23" hidden="1">
      <c r="A91" s="258">
        <v>1</v>
      </c>
      <c r="B91" s="276" t="s">
        <v>536</v>
      </c>
      <c r="C91" s="278" t="s">
        <v>534</v>
      </c>
      <c r="D91" s="277" t="s">
        <v>542</v>
      </c>
      <c r="E91" s="277" t="s">
        <v>537</v>
      </c>
      <c r="F91" s="261"/>
      <c r="G91" s="262"/>
      <c r="H91" s="262"/>
      <c r="I91" s="260" t="s">
        <v>442</v>
      </c>
      <c r="J91" s="278" t="s">
        <v>443</v>
      </c>
      <c r="K91" s="285" t="s">
        <v>580</v>
      </c>
      <c r="L91" s="277" t="s">
        <v>540</v>
      </c>
      <c r="M91" s="263"/>
      <c r="N91" s="263"/>
      <c r="O91" s="264">
        <v>1000</v>
      </c>
      <c r="P91" s="264">
        <v>1200</v>
      </c>
      <c r="Q91" s="265">
        <v>1</v>
      </c>
      <c r="R91" s="30">
        <f>MBQ[[#This Row],[HEIGHT (mm)]]*MBQ[[#This Row],[QTY TOTAL]]/1000</f>
        <v>1</v>
      </c>
      <c r="S91" s="30">
        <f>MBQ[[#This Row],[WIDTH (mm)]]*MBQ[[#This Row],[QTY TOTAL]]/1000</f>
        <v>1.2</v>
      </c>
      <c r="T91" s="9">
        <f>(MBQ[[#This Row],[HEIGHT (mm)]]+MBQ[[#This Row],[WIDTH (mm)]])/1000*2*MBQ[[#This Row],[QTY TOTAL]]</f>
        <v>4.4000000000000004</v>
      </c>
      <c r="U91" s="266">
        <f>MBQ[[#This Row],[MULTIPLIER]]*MBQ[[#This Row],[QTY]]</f>
        <v>1</v>
      </c>
      <c r="V91" s="9">
        <f>MBQ[[#This Row],[HEIGHT (mm)]]/1000*MBQ[[#This Row],[WIDTH (mm)]]/1000*MBQ[[#This Row],[QTY TOTAL]]</f>
        <v>1.2</v>
      </c>
      <c r="W91" s="287">
        <f>ROUNDUP(MBQ[[#This Row],[HEIGHT (mm)]]/450*MBQ[[#This Row],[QTY]]*2,0)+ROUNDUP(MBQ[[#This Row],[WIDTH (mm)]]/450*MBQ[[#This Row],[QTY]]*2,0)</f>
        <v>11</v>
      </c>
    </row>
    <row r="92" spans="1:23" hidden="1">
      <c r="A92" s="258">
        <v>1</v>
      </c>
      <c r="B92" s="276" t="s">
        <v>536</v>
      </c>
      <c r="C92" s="278" t="s">
        <v>534</v>
      </c>
      <c r="D92" s="277" t="s">
        <v>542</v>
      </c>
      <c r="E92" s="277" t="s">
        <v>537</v>
      </c>
      <c r="F92" s="261"/>
      <c r="G92" s="262"/>
      <c r="H92" s="262"/>
      <c r="I92" s="260" t="s">
        <v>442</v>
      </c>
      <c r="J92" s="278" t="s">
        <v>443</v>
      </c>
      <c r="K92" s="285" t="s">
        <v>580</v>
      </c>
      <c r="L92" s="277" t="s">
        <v>540</v>
      </c>
      <c r="M92" s="263"/>
      <c r="N92" s="263"/>
      <c r="O92" s="264">
        <v>1300</v>
      </c>
      <c r="P92" s="264">
        <v>1200</v>
      </c>
      <c r="Q92" s="265">
        <v>1</v>
      </c>
      <c r="R92" s="30">
        <f>MBQ[[#This Row],[HEIGHT (mm)]]*MBQ[[#This Row],[QTY TOTAL]]/1000</f>
        <v>1.3</v>
      </c>
      <c r="S92" s="30">
        <f>MBQ[[#This Row],[WIDTH (mm)]]*MBQ[[#This Row],[QTY TOTAL]]/1000</f>
        <v>1.2</v>
      </c>
      <c r="T92" s="9">
        <f>(MBQ[[#This Row],[HEIGHT (mm)]]+MBQ[[#This Row],[WIDTH (mm)]])/1000*2*MBQ[[#This Row],[QTY TOTAL]]</f>
        <v>5</v>
      </c>
      <c r="U92" s="266">
        <f>MBQ[[#This Row],[MULTIPLIER]]*MBQ[[#This Row],[QTY]]</f>
        <v>1</v>
      </c>
      <c r="V92" s="9">
        <f>MBQ[[#This Row],[HEIGHT (mm)]]/1000*MBQ[[#This Row],[WIDTH (mm)]]/1000*MBQ[[#This Row],[QTY TOTAL]]</f>
        <v>1.56</v>
      </c>
      <c r="W92" s="287">
        <f>ROUNDUP(MBQ[[#This Row],[HEIGHT (mm)]]/450*MBQ[[#This Row],[QTY]]*2,0)+ROUNDUP(MBQ[[#This Row],[WIDTH (mm)]]/450*MBQ[[#This Row],[QTY]]*2,0)</f>
        <v>12</v>
      </c>
    </row>
    <row r="93" spans="1:23" hidden="1">
      <c r="A93" s="258">
        <v>1</v>
      </c>
      <c r="B93" s="276" t="s">
        <v>536</v>
      </c>
      <c r="C93" s="278" t="s">
        <v>534</v>
      </c>
      <c r="D93" s="277" t="s">
        <v>542</v>
      </c>
      <c r="E93" s="277" t="s">
        <v>537</v>
      </c>
      <c r="F93" s="261"/>
      <c r="G93" s="262"/>
      <c r="H93" s="262"/>
      <c r="I93" s="260" t="s">
        <v>442</v>
      </c>
      <c r="J93" s="278" t="s">
        <v>443</v>
      </c>
      <c r="K93" s="285" t="s">
        <v>580</v>
      </c>
      <c r="L93" s="277" t="s">
        <v>541</v>
      </c>
      <c r="M93" s="263"/>
      <c r="N93" s="263"/>
      <c r="O93" s="264">
        <v>1700</v>
      </c>
      <c r="P93" s="264">
        <v>1200</v>
      </c>
      <c r="Q93" s="265">
        <v>1</v>
      </c>
      <c r="R93" s="30">
        <f>MBQ[[#This Row],[HEIGHT (mm)]]*MBQ[[#This Row],[QTY TOTAL]]/1000</f>
        <v>1.7</v>
      </c>
      <c r="S93" s="30">
        <f>MBQ[[#This Row],[WIDTH (mm)]]*MBQ[[#This Row],[QTY TOTAL]]/1000</f>
        <v>1.2</v>
      </c>
      <c r="T93" s="9">
        <f>(MBQ[[#This Row],[HEIGHT (mm)]]+MBQ[[#This Row],[WIDTH (mm)]])/1000*2*MBQ[[#This Row],[QTY TOTAL]]</f>
        <v>5.8</v>
      </c>
      <c r="U93" s="266">
        <f>MBQ[[#This Row],[MULTIPLIER]]*MBQ[[#This Row],[QTY]]</f>
        <v>1</v>
      </c>
      <c r="V93" s="9">
        <f>MBQ[[#This Row],[HEIGHT (mm)]]/1000*MBQ[[#This Row],[WIDTH (mm)]]/1000*MBQ[[#This Row],[QTY TOTAL]]</f>
        <v>2.04</v>
      </c>
      <c r="W93" s="287">
        <f>ROUNDUP(MBQ[[#This Row],[HEIGHT (mm)]]/450*MBQ[[#This Row],[QTY]]*2,0)+ROUNDUP(MBQ[[#This Row],[WIDTH (mm)]]/450*MBQ[[#This Row],[QTY]]*2,0)</f>
        <v>14</v>
      </c>
    </row>
    <row r="94" spans="1:23" hidden="1">
      <c r="A94" s="258">
        <v>1</v>
      </c>
      <c r="B94" s="276" t="s">
        <v>536</v>
      </c>
      <c r="C94" s="278" t="s">
        <v>534</v>
      </c>
      <c r="D94" s="277" t="s">
        <v>542</v>
      </c>
      <c r="E94" s="277" t="s">
        <v>537</v>
      </c>
      <c r="F94" s="261"/>
      <c r="G94" s="262"/>
      <c r="H94" s="262"/>
      <c r="I94" s="260" t="s">
        <v>442</v>
      </c>
      <c r="J94" s="278" t="s">
        <v>443</v>
      </c>
      <c r="K94" s="285" t="s">
        <v>580</v>
      </c>
      <c r="L94" s="277" t="s">
        <v>540</v>
      </c>
      <c r="M94" s="263"/>
      <c r="N94" s="263"/>
      <c r="O94" s="264">
        <v>1000</v>
      </c>
      <c r="P94" s="264">
        <v>1200</v>
      </c>
      <c r="Q94" s="265">
        <v>1</v>
      </c>
      <c r="R94" s="30">
        <f>MBQ[[#This Row],[HEIGHT (mm)]]*MBQ[[#This Row],[QTY TOTAL]]/1000</f>
        <v>1</v>
      </c>
      <c r="S94" s="30">
        <f>MBQ[[#This Row],[WIDTH (mm)]]*MBQ[[#This Row],[QTY TOTAL]]/1000</f>
        <v>1.2</v>
      </c>
      <c r="T94" s="9">
        <f>(MBQ[[#This Row],[HEIGHT (mm)]]+MBQ[[#This Row],[WIDTH (mm)]])/1000*2*MBQ[[#This Row],[QTY TOTAL]]</f>
        <v>4.4000000000000004</v>
      </c>
      <c r="U94" s="266">
        <f>MBQ[[#This Row],[MULTIPLIER]]*MBQ[[#This Row],[QTY]]</f>
        <v>1</v>
      </c>
      <c r="V94" s="9">
        <f>MBQ[[#This Row],[HEIGHT (mm)]]/1000*MBQ[[#This Row],[WIDTH (mm)]]/1000*MBQ[[#This Row],[QTY TOTAL]]</f>
        <v>1.2</v>
      </c>
      <c r="W94" s="287">
        <f>ROUNDUP(MBQ[[#This Row],[HEIGHT (mm)]]/450*MBQ[[#This Row],[QTY]]*2,0)+ROUNDUP(MBQ[[#This Row],[WIDTH (mm)]]/450*MBQ[[#This Row],[QTY]]*2,0)</f>
        <v>11</v>
      </c>
    </row>
    <row r="95" spans="1:23" hidden="1">
      <c r="A95" s="258">
        <v>1</v>
      </c>
      <c r="B95" s="276" t="s">
        <v>536</v>
      </c>
      <c r="C95" s="278" t="s">
        <v>534</v>
      </c>
      <c r="D95" s="277" t="s">
        <v>542</v>
      </c>
      <c r="E95" s="277" t="s">
        <v>537</v>
      </c>
      <c r="F95" s="261"/>
      <c r="G95" s="262"/>
      <c r="H95" s="262"/>
      <c r="I95" s="260" t="s">
        <v>442</v>
      </c>
      <c r="J95" s="278" t="s">
        <v>443</v>
      </c>
      <c r="K95" s="285" t="s">
        <v>580</v>
      </c>
      <c r="L95" s="277" t="s">
        <v>540</v>
      </c>
      <c r="M95" s="263"/>
      <c r="N95" s="263"/>
      <c r="O95" s="264">
        <v>1300</v>
      </c>
      <c r="P95" s="264">
        <v>1200</v>
      </c>
      <c r="Q95" s="265">
        <v>1</v>
      </c>
      <c r="R95" s="30">
        <f>MBQ[[#This Row],[HEIGHT (mm)]]*MBQ[[#This Row],[QTY TOTAL]]/1000</f>
        <v>1.3</v>
      </c>
      <c r="S95" s="30">
        <f>MBQ[[#This Row],[WIDTH (mm)]]*MBQ[[#This Row],[QTY TOTAL]]/1000</f>
        <v>1.2</v>
      </c>
      <c r="T95" s="9">
        <f>(MBQ[[#This Row],[HEIGHT (mm)]]+MBQ[[#This Row],[WIDTH (mm)]])/1000*2*MBQ[[#This Row],[QTY TOTAL]]</f>
        <v>5</v>
      </c>
      <c r="U95" s="266">
        <f>MBQ[[#This Row],[MULTIPLIER]]*MBQ[[#This Row],[QTY]]</f>
        <v>1</v>
      </c>
      <c r="V95" s="9">
        <f>MBQ[[#This Row],[HEIGHT (mm)]]/1000*MBQ[[#This Row],[WIDTH (mm)]]/1000*MBQ[[#This Row],[QTY TOTAL]]</f>
        <v>1.56</v>
      </c>
      <c r="W95" s="287">
        <f>ROUNDUP(MBQ[[#This Row],[HEIGHT (mm)]]/450*MBQ[[#This Row],[QTY]]*2,0)+ROUNDUP(MBQ[[#This Row],[WIDTH (mm)]]/450*MBQ[[#This Row],[QTY]]*2,0)</f>
        <v>12</v>
      </c>
    </row>
    <row r="96" spans="1:23" hidden="1">
      <c r="A96" s="258">
        <v>1</v>
      </c>
      <c r="B96" s="276" t="s">
        <v>536</v>
      </c>
      <c r="C96" s="278" t="s">
        <v>534</v>
      </c>
      <c r="D96" s="277" t="s">
        <v>542</v>
      </c>
      <c r="E96" s="277" t="s">
        <v>537</v>
      </c>
      <c r="F96" s="261"/>
      <c r="G96" s="262"/>
      <c r="H96" s="262"/>
      <c r="I96" s="260" t="s">
        <v>442</v>
      </c>
      <c r="J96" s="278" t="s">
        <v>443</v>
      </c>
      <c r="K96" s="285" t="s">
        <v>580</v>
      </c>
      <c r="L96" s="277" t="s">
        <v>541</v>
      </c>
      <c r="M96" s="263"/>
      <c r="N96" s="263"/>
      <c r="O96" s="264">
        <v>1700</v>
      </c>
      <c r="P96" s="264">
        <v>1200</v>
      </c>
      <c r="Q96" s="265">
        <v>1</v>
      </c>
      <c r="R96" s="30">
        <f>MBQ[[#This Row],[HEIGHT (mm)]]*MBQ[[#This Row],[QTY TOTAL]]/1000</f>
        <v>1.7</v>
      </c>
      <c r="S96" s="30">
        <f>MBQ[[#This Row],[WIDTH (mm)]]*MBQ[[#This Row],[QTY TOTAL]]/1000</f>
        <v>1.2</v>
      </c>
      <c r="T96" s="9">
        <f>(MBQ[[#This Row],[HEIGHT (mm)]]+MBQ[[#This Row],[WIDTH (mm)]])/1000*2*MBQ[[#This Row],[QTY TOTAL]]</f>
        <v>5.8</v>
      </c>
      <c r="U96" s="266">
        <f>MBQ[[#This Row],[MULTIPLIER]]*MBQ[[#This Row],[QTY]]</f>
        <v>1</v>
      </c>
      <c r="V96" s="9">
        <f>MBQ[[#This Row],[HEIGHT (mm)]]/1000*MBQ[[#This Row],[WIDTH (mm)]]/1000*MBQ[[#This Row],[QTY TOTAL]]</f>
        <v>2.04</v>
      </c>
      <c r="W96" s="287">
        <f>ROUNDUP(MBQ[[#This Row],[HEIGHT (mm)]]/450*MBQ[[#This Row],[QTY]]*2,0)+ROUNDUP(MBQ[[#This Row],[WIDTH (mm)]]/450*MBQ[[#This Row],[QTY]]*2,0)</f>
        <v>14</v>
      </c>
    </row>
    <row r="97" spans="1:23" hidden="1">
      <c r="A97" s="258">
        <v>1</v>
      </c>
      <c r="B97" s="276" t="s">
        <v>536</v>
      </c>
      <c r="C97" s="278" t="s">
        <v>534</v>
      </c>
      <c r="D97" s="277" t="s">
        <v>542</v>
      </c>
      <c r="E97" s="277" t="s">
        <v>537</v>
      </c>
      <c r="F97" s="261"/>
      <c r="G97" s="262"/>
      <c r="H97" s="262"/>
      <c r="I97" s="260" t="s">
        <v>442</v>
      </c>
      <c r="J97" s="278" t="s">
        <v>443</v>
      </c>
      <c r="K97" s="285" t="s">
        <v>580</v>
      </c>
      <c r="L97" s="277" t="s">
        <v>540</v>
      </c>
      <c r="M97" s="263"/>
      <c r="N97" s="263"/>
      <c r="O97" s="264">
        <v>1000</v>
      </c>
      <c r="P97" s="264">
        <v>1200</v>
      </c>
      <c r="Q97" s="265">
        <v>1</v>
      </c>
      <c r="R97" s="30">
        <f>MBQ[[#This Row],[HEIGHT (mm)]]*MBQ[[#This Row],[QTY TOTAL]]/1000</f>
        <v>1</v>
      </c>
      <c r="S97" s="30">
        <f>MBQ[[#This Row],[WIDTH (mm)]]*MBQ[[#This Row],[QTY TOTAL]]/1000</f>
        <v>1.2</v>
      </c>
      <c r="T97" s="9">
        <f>(MBQ[[#This Row],[HEIGHT (mm)]]+MBQ[[#This Row],[WIDTH (mm)]])/1000*2*MBQ[[#This Row],[QTY TOTAL]]</f>
        <v>4.4000000000000004</v>
      </c>
      <c r="U97" s="266">
        <f>MBQ[[#This Row],[MULTIPLIER]]*MBQ[[#This Row],[QTY]]</f>
        <v>1</v>
      </c>
      <c r="V97" s="9">
        <f>MBQ[[#This Row],[HEIGHT (mm)]]/1000*MBQ[[#This Row],[WIDTH (mm)]]/1000*MBQ[[#This Row],[QTY TOTAL]]</f>
        <v>1.2</v>
      </c>
      <c r="W97" s="287">
        <f>ROUNDUP(MBQ[[#This Row],[HEIGHT (mm)]]/450*MBQ[[#This Row],[QTY]]*2,0)+ROUNDUP(MBQ[[#This Row],[WIDTH (mm)]]/450*MBQ[[#This Row],[QTY]]*2,0)</f>
        <v>11</v>
      </c>
    </row>
    <row r="98" spans="1:23" hidden="1">
      <c r="A98" s="258">
        <v>1</v>
      </c>
      <c r="B98" s="276" t="s">
        <v>536</v>
      </c>
      <c r="C98" s="278" t="s">
        <v>534</v>
      </c>
      <c r="D98" s="277" t="s">
        <v>542</v>
      </c>
      <c r="E98" s="277" t="s">
        <v>537</v>
      </c>
      <c r="F98" s="261"/>
      <c r="G98" s="262"/>
      <c r="H98" s="262"/>
      <c r="I98" s="260" t="s">
        <v>442</v>
      </c>
      <c r="J98" s="278" t="s">
        <v>443</v>
      </c>
      <c r="K98" s="285" t="s">
        <v>580</v>
      </c>
      <c r="L98" s="277" t="s">
        <v>540</v>
      </c>
      <c r="M98" s="263"/>
      <c r="N98" s="263"/>
      <c r="O98" s="264">
        <v>1300</v>
      </c>
      <c r="P98" s="264">
        <v>1200</v>
      </c>
      <c r="Q98" s="265">
        <v>1</v>
      </c>
      <c r="R98" s="30">
        <f>MBQ[[#This Row],[HEIGHT (mm)]]*MBQ[[#This Row],[QTY TOTAL]]/1000</f>
        <v>1.3</v>
      </c>
      <c r="S98" s="30">
        <f>MBQ[[#This Row],[WIDTH (mm)]]*MBQ[[#This Row],[QTY TOTAL]]/1000</f>
        <v>1.2</v>
      </c>
      <c r="T98" s="9">
        <f>(MBQ[[#This Row],[HEIGHT (mm)]]+MBQ[[#This Row],[WIDTH (mm)]])/1000*2*MBQ[[#This Row],[QTY TOTAL]]</f>
        <v>5</v>
      </c>
      <c r="U98" s="266">
        <f>MBQ[[#This Row],[MULTIPLIER]]*MBQ[[#This Row],[QTY]]</f>
        <v>1</v>
      </c>
      <c r="V98" s="9">
        <f>MBQ[[#This Row],[HEIGHT (mm)]]/1000*MBQ[[#This Row],[WIDTH (mm)]]/1000*MBQ[[#This Row],[QTY TOTAL]]</f>
        <v>1.56</v>
      </c>
      <c r="W98" s="287">
        <f>ROUNDUP(MBQ[[#This Row],[HEIGHT (mm)]]/450*MBQ[[#This Row],[QTY]]*2,0)+ROUNDUP(MBQ[[#This Row],[WIDTH (mm)]]/450*MBQ[[#This Row],[QTY]]*2,0)</f>
        <v>12</v>
      </c>
    </row>
    <row r="99" spans="1:23" hidden="1">
      <c r="A99" s="258">
        <v>1</v>
      </c>
      <c r="B99" s="276" t="s">
        <v>536</v>
      </c>
      <c r="C99" s="278" t="s">
        <v>534</v>
      </c>
      <c r="D99" s="277" t="s">
        <v>542</v>
      </c>
      <c r="E99" s="277" t="s">
        <v>537</v>
      </c>
      <c r="F99" s="261"/>
      <c r="G99" s="262"/>
      <c r="H99" s="262"/>
      <c r="I99" s="260" t="s">
        <v>442</v>
      </c>
      <c r="J99" s="278" t="s">
        <v>443</v>
      </c>
      <c r="K99" s="285" t="s">
        <v>580</v>
      </c>
      <c r="L99" s="277" t="s">
        <v>541</v>
      </c>
      <c r="M99" s="263"/>
      <c r="N99" s="263"/>
      <c r="O99" s="264">
        <v>1700</v>
      </c>
      <c r="P99" s="264">
        <v>1200</v>
      </c>
      <c r="Q99" s="265">
        <v>1</v>
      </c>
      <c r="R99" s="30">
        <f>MBQ[[#This Row],[HEIGHT (mm)]]*MBQ[[#This Row],[QTY TOTAL]]/1000</f>
        <v>1.7</v>
      </c>
      <c r="S99" s="30">
        <f>MBQ[[#This Row],[WIDTH (mm)]]*MBQ[[#This Row],[QTY TOTAL]]/1000</f>
        <v>1.2</v>
      </c>
      <c r="T99" s="9">
        <f>(MBQ[[#This Row],[HEIGHT (mm)]]+MBQ[[#This Row],[WIDTH (mm)]])/1000*2*MBQ[[#This Row],[QTY TOTAL]]</f>
        <v>5.8</v>
      </c>
      <c r="U99" s="266">
        <f>MBQ[[#This Row],[MULTIPLIER]]*MBQ[[#This Row],[QTY]]</f>
        <v>1</v>
      </c>
      <c r="V99" s="9">
        <f>MBQ[[#This Row],[HEIGHT (mm)]]/1000*MBQ[[#This Row],[WIDTH (mm)]]/1000*MBQ[[#This Row],[QTY TOTAL]]</f>
        <v>2.04</v>
      </c>
      <c r="W99" s="287">
        <f>ROUNDUP(MBQ[[#This Row],[HEIGHT (mm)]]/450*MBQ[[#This Row],[QTY]]*2,0)+ROUNDUP(MBQ[[#This Row],[WIDTH (mm)]]/450*MBQ[[#This Row],[QTY]]*2,0)</f>
        <v>14</v>
      </c>
    </row>
    <row r="100" spans="1:23" hidden="1">
      <c r="A100" s="258">
        <v>1</v>
      </c>
      <c r="B100" s="276" t="s">
        <v>536</v>
      </c>
      <c r="C100" s="278" t="s">
        <v>534</v>
      </c>
      <c r="D100" s="277" t="s">
        <v>542</v>
      </c>
      <c r="E100" s="277" t="s">
        <v>537</v>
      </c>
      <c r="F100" s="261"/>
      <c r="G100" s="262"/>
      <c r="H100" s="262"/>
      <c r="I100" s="260" t="s">
        <v>442</v>
      </c>
      <c r="J100" s="278" t="s">
        <v>443</v>
      </c>
      <c r="K100" s="285" t="s">
        <v>580</v>
      </c>
      <c r="L100" s="277" t="s">
        <v>540</v>
      </c>
      <c r="M100" s="263"/>
      <c r="N100" s="263"/>
      <c r="O100" s="264">
        <v>1000</v>
      </c>
      <c r="P100" s="264">
        <v>1200</v>
      </c>
      <c r="Q100" s="265">
        <v>1</v>
      </c>
      <c r="R100" s="30">
        <f>MBQ[[#This Row],[HEIGHT (mm)]]*MBQ[[#This Row],[QTY TOTAL]]/1000</f>
        <v>1</v>
      </c>
      <c r="S100" s="30">
        <f>MBQ[[#This Row],[WIDTH (mm)]]*MBQ[[#This Row],[QTY TOTAL]]/1000</f>
        <v>1.2</v>
      </c>
      <c r="T100" s="9">
        <f>(MBQ[[#This Row],[HEIGHT (mm)]]+MBQ[[#This Row],[WIDTH (mm)]])/1000*2*MBQ[[#This Row],[QTY TOTAL]]</f>
        <v>4.4000000000000004</v>
      </c>
      <c r="U100" s="266">
        <f>MBQ[[#This Row],[MULTIPLIER]]*MBQ[[#This Row],[QTY]]</f>
        <v>1</v>
      </c>
      <c r="V100" s="9">
        <f>MBQ[[#This Row],[HEIGHT (mm)]]/1000*MBQ[[#This Row],[WIDTH (mm)]]/1000*MBQ[[#This Row],[QTY TOTAL]]</f>
        <v>1.2</v>
      </c>
      <c r="W100" s="287">
        <f>ROUNDUP(MBQ[[#This Row],[HEIGHT (mm)]]/450*MBQ[[#This Row],[QTY]]*2,0)+ROUNDUP(MBQ[[#This Row],[WIDTH (mm)]]/450*MBQ[[#This Row],[QTY]]*2,0)</f>
        <v>11</v>
      </c>
    </row>
    <row r="101" spans="1:23" hidden="1">
      <c r="A101" s="258">
        <v>1</v>
      </c>
      <c r="B101" s="276" t="s">
        <v>536</v>
      </c>
      <c r="C101" s="278" t="s">
        <v>544</v>
      </c>
      <c r="D101" s="277" t="s">
        <v>543</v>
      </c>
      <c r="E101" s="277" t="s">
        <v>537</v>
      </c>
      <c r="F101" s="261"/>
      <c r="G101" s="262"/>
      <c r="H101" s="262"/>
      <c r="I101" s="260" t="s">
        <v>441</v>
      </c>
      <c r="J101" s="263"/>
      <c r="K101" s="285" t="s">
        <v>580</v>
      </c>
      <c r="L101" s="260"/>
      <c r="M101" s="263"/>
      <c r="N101" s="263"/>
      <c r="O101" s="264">
        <v>8000</v>
      </c>
      <c r="P101" s="264">
        <v>600</v>
      </c>
      <c r="Q101" s="265">
        <v>1</v>
      </c>
      <c r="R101" s="30">
        <f>MBQ[[#This Row],[HEIGHT (mm)]]*MBQ[[#This Row],[QTY TOTAL]]/1000</f>
        <v>8</v>
      </c>
      <c r="S101" s="30">
        <f>MBQ[[#This Row],[WIDTH (mm)]]*MBQ[[#This Row],[QTY TOTAL]]/1000</f>
        <v>0.6</v>
      </c>
      <c r="T101" s="9">
        <f>(MBQ[[#This Row],[HEIGHT (mm)]]+MBQ[[#This Row],[WIDTH (mm)]])/1000*2*MBQ[[#This Row],[QTY TOTAL]]</f>
        <v>17.2</v>
      </c>
      <c r="U101" s="266">
        <f>MBQ[[#This Row],[MULTIPLIER]]*MBQ[[#This Row],[QTY]]</f>
        <v>1</v>
      </c>
      <c r="V101" s="9">
        <f>MBQ[[#This Row],[HEIGHT (mm)]]/1000*MBQ[[#This Row],[WIDTH (mm)]]/1000*MBQ[[#This Row],[QTY TOTAL]]</f>
        <v>4.8</v>
      </c>
      <c r="W101" s="287">
        <f>ROUNDUP(MBQ[[#This Row],[HEIGHT (mm)]]/450*MBQ[[#This Row],[QTY]]*2,0)+ROUNDUP(MBQ[[#This Row],[WIDTH (mm)]]/450*MBQ[[#This Row],[QTY]]*2,0)</f>
        <v>39</v>
      </c>
    </row>
    <row r="102" spans="1:23" ht="30">
      <c r="A102" s="258">
        <v>1</v>
      </c>
      <c r="B102" s="286" t="s">
        <v>535</v>
      </c>
      <c r="C102" s="278" t="s">
        <v>544</v>
      </c>
      <c r="D102" s="277" t="s">
        <v>543</v>
      </c>
      <c r="E102" s="277" t="s">
        <v>537</v>
      </c>
      <c r="F102" s="261"/>
      <c r="G102" s="262"/>
      <c r="H102" s="262"/>
      <c r="I102" s="260" t="s">
        <v>439</v>
      </c>
      <c r="J102" s="278" t="s">
        <v>538</v>
      </c>
      <c r="K102" s="285" t="s">
        <v>580</v>
      </c>
      <c r="L102" s="277" t="s">
        <v>539</v>
      </c>
      <c r="M102" s="263"/>
      <c r="N102" s="263"/>
      <c r="O102" s="264">
        <v>4000</v>
      </c>
      <c r="P102" s="264">
        <v>600</v>
      </c>
      <c r="Q102" s="265">
        <v>1</v>
      </c>
      <c r="R102" s="30">
        <f>MBQ[[#This Row],[HEIGHT (mm)]]*MBQ[[#This Row],[QTY TOTAL]]/1000</f>
        <v>4</v>
      </c>
      <c r="S102" s="30">
        <f>MBQ[[#This Row],[WIDTH (mm)]]*MBQ[[#This Row],[QTY TOTAL]]/1000</f>
        <v>0.6</v>
      </c>
      <c r="T102" s="9">
        <f>(MBQ[[#This Row],[HEIGHT (mm)]]+MBQ[[#This Row],[WIDTH (mm)]])/1000*2*MBQ[[#This Row],[QTY TOTAL]]</f>
        <v>9.1999999999999993</v>
      </c>
      <c r="U102" s="266">
        <f>MBQ[[#This Row],[MULTIPLIER]]*MBQ[[#This Row],[QTY]]</f>
        <v>1</v>
      </c>
      <c r="V102" s="9">
        <f>MBQ[[#This Row],[HEIGHT (mm)]]/1000*MBQ[[#This Row],[WIDTH (mm)]]/1000*MBQ[[#This Row],[QTY TOTAL]]</f>
        <v>2.4</v>
      </c>
      <c r="W102" s="287">
        <f>ROUNDUP(MBQ[[#This Row],[HEIGHT (mm)]]/450*MBQ[[#This Row],[QTY]]*2,0)+ROUNDUP(MBQ[[#This Row],[WIDTH (mm)]]/450*MBQ[[#This Row],[QTY]]*2,0)</f>
        <v>21</v>
      </c>
    </row>
    <row r="103" spans="1:23" ht="30">
      <c r="A103" s="258">
        <v>1</v>
      </c>
      <c r="B103" s="276" t="s">
        <v>536</v>
      </c>
      <c r="C103" s="278" t="s">
        <v>544</v>
      </c>
      <c r="D103" s="277" t="s">
        <v>543</v>
      </c>
      <c r="E103" s="277" t="s">
        <v>537</v>
      </c>
      <c r="F103" s="261"/>
      <c r="G103" s="262"/>
      <c r="H103" s="262"/>
      <c r="I103" s="260" t="s">
        <v>439</v>
      </c>
      <c r="J103" s="278" t="s">
        <v>538</v>
      </c>
      <c r="K103" s="285" t="s">
        <v>580</v>
      </c>
      <c r="L103" s="277" t="s">
        <v>539</v>
      </c>
      <c r="M103" s="263"/>
      <c r="N103" s="263"/>
      <c r="O103" s="264">
        <v>4000</v>
      </c>
      <c r="P103" s="264">
        <v>600</v>
      </c>
      <c r="Q103" s="265">
        <v>1</v>
      </c>
      <c r="R103" s="30">
        <f>MBQ[[#This Row],[HEIGHT (mm)]]*MBQ[[#This Row],[QTY TOTAL]]/1000</f>
        <v>4</v>
      </c>
      <c r="S103" s="30">
        <f>MBQ[[#This Row],[WIDTH (mm)]]*MBQ[[#This Row],[QTY TOTAL]]/1000</f>
        <v>0.6</v>
      </c>
      <c r="T103" s="9">
        <f>(MBQ[[#This Row],[HEIGHT (mm)]]+MBQ[[#This Row],[WIDTH (mm)]])/1000*2*MBQ[[#This Row],[QTY TOTAL]]</f>
        <v>9.1999999999999993</v>
      </c>
      <c r="U103" s="266">
        <f>MBQ[[#This Row],[MULTIPLIER]]*MBQ[[#This Row],[QTY]]</f>
        <v>1</v>
      </c>
      <c r="V103" s="9">
        <f>MBQ[[#This Row],[HEIGHT (mm)]]/1000*MBQ[[#This Row],[WIDTH (mm)]]/1000*MBQ[[#This Row],[QTY TOTAL]]</f>
        <v>2.4</v>
      </c>
      <c r="W103" s="287">
        <f>ROUNDUP(MBQ[[#This Row],[HEIGHT (mm)]]/450*MBQ[[#This Row],[QTY]]*2,0)+ROUNDUP(MBQ[[#This Row],[WIDTH (mm)]]/450*MBQ[[#This Row],[QTY]]*2,0)</f>
        <v>21</v>
      </c>
    </row>
    <row r="104" spans="1:23" hidden="1">
      <c r="A104" s="258">
        <v>1</v>
      </c>
      <c r="B104" s="286" t="s">
        <v>535</v>
      </c>
      <c r="C104" s="278" t="s">
        <v>544</v>
      </c>
      <c r="D104" s="277" t="s">
        <v>543</v>
      </c>
      <c r="E104" s="277" t="s">
        <v>537</v>
      </c>
      <c r="F104" s="261"/>
      <c r="G104" s="262"/>
      <c r="H104" s="262"/>
      <c r="I104" s="260" t="s">
        <v>442</v>
      </c>
      <c r="J104" s="278" t="s">
        <v>443</v>
      </c>
      <c r="K104" s="285" t="s">
        <v>580</v>
      </c>
      <c r="L104" s="277" t="s">
        <v>540</v>
      </c>
      <c r="M104" s="263"/>
      <c r="N104" s="263"/>
      <c r="O104" s="264">
        <v>1300</v>
      </c>
      <c r="P104" s="264">
        <v>600</v>
      </c>
      <c r="Q104" s="265">
        <v>1</v>
      </c>
      <c r="R104" s="30">
        <f>MBQ[[#This Row],[HEIGHT (mm)]]*MBQ[[#This Row],[QTY TOTAL]]/1000</f>
        <v>1.3</v>
      </c>
      <c r="S104" s="30">
        <f>MBQ[[#This Row],[WIDTH (mm)]]*MBQ[[#This Row],[QTY TOTAL]]/1000</f>
        <v>0.6</v>
      </c>
      <c r="T104" s="9">
        <f>(MBQ[[#This Row],[HEIGHT (mm)]]+MBQ[[#This Row],[WIDTH (mm)]])/1000*2*MBQ[[#This Row],[QTY TOTAL]]</f>
        <v>3.8</v>
      </c>
      <c r="U104" s="266">
        <f>MBQ[[#This Row],[MULTIPLIER]]*MBQ[[#This Row],[QTY]]</f>
        <v>1</v>
      </c>
      <c r="V104" s="9">
        <f>MBQ[[#This Row],[HEIGHT (mm)]]/1000*MBQ[[#This Row],[WIDTH (mm)]]/1000*MBQ[[#This Row],[QTY TOTAL]]</f>
        <v>0.78</v>
      </c>
      <c r="W104" s="287">
        <f>ROUNDUP(MBQ[[#This Row],[HEIGHT (mm)]]/450*MBQ[[#This Row],[QTY]]*2,0)+ROUNDUP(MBQ[[#This Row],[WIDTH (mm)]]/450*MBQ[[#This Row],[QTY]]*2,0)</f>
        <v>9</v>
      </c>
    </row>
    <row r="105" spans="1:23" hidden="1">
      <c r="A105" s="258">
        <v>1</v>
      </c>
      <c r="B105" s="286" t="s">
        <v>535</v>
      </c>
      <c r="C105" s="278" t="s">
        <v>544</v>
      </c>
      <c r="D105" s="277" t="s">
        <v>543</v>
      </c>
      <c r="E105" s="277" t="s">
        <v>537</v>
      </c>
      <c r="F105" s="261"/>
      <c r="G105" s="262"/>
      <c r="H105" s="262"/>
      <c r="I105" s="260" t="s">
        <v>442</v>
      </c>
      <c r="J105" s="278" t="s">
        <v>443</v>
      </c>
      <c r="K105" s="285" t="s">
        <v>580</v>
      </c>
      <c r="L105" s="277" t="s">
        <v>541</v>
      </c>
      <c r="M105" s="263"/>
      <c r="N105" s="263"/>
      <c r="O105" s="264">
        <v>1700</v>
      </c>
      <c r="P105" s="264">
        <v>600</v>
      </c>
      <c r="Q105" s="265">
        <v>1</v>
      </c>
      <c r="R105" s="30">
        <f>MBQ[[#This Row],[HEIGHT (mm)]]*MBQ[[#This Row],[QTY TOTAL]]/1000</f>
        <v>1.7</v>
      </c>
      <c r="S105" s="30">
        <f>MBQ[[#This Row],[WIDTH (mm)]]*MBQ[[#This Row],[QTY TOTAL]]/1000</f>
        <v>0.6</v>
      </c>
      <c r="T105" s="9">
        <f>(MBQ[[#This Row],[HEIGHT (mm)]]+MBQ[[#This Row],[WIDTH (mm)]])/1000*2*MBQ[[#This Row],[QTY TOTAL]]</f>
        <v>4.5999999999999996</v>
      </c>
      <c r="U105" s="266">
        <f>MBQ[[#This Row],[MULTIPLIER]]*MBQ[[#This Row],[QTY]]</f>
        <v>1</v>
      </c>
      <c r="V105" s="9">
        <f>MBQ[[#This Row],[HEIGHT (mm)]]/1000*MBQ[[#This Row],[WIDTH (mm)]]/1000*MBQ[[#This Row],[QTY TOTAL]]</f>
        <v>1.02</v>
      </c>
      <c r="W105" s="287">
        <f>ROUNDUP(MBQ[[#This Row],[HEIGHT (mm)]]/450*MBQ[[#This Row],[QTY]]*2,0)+ROUNDUP(MBQ[[#This Row],[WIDTH (mm)]]/450*MBQ[[#This Row],[QTY]]*2,0)</f>
        <v>11</v>
      </c>
    </row>
    <row r="106" spans="1:23" hidden="1">
      <c r="A106" s="258">
        <v>1</v>
      </c>
      <c r="B106" s="286" t="s">
        <v>535</v>
      </c>
      <c r="C106" s="278" t="s">
        <v>544</v>
      </c>
      <c r="D106" s="277" t="s">
        <v>543</v>
      </c>
      <c r="E106" s="277" t="s">
        <v>537</v>
      </c>
      <c r="F106" s="261"/>
      <c r="G106" s="262"/>
      <c r="H106" s="262"/>
      <c r="I106" s="260" t="s">
        <v>442</v>
      </c>
      <c r="J106" s="278" t="s">
        <v>443</v>
      </c>
      <c r="K106" s="285" t="s">
        <v>580</v>
      </c>
      <c r="L106" s="277" t="s">
        <v>540</v>
      </c>
      <c r="M106" s="263"/>
      <c r="N106" s="263"/>
      <c r="O106" s="264">
        <v>1000</v>
      </c>
      <c r="P106" s="264">
        <v>600</v>
      </c>
      <c r="Q106" s="265">
        <v>1</v>
      </c>
      <c r="R106" s="30">
        <f>MBQ[[#This Row],[HEIGHT (mm)]]*MBQ[[#This Row],[QTY TOTAL]]/1000</f>
        <v>1</v>
      </c>
      <c r="S106" s="30">
        <f>MBQ[[#This Row],[WIDTH (mm)]]*MBQ[[#This Row],[QTY TOTAL]]/1000</f>
        <v>0.6</v>
      </c>
      <c r="T106" s="9">
        <f>(MBQ[[#This Row],[HEIGHT (mm)]]+MBQ[[#This Row],[WIDTH (mm)]])/1000*2*MBQ[[#This Row],[QTY TOTAL]]</f>
        <v>3.2</v>
      </c>
      <c r="U106" s="266">
        <f>MBQ[[#This Row],[MULTIPLIER]]*MBQ[[#This Row],[QTY]]</f>
        <v>1</v>
      </c>
      <c r="V106" s="9">
        <f>MBQ[[#This Row],[HEIGHT (mm)]]/1000*MBQ[[#This Row],[WIDTH (mm)]]/1000*MBQ[[#This Row],[QTY TOTAL]]</f>
        <v>0.6</v>
      </c>
      <c r="W106" s="287">
        <f>ROUNDUP(MBQ[[#This Row],[HEIGHT (mm)]]/450*MBQ[[#This Row],[QTY]]*2,0)+ROUNDUP(MBQ[[#This Row],[WIDTH (mm)]]/450*MBQ[[#This Row],[QTY]]*2,0)</f>
        <v>8</v>
      </c>
    </row>
    <row r="107" spans="1:23" hidden="1">
      <c r="A107" s="258">
        <v>1</v>
      </c>
      <c r="B107" s="276" t="s">
        <v>536</v>
      </c>
      <c r="C107" s="278" t="s">
        <v>544</v>
      </c>
      <c r="D107" s="277" t="s">
        <v>543</v>
      </c>
      <c r="E107" s="277" t="s">
        <v>537</v>
      </c>
      <c r="F107" s="261"/>
      <c r="G107" s="262"/>
      <c r="H107" s="262"/>
      <c r="I107" s="260" t="s">
        <v>442</v>
      </c>
      <c r="J107" s="278" t="s">
        <v>443</v>
      </c>
      <c r="K107" s="285" t="s">
        <v>580</v>
      </c>
      <c r="L107" s="277" t="s">
        <v>540</v>
      </c>
      <c r="M107" s="263"/>
      <c r="N107" s="263"/>
      <c r="O107" s="264">
        <v>1300</v>
      </c>
      <c r="P107" s="264">
        <v>600</v>
      </c>
      <c r="Q107" s="265">
        <v>1</v>
      </c>
      <c r="R107" s="30">
        <f>MBQ[[#This Row],[HEIGHT (mm)]]*MBQ[[#This Row],[QTY TOTAL]]/1000</f>
        <v>1.3</v>
      </c>
      <c r="S107" s="30">
        <f>MBQ[[#This Row],[WIDTH (mm)]]*MBQ[[#This Row],[QTY TOTAL]]/1000</f>
        <v>0.6</v>
      </c>
      <c r="T107" s="9">
        <f>(MBQ[[#This Row],[HEIGHT (mm)]]+MBQ[[#This Row],[WIDTH (mm)]])/1000*2*MBQ[[#This Row],[QTY TOTAL]]</f>
        <v>3.8</v>
      </c>
      <c r="U107" s="266">
        <f>MBQ[[#This Row],[MULTIPLIER]]*MBQ[[#This Row],[QTY]]</f>
        <v>1</v>
      </c>
      <c r="V107" s="9">
        <f>MBQ[[#This Row],[HEIGHT (mm)]]/1000*MBQ[[#This Row],[WIDTH (mm)]]/1000*MBQ[[#This Row],[QTY TOTAL]]</f>
        <v>0.78</v>
      </c>
      <c r="W107" s="287">
        <f>ROUNDUP(MBQ[[#This Row],[HEIGHT (mm)]]/450*MBQ[[#This Row],[QTY]]*2,0)+ROUNDUP(MBQ[[#This Row],[WIDTH (mm)]]/450*MBQ[[#This Row],[QTY]]*2,0)</f>
        <v>9</v>
      </c>
    </row>
    <row r="108" spans="1:23" hidden="1">
      <c r="A108" s="258">
        <v>1</v>
      </c>
      <c r="B108" s="276" t="s">
        <v>536</v>
      </c>
      <c r="C108" s="278" t="s">
        <v>544</v>
      </c>
      <c r="D108" s="277" t="s">
        <v>543</v>
      </c>
      <c r="E108" s="277" t="s">
        <v>537</v>
      </c>
      <c r="F108" s="261"/>
      <c r="G108" s="262"/>
      <c r="H108" s="262"/>
      <c r="I108" s="260" t="s">
        <v>442</v>
      </c>
      <c r="J108" s="278" t="s">
        <v>443</v>
      </c>
      <c r="K108" s="285" t="s">
        <v>580</v>
      </c>
      <c r="L108" s="277" t="s">
        <v>541</v>
      </c>
      <c r="M108" s="263"/>
      <c r="N108" s="263"/>
      <c r="O108" s="264">
        <v>1700</v>
      </c>
      <c r="P108" s="264">
        <v>600</v>
      </c>
      <c r="Q108" s="265">
        <v>1</v>
      </c>
      <c r="R108" s="30">
        <f>MBQ[[#This Row],[HEIGHT (mm)]]*MBQ[[#This Row],[QTY TOTAL]]/1000</f>
        <v>1.7</v>
      </c>
      <c r="S108" s="30">
        <f>MBQ[[#This Row],[WIDTH (mm)]]*MBQ[[#This Row],[QTY TOTAL]]/1000</f>
        <v>0.6</v>
      </c>
      <c r="T108" s="9">
        <f>(MBQ[[#This Row],[HEIGHT (mm)]]+MBQ[[#This Row],[WIDTH (mm)]])/1000*2*MBQ[[#This Row],[QTY TOTAL]]</f>
        <v>4.5999999999999996</v>
      </c>
      <c r="U108" s="266">
        <f>MBQ[[#This Row],[MULTIPLIER]]*MBQ[[#This Row],[QTY]]</f>
        <v>1</v>
      </c>
      <c r="V108" s="9">
        <f>MBQ[[#This Row],[HEIGHT (mm)]]/1000*MBQ[[#This Row],[WIDTH (mm)]]/1000*MBQ[[#This Row],[QTY TOTAL]]</f>
        <v>1.02</v>
      </c>
      <c r="W108" s="287">
        <f>ROUNDUP(MBQ[[#This Row],[HEIGHT (mm)]]/450*MBQ[[#This Row],[QTY]]*2,0)+ROUNDUP(MBQ[[#This Row],[WIDTH (mm)]]/450*MBQ[[#This Row],[QTY]]*2,0)</f>
        <v>11</v>
      </c>
    </row>
    <row r="109" spans="1:23" hidden="1">
      <c r="A109" s="258">
        <v>1</v>
      </c>
      <c r="B109" s="276" t="s">
        <v>536</v>
      </c>
      <c r="C109" s="278" t="s">
        <v>544</v>
      </c>
      <c r="D109" s="277" t="s">
        <v>543</v>
      </c>
      <c r="E109" s="277" t="s">
        <v>537</v>
      </c>
      <c r="F109" s="261"/>
      <c r="G109" s="262"/>
      <c r="H109" s="262"/>
      <c r="I109" s="260" t="s">
        <v>442</v>
      </c>
      <c r="J109" s="278" t="s">
        <v>443</v>
      </c>
      <c r="K109" s="285" t="s">
        <v>580</v>
      </c>
      <c r="L109" s="277" t="s">
        <v>540</v>
      </c>
      <c r="M109" s="263"/>
      <c r="N109" s="263"/>
      <c r="O109" s="264">
        <v>1000</v>
      </c>
      <c r="P109" s="264">
        <v>600</v>
      </c>
      <c r="Q109" s="265">
        <v>1</v>
      </c>
      <c r="R109" s="30">
        <f>MBQ[[#This Row],[HEIGHT (mm)]]*MBQ[[#This Row],[QTY TOTAL]]/1000</f>
        <v>1</v>
      </c>
      <c r="S109" s="30">
        <f>MBQ[[#This Row],[WIDTH (mm)]]*MBQ[[#This Row],[QTY TOTAL]]/1000</f>
        <v>0.6</v>
      </c>
      <c r="T109" s="9">
        <f>(MBQ[[#This Row],[HEIGHT (mm)]]+MBQ[[#This Row],[WIDTH (mm)]])/1000*2*MBQ[[#This Row],[QTY TOTAL]]</f>
        <v>3.2</v>
      </c>
      <c r="U109" s="266">
        <f>MBQ[[#This Row],[MULTIPLIER]]*MBQ[[#This Row],[QTY]]</f>
        <v>1</v>
      </c>
      <c r="V109" s="9">
        <f>MBQ[[#This Row],[HEIGHT (mm)]]/1000*MBQ[[#This Row],[WIDTH (mm)]]/1000*MBQ[[#This Row],[QTY TOTAL]]</f>
        <v>0.6</v>
      </c>
      <c r="W109" s="287">
        <f>ROUNDUP(MBQ[[#This Row],[HEIGHT (mm)]]/450*MBQ[[#This Row],[QTY]]*2,0)+ROUNDUP(MBQ[[#This Row],[WIDTH (mm)]]/450*MBQ[[#This Row],[QTY]]*2,0)</f>
        <v>8</v>
      </c>
    </row>
    <row r="110" spans="1:23" hidden="1">
      <c r="A110" s="258">
        <v>1</v>
      </c>
      <c r="B110" s="276" t="s">
        <v>536</v>
      </c>
      <c r="C110" s="278" t="s">
        <v>544</v>
      </c>
      <c r="D110" s="277" t="s">
        <v>546</v>
      </c>
      <c r="E110" s="277" t="s">
        <v>537</v>
      </c>
      <c r="F110" s="261"/>
      <c r="G110" s="262"/>
      <c r="H110" s="262"/>
      <c r="I110" s="260" t="s">
        <v>441</v>
      </c>
      <c r="J110" s="263"/>
      <c r="K110" s="285" t="s">
        <v>580</v>
      </c>
      <c r="L110" s="260"/>
      <c r="M110" s="263"/>
      <c r="N110" s="263"/>
      <c r="O110" s="264">
        <v>8000</v>
      </c>
      <c r="P110" s="264">
        <v>6000</v>
      </c>
      <c r="Q110" s="265">
        <v>1</v>
      </c>
      <c r="R110" s="30">
        <f>MBQ[[#This Row],[HEIGHT (mm)]]*MBQ[[#This Row],[QTY TOTAL]]/1000</f>
        <v>8</v>
      </c>
      <c r="S110" s="30">
        <f>MBQ[[#This Row],[WIDTH (mm)]]*MBQ[[#This Row],[QTY TOTAL]]/1000</f>
        <v>6</v>
      </c>
      <c r="T110" s="9">
        <f>(MBQ[[#This Row],[HEIGHT (mm)]]+MBQ[[#This Row],[WIDTH (mm)]])/1000*2*MBQ[[#This Row],[QTY TOTAL]]</f>
        <v>28</v>
      </c>
      <c r="U110" s="266">
        <f>MBQ[[#This Row],[MULTIPLIER]]*MBQ[[#This Row],[QTY]]</f>
        <v>1</v>
      </c>
      <c r="V110" s="9">
        <f>MBQ[[#This Row],[HEIGHT (mm)]]/1000*MBQ[[#This Row],[WIDTH (mm)]]/1000*MBQ[[#This Row],[QTY TOTAL]]</f>
        <v>48</v>
      </c>
      <c r="W110" s="287">
        <f>ROUNDUP(MBQ[[#This Row],[HEIGHT (mm)]]/450*MBQ[[#This Row],[QTY]]*2,0)+ROUNDUP(MBQ[[#This Row],[WIDTH (mm)]]/450*MBQ[[#This Row],[QTY]]*2,0)</f>
        <v>63</v>
      </c>
    </row>
    <row r="111" spans="1:23" ht="30">
      <c r="A111" s="258">
        <v>1</v>
      </c>
      <c r="B111" s="286" t="s">
        <v>535</v>
      </c>
      <c r="C111" s="278" t="s">
        <v>544</v>
      </c>
      <c r="D111" s="277" t="s">
        <v>546</v>
      </c>
      <c r="E111" s="277" t="s">
        <v>537</v>
      </c>
      <c r="F111" s="261"/>
      <c r="G111" s="262"/>
      <c r="H111" s="262"/>
      <c r="I111" s="260" t="s">
        <v>439</v>
      </c>
      <c r="J111" s="278" t="s">
        <v>538</v>
      </c>
      <c r="K111" s="285" t="s">
        <v>580</v>
      </c>
      <c r="L111" s="277" t="s">
        <v>539</v>
      </c>
      <c r="M111" s="263"/>
      <c r="N111" s="263"/>
      <c r="O111" s="264">
        <v>4000</v>
      </c>
      <c r="P111" s="264">
        <v>1200</v>
      </c>
      <c r="Q111" s="265">
        <v>1</v>
      </c>
      <c r="R111" s="30">
        <f>MBQ[[#This Row],[HEIGHT (mm)]]*MBQ[[#This Row],[QTY TOTAL]]/1000</f>
        <v>4</v>
      </c>
      <c r="S111" s="30">
        <f>MBQ[[#This Row],[WIDTH (mm)]]*MBQ[[#This Row],[QTY TOTAL]]/1000</f>
        <v>1.2</v>
      </c>
      <c r="T111" s="9">
        <f>(MBQ[[#This Row],[HEIGHT (mm)]]+MBQ[[#This Row],[WIDTH (mm)]])/1000*2*MBQ[[#This Row],[QTY TOTAL]]</f>
        <v>10.4</v>
      </c>
      <c r="U111" s="266">
        <f>MBQ[[#This Row],[MULTIPLIER]]*MBQ[[#This Row],[QTY]]</f>
        <v>1</v>
      </c>
      <c r="V111" s="9">
        <f>MBQ[[#This Row],[HEIGHT (mm)]]/1000*MBQ[[#This Row],[WIDTH (mm)]]/1000*MBQ[[#This Row],[QTY TOTAL]]</f>
        <v>4.8</v>
      </c>
      <c r="W111" s="287">
        <f>ROUNDUP(MBQ[[#This Row],[HEIGHT (mm)]]/450*MBQ[[#This Row],[QTY]]*2,0)+ROUNDUP(MBQ[[#This Row],[WIDTH (mm)]]/450*MBQ[[#This Row],[QTY]]*2,0)</f>
        <v>24</v>
      </c>
    </row>
    <row r="112" spans="1:23" ht="30">
      <c r="A112" s="258">
        <v>1</v>
      </c>
      <c r="B112" s="286" t="s">
        <v>535</v>
      </c>
      <c r="C112" s="278" t="s">
        <v>544</v>
      </c>
      <c r="D112" s="277" t="s">
        <v>546</v>
      </c>
      <c r="E112" s="277" t="s">
        <v>537</v>
      </c>
      <c r="F112" s="261"/>
      <c r="G112" s="262"/>
      <c r="H112" s="262"/>
      <c r="I112" s="260" t="s">
        <v>439</v>
      </c>
      <c r="J112" s="278" t="s">
        <v>538</v>
      </c>
      <c r="K112" s="285" t="s">
        <v>580</v>
      </c>
      <c r="L112" s="277" t="s">
        <v>539</v>
      </c>
      <c r="M112" s="263"/>
      <c r="N112" s="263"/>
      <c r="O112" s="264">
        <v>4000</v>
      </c>
      <c r="P112" s="264">
        <v>1200</v>
      </c>
      <c r="Q112" s="265">
        <v>1</v>
      </c>
      <c r="R112" s="30">
        <f>MBQ[[#This Row],[HEIGHT (mm)]]*MBQ[[#This Row],[QTY TOTAL]]/1000</f>
        <v>4</v>
      </c>
      <c r="S112" s="30">
        <f>MBQ[[#This Row],[WIDTH (mm)]]*MBQ[[#This Row],[QTY TOTAL]]/1000</f>
        <v>1.2</v>
      </c>
      <c r="T112" s="9">
        <f>(MBQ[[#This Row],[HEIGHT (mm)]]+MBQ[[#This Row],[WIDTH (mm)]])/1000*2*MBQ[[#This Row],[QTY TOTAL]]</f>
        <v>10.4</v>
      </c>
      <c r="U112" s="266">
        <f>MBQ[[#This Row],[MULTIPLIER]]*MBQ[[#This Row],[QTY]]</f>
        <v>1</v>
      </c>
      <c r="V112" s="9">
        <f>MBQ[[#This Row],[HEIGHT (mm)]]/1000*MBQ[[#This Row],[WIDTH (mm)]]/1000*MBQ[[#This Row],[QTY TOTAL]]</f>
        <v>4.8</v>
      </c>
      <c r="W112" s="287">
        <f>ROUNDUP(MBQ[[#This Row],[HEIGHT (mm)]]/450*MBQ[[#This Row],[QTY]]*2,0)+ROUNDUP(MBQ[[#This Row],[WIDTH (mm)]]/450*MBQ[[#This Row],[QTY]]*2,0)</f>
        <v>24</v>
      </c>
    </row>
    <row r="113" spans="1:23" ht="30">
      <c r="A113" s="258">
        <v>1</v>
      </c>
      <c r="B113" s="286" t="s">
        <v>535</v>
      </c>
      <c r="C113" s="278" t="s">
        <v>544</v>
      </c>
      <c r="D113" s="277" t="s">
        <v>546</v>
      </c>
      <c r="E113" s="277" t="s">
        <v>537</v>
      </c>
      <c r="F113" s="261"/>
      <c r="G113" s="262"/>
      <c r="H113" s="262"/>
      <c r="I113" s="260" t="s">
        <v>439</v>
      </c>
      <c r="J113" s="278" t="s">
        <v>538</v>
      </c>
      <c r="K113" s="285" t="s">
        <v>580</v>
      </c>
      <c r="L113" s="277" t="s">
        <v>539</v>
      </c>
      <c r="M113" s="263"/>
      <c r="N113" s="263"/>
      <c r="O113" s="264">
        <v>4000</v>
      </c>
      <c r="P113" s="264">
        <v>1200</v>
      </c>
      <c r="Q113" s="265">
        <v>1</v>
      </c>
      <c r="R113" s="30">
        <f>MBQ[[#This Row],[HEIGHT (mm)]]*MBQ[[#This Row],[QTY TOTAL]]/1000</f>
        <v>4</v>
      </c>
      <c r="S113" s="30">
        <f>MBQ[[#This Row],[WIDTH (mm)]]*MBQ[[#This Row],[QTY TOTAL]]/1000</f>
        <v>1.2</v>
      </c>
      <c r="T113" s="9">
        <f>(MBQ[[#This Row],[HEIGHT (mm)]]+MBQ[[#This Row],[WIDTH (mm)]])/1000*2*MBQ[[#This Row],[QTY TOTAL]]</f>
        <v>10.4</v>
      </c>
      <c r="U113" s="266">
        <f>MBQ[[#This Row],[MULTIPLIER]]*MBQ[[#This Row],[QTY]]</f>
        <v>1</v>
      </c>
      <c r="V113" s="9">
        <f>MBQ[[#This Row],[HEIGHT (mm)]]/1000*MBQ[[#This Row],[WIDTH (mm)]]/1000*MBQ[[#This Row],[QTY TOTAL]]</f>
        <v>4.8</v>
      </c>
      <c r="W113" s="287">
        <f>ROUNDUP(MBQ[[#This Row],[HEIGHT (mm)]]/450*MBQ[[#This Row],[QTY]]*2,0)+ROUNDUP(MBQ[[#This Row],[WIDTH (mm)]]/450*MBQ[[#This Row],[QTY]]*2,0)</f>
        <v>24</v>
      </c>
    </row>
    <row r="114" spans="1:23" ht="30">
      <c r="A114" s="258">
        <v>1</v>
      </c>
      <c r="B114" s="286" t="s">
        <v>535</v>
      </c>
      <c r="C114" s="278" t="s">
        <v>544</v>
      </c>
      <c r="D114" s="277" t="s">
        <v>546</v>
      </c>
      <c r="E114" s="277" t="s">
        <v>537</v>
      </c>
      <c r="F114" s="261"/>
      <c r="G114" s="262"/>
      <c r="H114" s="262"/>
      <c r="I114" s="260" t="s">
        <v>439</v>
      </c>
      <c r="J114" s="278" t="s">
        <v>538</v>
      </c>
      <c r="K114" s="285" t="s">
        <v>580</v>
      </c>
      <c r="L114" s="277" t="s">
        <v>539</v>
      </c>
      <c r="M114" s="263"/>
      <c r="N114" s="263"/>
      <c r="O114" s="264">
        <v>4000</v>
      </c>
      <c r="P114" s="264">
        <v>1200</v>
      </c>
      <c r="Q114" s="265">
        <v>1</v>
      </c>
      <c r="R114" s="30">
        <f>MBQ[[#This Row],[HEIGHT (mm)]]*MBQ[[#This Row],[QTY TOTAL]]/1000</f>
        <v>4</v>
      </c>
      <c r="S114" s="30">
        <f>MBQ[[#This Row],[WIDTH (mm)]]*MBQ[[#This Row],[QTY TOTAL]]/1000</f>
        <v>1.2</v>
      </c>
      <c r="T114" s="9">
        <f>(MBQ[[#This Row],[HEIGHT (mm)]]+MBQ[[#This Row],[WIDTH (mm)]])/1000*2*MBQ[[#This Row],[QTY TOTAL]]</f>
        <v>10.4</v>
      </c>
      <c r="U114" s="266">
        <f>MBQ[[#This Row],[MULTIPLIER]]*MBQ[[#This Row],[QTY]]</f>
        <v>1</v>
      </c>
      <c r="V114" s="9">
        <f>MBQ[[#This Row],[HEIGHT (mm)]]/1000*MBQ[[#This Row],[WIDTH (mm)]]/1000*MBQ[[#This Row],[QTY TOTAL]]</f>
        <v>4.8</v>
      </c>
      <c r="W114" s="287">
        <f>ROUNDUP(MBQ[[#This Row],[HEIGHT (mm)]]/450*MBQ[[#This Row],[QTY]]*2,0)+ROUNDUP(MBQ[[#This Row],[WIDTH (mm)]]/450*MBQ[[#This Row],[QTY]]*2,0)</f>
        <v>24</v>
      </c>
    </row>
    <row r="115" spans="1:23" ht="30">
      <c r="A115" s="258">
        <v>1</v>
      </c>
      <c r="B115" s="286" t="s">
        <v>535</v>
      </c>
      <c r="C115" s="278" t="s">
        <v>544</v>
      </c>
      <c r="D115" s="277" t="s">
        <v>546</v>
      </c>
      <c r="E115" s="277" t="s">
        <v>537</v>
      </c>
      <c r="F115" s="261"/>
      <c r="G115" s="262"/>
      <c r="H115" s="262"/>
      <c r="I115" s="260" t="s">
        <v>439</v>
      </c>
      <c r="J115" s="278" t="s">
        <v>538</v>
      </c>
      <c r="K115" s="285" t="s">
        <v>580</v>
      </c>
      <c r="L115" s="277" t="s">
        <v>539</v>
      </c>
      <c r="M115" s="263"/>
      <c r="N115" s="263"/>
      <c r="O115" s="264">
        <v>4000</v>
      </c>
      <c r="P115" s="264">
        <v>1200</v>
      </c>
      <c r="Q115" s="265">
        <v>1</v>
      </c>
      <c r="R115" s="30">
        <f>MBQ[[#This Row],[HEIGHT (mm)]]*MBQ[[#This Row],[QTY TOTAL]]/1000</f>
        <v>4</v>
      </c>
      <c r="S115" s="30">
        <f>MBQ[[#This Row],[WIDTH (mm)]]*MBQ[[#This Row],[QTY TOTAL]]/1000</f>
        <v>1.2</v>
      </c>
      <c r="T115" s="9">
        <f>(MBQ[[#This Row],[HEIGHT (mm)]]+MBQ[[#This Row],[WIDTH (mm)]])/1000*2*MBQ[[#This Row],[QTY TOTAL]]</f>
        <v>10.4</v>
      </c>
      <c r="U115" s="266">
        <f>MBQ[[#This Row],[MULTIPLIER]]*MBQ[[#This Row],[QTY]]</f>
        <v>1</v>
      </c>
      <c r="V115" s="9">
        <f>MBQ[[#This Row],[HEIGHT (mm)]]/1000*MBQ[[#This Row],[WIDTH (mm)]]/1000*MBQ[[#This Row],[QTY TOTAL]]</f>
        <v>4.8</v>
      </c>
      <c r="W115" s="287">
        <f>ROUNDUP(MBQ[[#This Row],[HEIGHT (mm)]]/450*MBQ[[#This Row],[QTY]]*2,0)+ROUNDUP(MBQ[[#This Row],[WIDTH (mm)]]/450*MBQ[[#This Row],[QTY]]*2,0)</f>
        <v>24</v>
      </c>
    </row>
    <row r="116" spans="1:23" ht="30">
      <c r="A116" s="258">
        <v>1</v>
      </c>
      <c r="B116" s="276" t="s">
        <v>536</v>
      </c>
      <c r="C116" s="278" t="s">
        <v>544</v>
      </c>
      <c r="D116" s="277" t="s">
        <v>546</v>
      </c>
      <c r="E116" s="277" t="s">
        <v>537</v>
      </c>
      <c r="F116" s="261"/>
      <c r="G116" s="262"/>
      <c r="H116" s="262"/>
      <c r="I116" s="260" t="s">
        <v>439</v>
      </c>
      <c r="J116" s="278" t="s">
        <v>538</v>
      </c>
      <c r="K116" s="285" t="s">
        <v>580</v>
      </c>
      <c r="L116" s="277" t="s">
        <v>539</v>
      </c>
      <c r="M116" s="263"/>
      <c r="N116" s="263"/>
      <c r="O116" s="264">
        <v>4000</v>
      </c>
      <c r="P116" s="264">
        <v>1200</v>
      </c>
      <c r="Q116" s="265">
        <v>1</v>
      </c>
      <c r="R116" s="30">
        <f>MBQ[[#This Row],[HEIGHT (mm)]]*MBQ[[#This Row],[QTY TOTAL]]/1000</f>
        <v>4</v>
      </c>
      <c r="S116" s="30">
        <f>MBQ[[#This Row],[WIDTH (mm)]]*MBQ[[#This Row],[QTY TOTAL]]/1000</f>
        <v>1.2</v>
      </c>
      <c r="T116" s="9">
        <f>(MBQ[[#This Row],[HEIGHT (mm)]]+MBQ[[#This Row],[WIDTH (mm)]])/1000*2*MBQ[[#This Row],[QTY TOTAL]]</f>
        <v>10.4</v>
      </c>
      <c r="U116" s="266">
        <f>MBQ[[#This Row],[MULTIPLIER]]*MBQ[[#This Row],[QTY]]</f>
        <v>1</v>
      </c>
      <c r="V116" s="9">
        <f>MBQ[[#This Row],[HEIGHT (mm)]]/1000*MBQ[[#This Row],[WIDTH (mm)]]/1000*MBQ[[#This Row],[QTY TOTAL]]</f>
        <v>4.8</v>
      </c>
      <c r="W116" s="287">
        <f>ROUNDUP(MBQ[[#This Row],[HEIGHT (mm)]]/450*MBQ[[#This Row],[QTY]]*2,0)+ROUNDUP(MBQ[[#This Row],[WIDTH (mm)]]/450*MBQ[[#This Row],[QTY]]*2,0)</f>
        <v>24</v>
      </c>
    </row>
    <row r="117" spans="1:23" ht="30">
      <c r="A117" s="258">
        <v>1</v>
      </c>
      <c r="B117" s="276" t="s">
        <v>536</v>
      </c>
      <c r="C117" s="278" t="s">
        <v>544</v>
      </c>
      <c r="D117" s="277" t="s">
        <v>546</v>
      </c>
      <c r="E117" s="277" t="s">
        <v>537</v>
      </c>
      <c r="F117" s="261"/>
      <c r="G117" s="262"/>
      <c r="H117" s="262"/>
      <c r="I117" s="260" t="s">
        <v>439</v>
      </c>
      <c r="J117" s="278" t="s">
        <v>538</v>
      </c>
      <c r="K117" s="285" t="s">
        <v>580</v>
      </c>
      <c r="L117" s="277" t="s">
        <v>539</v>
      </c>
      <c r="M117" s="263"/>
      <c r="N117" s="263"/>
      <c r="O117" s="264">
        <v>4000</v>
      </c>
      <c r="P117" s="264">
        <v>1200</v>
      </c>
      <c r="Q117" s="265">
        <v>1</v>
      </c>
      <c r="R117" s="30">
        <f>MBQ[[#This Row],[HEIGHT (mm)]]*MBQ[[#This Row],[QTY TOTAL]]/1000</f>
        <v>4</v>
      </c>
      <c r="S117" s="30">
        <f>MBQ[[#This Row],[WIDTH (mm)]]*MBQ[[#This Row],[QTY TOTAL]]/1000</f>
        <v>1.2</v>
      </c>
      <c r="T117" s="9">
        <f>(MBQ[[#This Row],[HEIGHT (mm)]]+MBQ[[#This Row],[WIDTH (mm)]])/1000*2*MBQ[[#This Row],[QTY TOTAL]]</f>
        <v>10.4</v>
      </c>
      <c r="U117" s="266">
        <f>MBQ[[#This Row],[MULTIPLIER]]*MBQ[[#This Row],[QTY]]</f>
        <v>1</v>
      </c>
      <c r="V117" s="9">
        <f>MBQ[[#This Row],[HEIGHT (mm)]]/1000*MBQ[[#This Row],[WIDTH (mm)]]/1000*MBQ[[#This Row],[QTY TOTAL]]</f>
        <v>4.8</v>
      </c>
      <c r="W117" s="287">
        <f>ROUNDUP(MBQ[[#This Row],[HEIGHT (mm)]]/450*MBQ[[#This Row],[QTY]]*2,0)+ROUNDUP(MBQ[[#This Row],[WIDTH (mm)]]/450*MBQ[[#This Row],[QTY]]*2,0)</f>
        <v>24</v>
      </c>
    </row>
    <row r="118" spans="1:23" ht="30">
      <c r="A118" s="258">
        <v>1</v>
      </c>
      <c r="B118" s="276" t="s">
        <v>536</v>
      </c>
      <c r="C118" s="278" t="s">
        <v>544</v>
      </c>
      <c r="D118" s="277" t="s">
        <v>546</v>
      </c>
      <c r="E118" s="277" t="s">
        <v>537</v>
      </c>
      <c r="F118" s="261"/>
      <c r="G118" s="262"/>
      <c r="H118" s="262"/>
      <c r="I118" s="260" t="s">
        <v>439</v>
      </c>
      <c r="J118" s="278" t="s">
        <v>538</v>
      </c>
      <c r="K118" s="285" t="s">
        <v>580</v>
      </c>
      <c r="L118" s="277" t="s">
        <v>539</v>
      </c>
      <c r="M118" s="263"/>
      <c r="N118" s="263"/>
      <c r="O118" s="264">
        <v>4000</v>
      </c>
      <c r="P118" s="264">
        <v>1200</v>
      </c>
      <c r="Q118" s="265">
        <v>1</v>
      </c>
      <c r="R118" s="30">
        <f>MBQ[[#This Row],[HEIGHT (mm)]]*MBQ[[#This Row],[QTY TOTAL]]/1000</f>
        <v>4</v>
      </c>
      <c r="S118" s="30">
        <f>MBQ[[#This Row],[WIDTH (mm)]]*MBQ[[#This Row],[QTY TOTAL]]/1000</f>
        <v>1.2</v>
      </c>
      <c r="T118" s="9">
        <f>(MBQ[[#This Row],[HEIGHT (mm)]]+MBQ[[#This Row],[WIDTH (mm)]])/1000*2*MBQ[[#This Row],[QTY TOTAL]]</f>
        <v>10.4</v>
      </c>
      <c r="U118" s="266">
        <f>MBQ[[#This Row],[MULTIPLIER]]*MBQ[[#This Row],[QTY]]</f>
        <v>1</v>
      </c>
      <c r="V118" s="9">
        <f>MBQ[[#This Row],[HEIGHT (mm)]]/1000*MBQ[[#This Row],[WIDTH (mm)]]/1000*MBQ[[#This Row],[QTY TOTAL]]</f>
        <v>4.8</v>
      </c>
      <c r="W118" s="287">
        <f>ROUNDUP(MBQ[[#This Row],[HEIGHT (mm)]]/450*MBQ[[#This Row],[QTY]]*2,0)+ROUNDUP(MBQ[[#This Row],[WIDTH (mm)]]/450*MBQ[[#This Row],[QTY]]*2,0)</f>
        <v>24</v>
      </c>
    </row>
    <row r="119" spans="1:23" ht="30">
      <c r="A119" s="258">
        <v>1</v>
      </c>
      <c r="B119" s="276" t="s">
        <v>536</v>
      </c>
      <c r="C119" s="278" t="s">
        <v>544</v>
      </c>
      <c r="D119" s="277" t="s">
        <v>546</v>
      </c>
      <c r="E119" s="277" t="s">
        <v>537</v>
      </c>
      <c r="F119" s="261"/>
      <c r="G119" s="262"/>
      <c r="H119" s="262"/>
      <c r="I119" s="260" t="s">
        <v>439</v>
      </c>
      <c r="J119" s="278" t="s">
        <v>538</v>
      </c>
      <c r="K119" s="285" t="s">
        <v>580</v>
      </c>
      <c r="L119" s="277" t="s">
        <v>539</v>
      </c>
      <c r="M119" s="263"/>
      <c r="N119" s="263"/>
      <c r="O119" s="264">
        <v>4000</v>
      </c>
      <c r="P119" s="264">
        <v>1200</v>
      </c>
      <c r="Q119" s="265">
        <v>1</v>
      </c>
      <c r="R119" s="30">
        <f>MBQ[[#This Row],[HEIGHT (mm)]]*MBQ[[#This Row],[QTY TOTAL]]/1000</f>
        <v>4</v>
      </c>
      <c r="S119" s="30">
        <f>MBQ[[#This Row],[WIDTH (mm)]]*MBQ[[#This Row],[QTY TOTAL]]/1000</f>
        <v>1.2</v>
      </c>
      <c r="T119" s="9">
        <f>(MBQ[[#This Row],[HEIGHT (mm)]]+MBQ[[#This Row],[WIDTH (mm)]])/1000*2*MBQ[[#This Row],[QTY TOTAL]]</f>
        <v>10.4</v>
      </c>
      <c r="U119" s="266">
        <f>MBQ[[#This Row],[MULTIPLIER]]*MBQ[[#This Row],[QTY]]</f>
        <v>1</v>
      </c>
      <c r="V119" s="9">
        <f>MBQ[[#This Row],[HEIGHT (mm)]]/1000*MBQ[[#This Row],[WIDTH (mm)]]/1000*MBQ[[#This Row],[QTY TOTAL]]</f>
        <v>4.8</v>
      </c>
      <c r="W119" s="287">
        <f>ROUNDUP(MBQ[[#This Row],[HEIGHT (mm)]]/450*MBQ[[#This Row],[QTY]]*2,0)+ROUNDUP(MBQ[[#This Row],[WIDTH (mm)]]/450*MBQ[[#This Row],[QTY]]*2,0)</f>
        <v>24</v>
      </c>
    </row>
    <row r="120" spans="1:23" ht="30">
      <c r="A120" s="258">
        <v>1</v>
      </c>
      <c r="B120" s="276" t="s">
        <v>536</v>
      </c>
      <c r="C120" s="278" t="s">
        <v>544</v>
      </c>
      <c r="D120" s="277" t="s">
        <v>546</v>
      </c>
      <c r="E120" s="277" t="s">
        <v>537</v>
      </c>
      <c r="F120" s="261"/>
      <c r="G120" s="262"/>
      <c r="H120" s="262"/>
      <c r="I120" s="260" t="s">
        <v>439</v>
      </c>
      <c r="J120" s="278" t="s">
        <v>538</v>
      </c>
      <c r="K120" s="285" t="s">
        <v>580</v>
      </c>
      <c r="L120" s="277" t="s">
        <v>539</v>
      </c>
      <c r="M120" s="263"/>
      <c r="N120" s="263"/>
      <c r="O120" s="264">
        <v>4000</v>
      </c>
      <c r="P120" s="264">
        <v>1200</v>
      </c>
      <c r="Q120" s="265">
        <v>1</v>
      </c>
      <c r="R120" s="30">
        <f>MBQ[[#This Row],[HEIGHT (mm)]]*MBQ[[#This Row],[QTY TOTAL]]/1000</f>
        <v>4</v>
      </c>
      <c r="S120" s="30">
        <f>MBQ[[#This Row],[WIDTH (mm)]]*MBQ[[#This Row],[QTY TOTAL]]/1000</f>
        <v>1.2</v>
      </c>
      <c r="T120" s="9">
        <f>(MBQ[[#This Row],[HEIGHT (mm)]]+MBQ[[#This Row],[WIDTH (mm)]])/1000*2*MBQ[[#This Row],[QTY TOTAL]]</f>
        <v>10.4</v>
      </c>
      <c r="U120" s="266">
        <f>MBQ[[#This Row],[MULTIPLIER]]*MBQ[[#This Row],[QTY]]</f>
        <v>1</v>
      </c>
      <c r="V120" s="9">
        <f>MBQ[[#This Row],[HEIGHT (mm)]]/1000*MBQ[[#This Row],[WIDTH (mm)]]/1000*MBQ[[#This Row],[QTY TOTAL]]</f>
        <v>4.8</v>
      </c>
      <c r="W120" s="287">
        <f>ROUNDUP(MBQ[[#This Row],[HEIGHT (mm)]]/450*MBQ[[#This Row],[QTY]]*2,0)+ROUNDUP(MBQ[[#This Row],[WIDTH (mm)]]/450*MBQ[[#This Row],[QTY]]*2,0)</f>
        <v>24</v>
      </c>
    </row>
    <row r="121" spans="1:23" hidden="1">
      <c r="A121" s="258">
        <v>1</v>
      </c>
      <c r="B121" s="286" t="s">
        <v>535</v>
      </c>
      <c r="C121" s="278" t="s">
        <v>544</v>
      </c>
      <c r="D121" s="277" t="s">
        <v>546</v>
      </c>
      <c r="E121" s="277" t="s">
        <v>537</v>
      </c>
      <c r="F121" s="261"/>
      <c r="G121" s="262"/>
      <c r="H121" s="262"/>
      <c r="I121" s="260" t="s">
        <v>442</v>
      </c>
      <c r="J121" s="278" t="s">
        <v>443</v>
      </c>
      <c r="K121" s="285" t="s">
        <v>580</v>
      </c>
      <c r="L121" s="277" t="s">
        <v>540</v>
      </c>
      <c r="M121" s="263"/>
      <c r="N121" s="263"/>
      <c r="O121" s="264">
        <v>1300</v>
      </c>
      <c r="P121" s="264">
        <v>1200</v>
      </c>
      <c r="Q121" s="265">
        <v>1</v>
      </c>
      <c r="R121" s="30">
        <f>MBQ[[#This Row],[HEIGHT (mm)]]*MBQ[[#This Row],[QTY TOTAL]]/1000</f>
        <v>1.3</v>
      </c>
      <c r="S121" s="30">
        <f>MBQ[[#This Row],[WIDTH (mm)]]*MBQ[[#This Row],[QTY TOTAL]]/1000</f>
        <v>1.2</v>
      </c>
      <c r="T121" s="9">
        <f>(MBQ[[#This Row],[HEIGHT (mm)]]+MBQ[[#This Row],[WIDTH (mm)]])/1000*2*MBQ[[#This Row],[QTY TOTAL]]</f>
        <v>5</v>
      </c>
      <c r="U121" s="266">
        <f>MBQ[[#This Row],[MULTIPLIER]]*MBQ[[#This Row],[QTY]]</f>
        <v>1</v>
      </c>
      <c r="V121" s="9">
        <f>MBQ[[#This Row],[HEIGHT (mm)]]/1000*MBQ[[#This Row],[WIDTH (mm)]]/1000*MBQ[[#This Row],[QTY TOTAL]]</f>
        <v>1.56</v>
      </c>
      <c r="W121" s="287">
        <f>ROUNDUP(MBQ[[#This Row],[HEIGHT (mm)]]/450*MBQ[[#This Row],[QTY]]*2,0)+ROUNDUP(MBQ[[#This Row],[WIDTH (mm)]]/450*MBQ[[#This Row],[QTY]]*2,0)</f>
        <v>12</v>
      </c>
    </row>
    <row r="122" spans="1:23" hidden="1">
      <c r="A122" s="258">
        <v>1</v>
      </c>
      <c r="B122" s="286" t="s">
        <v>535</v>
      </c>
      <c r="C122" s="278" t="s">
        <v>544</v>
      </c>
      <c r="D122" s="277" t="s">
        <v>546</v>
      </c>
      <c r="E122" s="277" t="s">
        <v>537</v>
      </c>
      <c r="F122" s="261"/>
      <c r="G122" s="262"/>
      <c r="H122" s="262"/>
      <c r="I122" s="260" t="s">
        <v>442</v>
      </c>
      <c r="J122" s="278" t="s">
        <v>443</v>
      </c>
      <c r="K122" s="285" t="s">
        <v>580</v>
      </c>
      <c r="L122" s="277" t="s">
        <v>541</v>
      </c>
      <c r="M122" s="263"/>
      <c r="N122" s="263"/>
      <c r="O122" s="264">
        <v>1700</v>
      </c>
      <c r="P122" s="264">
        <v>1200</v>
      </c>
      <c r="Q122" s="265">
        <v>1</v>
      </c>
      <c r="R122" s="30">
        <f>MBQ[[#This Row],[HEIGHT (mm)]]*MBQ[[#This Row],[QTY TOTAL]]/1000</f>
        <v>1.7</v>
      </c>
      <c r="S122" s="30">
        <f>MBQ[[#This Row],[WIDTH (mm)]]*MBQ[[#This Row],[QTY TOTAL]]/1000</f>
        <v>1.2</v>
      </c>
      <c r="T122" s="9">
        <f>(MBQ[[#This Row],[HEIGHT (mm)]]+MBQ[[#This Row],[WIDTH (mm)]])/1000*2*MBQ[[#This Row],[QTY TOTAL]]</f>
        <v>5.8</v>
      </c>
      <c r="U122" s="266">
        <f>MBQ[[#This Row],[MULTIPLIER]]*MBQ[[#This Row],[QTY]]</f>
        <v>1</v>
      </c>
      <c r="V122" s="9">
        <f>MBQ[[#This Row],[HEIGHT (mm)]]/1000*MBQ[[#This Row],[WIDTH (mm)]]/1000*MBQ[[#This Row],[QTY TOTAL]]</f>
        <v>2.04</v>
      </c>
      <c r="W122" s="287">
        <f>ROUNDUP(MBQ[[#This Row],[HEIGHT (mm)]]/450*MBQ[[#This Row],[QTY]]*2,0)+ROUNDUP(MBQ[[#This Row],[WIDTH (mm)]]/450*MBQ[[#This Row],[QTY]]*2,0)</f>
        <v>14</v>
      </c>
    </row>
    <row r="123" spans="1:23" hidden="1">
      <c r="A123" s="258">
        <v>1</v>
      </c>
      <c r="B123" s="286" t="s">
        <v>535</v>
      </c>
      <c r="C123" s="278" t="s">
        <v>544</v>
      </c>
      <c r="D123" s="277" t="s">
        <v>546</v>
      </c>
      <c r="E123" s="277" t="s">
        <v>537</v>
      </c>
      <c r="F123" s="261"/>
      <c r="G123" s="262"/>
      <c r="H123" s="262"/>
      <c r="I123" s="260" t="s">
        <v>442</v>
      </c>
      <c r="J123" s="278" t="s">
        <v>443</v>
      </c>
      <c r="K123" s="285" t="s">
        <v>580</v>
      </c>
      <c r="L123" s="277" t="s">
        <v>540</v>
      </c>
      <c r="M123" s="263"/>
      <c r="N123" s="263"/>
      <c r="O123" s="264">
        <v>1000</v>
      </c>
      <c r="P123" s="264">
        <v>1200</v>
      </c>
      <c r="Q123" s="265">
        <v>1</v>
      </c>
      <c r="R123" s="30">
        <f>MBQ[[#This Row],[HEIGHT (mm)]]*MBQ[[#This Row],[QTY TOTAL]]/1000</f>
        <v>1</v>
      </c>
      <c r="S123" s="30">
        <f>MBQ[[#This Row],[WIDTH (mm)]]*MBQ[[#This Row],[QTY TOTAL]]/1000</f>
        <v>1.2</v>
      </c>
      <c r="T123" s="9">
        <f>(MBQ[[#This Row],[HEIGHT (mm)]]+MBQ[[#This Row],[WIDTH (mm)]])/1000*2*MBQ[[#This Row],[QTY TOTAL]]</f>
        <v>4.4000000000000004</v>
      </c>
      <c r="U123" s="266">
        <f>MBQ[[#This Row],[MULTIPLIER]]*MBQ[[#This Row],[QTY]]</f>
        <v>1</v>
      </c>
      <c r="V123" s="9">
        <f>MBQ[[#This Row],[HEIGHT (mm)]]/1000*MBQ[[#This Row],[WIDTH (mm)]]/1000*MBQ[[#This Row],[QTY TOTAL]]</f>
        <v>1.2</v>
      </c>
      <c r="W123" s="287">
        <f>ROUNDUP(MBQ[[#This Row],[HEIGHT (mm)]]/450*MBQ[[#This Row],[QTY]]*2,0)+ROUNDUP(MBQ[[#This Row],[WIDTH (mm)]]/450*MBQ[[#This Row],[QTY]]*2,0)</f>
        <v>11</v>
      </c>
    </row>
    <row r="124" spans="1:23" hidden="1">
      <c r="A124" s="258">
        <v>1</v>
      </c>
      <c r="B124" s="286" t="s">
        <v>535</v>
      </c>
      <c r="C124" s="278" t="s">
        <v>544</v>
      </c>
      <c r="D124" s="277" t="s">
        <v>546</v>
      </c>
      <c r="E124" s="277" t="s">
        <v>537</v>
      </c>
      <c r="F124" s="261"/>
      <c r="G124" s="262"/>
      <c r="H124" s="262"/>
      <c r="I124" s="260" t="s">
        <v>442</v>
      </c>
      <c r="J124" s="278" t="s">
        <v>443</v>
      </c>
      <c r="K124" s="285" t="s">
        <v>580</v>
      </c>
      <c r="L124" s="277" t="s">
        <v>540</v>
      </c>
      <c r="M124" s="263"/>
      <c r="N124" s="263"/>
      <c r="O124" s="264">
        <v>1300</v>
      </c>
      <c r="P124" s="264">
        <v>1200</v>
      </c>
      <c r="Q124" s="265">
        <v>1</v>
      </c>
      <c r="R124" s="30">
        <f>MBQ[[#This Row],[HEIGHT (mm)]]*MBQ[[#This Row],[QTY TOTAL]]/1000</f>
        <v>1.3</v>
      </c>
      <c r="S124" s="30">
        <f>MBQ[[#This Row],[WIDTH (mm)]]*MBQ[[#This Row],[QTY TOTAL]]/1000</f>
        <v>1.2</v>
      </c>
      <c r="T124" s="9">
        <f>(MBQ[[#This Row],[HEIGHT (mm)]]+MBQ[[#This Row],[WIDTH (mm)]])/1000*2*MBQ[[#This Row],[QTY TOTAL]]</f>
        <v>5</v>
      </c>
      <c r="U124" s="266">
        <f>MBQ[[#This Row],[MULTIPLIER]]*MBQ[[#This Row],[QTY]]</f>
        <v>1</v>
      </c>
      <c r="V124" s="9">
        <f>MBQ[[#This Row],[HEIGHT (mm)]]/1000*MBQ[[#This Row],[WIDTH (mm)]]/1000*MBQ[[#This Row],[QTY TOTAL]]</f>
        <v>1.56</v>
      </c>
      <c r="W124" s="287">
        <f>ROUNDUP(MBQ[[#This Row],[HEIGHT (mm)]]/450*MBQ[[#This Row],[QTY]]*2,0)+ROUNDUP(MBQ[[#This Row],[WIDTH (mm)]]/450*MBQ[[#This Row],[QTY]]*2,0)</f>
        <v>12</v>
      </c>
    </row>
    <row r="125" spans="1:23" hidden="1">
      <c r="A125" s="258">
        <v>1</v>
      </c>
      <c r="B125" s="286" t="s">
        <v>535</v>
      </c>
      <c r="C125" s="278" t="s">
        <v>544</v>
      </c>
      <c r="D125" s="277" t="s">
        <v>546</v>
      </c>
      <c r="E125" s="277" t="s">
        <v>537</v>
      </c>
      <c r="F125" s="261"/>
      <c r="G125" s="262"/>
      <c r="H125" s="262"/>
      <c r="I125" s="260" t="s">
        <v>442</v>
      </c>
      <c r="J125" s="278" t="s">
        <v>443</v>
      </c>
      <c r="K125" s="285" t="s">
        <v>580</v>
      </c>
      <c r="L125" s="277" t="s">
        <v>541</v>
      </c>
      <c r="M125" s="263"/>
      <c r="N125" s="263"/>
      <c r="O125" s="264">
        <v>1700</v>
      </c>
      <c r="P125" s="264">
        <v>1200</v>
      </c>
      <c r="Q125" s="265">
        <v>1</v>
      </c>
      <c r="R125" s="30">
        <f>MBQ[[#This Row],[HEIGHT (mm)]]*MBQ[[#This Row],[QTY TOTAL]]/1000</f>
        <v>1.7</v>
      </c>
      <c r="S125" s="30">
        <f>MBQ[[#This Row],[WIDTH (mm)]]*MBQ[[#This Row],[QTY TOTAL]]/1000</f>
        <v>1.2</v>
      </c>
      <c r="T125" s="9">
        <f>(MBQ[[#This Row],[HEIGHT (mm)]]+MBQ[[#This Row],[WIDTH (mm)]])/1000*2*MBQ[[#This Row],[QTY TOTAL]]</f>
        <v>5.8</v>
      </c>
      <c r="U125" s="266">
        <f>MBQ[[#This Row],[MULTIPLIER]]*MBQ[[#This Row],[QTY]]</f>
        <v>1</v>
      </c>
      <c r="V125" s="9">
        <f>MBQ[[#This Row],[HEIGHT (mm)]]/1000*MBQ[[#This Row],[WIDTH (mm)]]/1000*MBQ[[#This Row],[QTY TOTAL]]</f>
        <v>2.04</v>
      </c>
      <c r="W125" s="287">
        <f>ROUNDUP(MBQ[[#This Row],[HEIGHT (mm)]]/450*MBQ[[#This Row],[QTY]]*2,0)+ROUNDUP(MBQ[[#This Row],[WIDTH (mm)]]/450*MBQ[[#This Row],[QTY]]*2,0)</f>
        <v>14</v>
      </c>
    </row>
    <row r="126" spans="1:23" hidden="1">
      <c r="A126" s="258">
        <v>1</v>
      </c>
      <c r="B126" s="286" t="s">
        <v>535</v>
      </c>
      <c r="C126" s="278" t="s">
        <v>544</v>
      </c>
      <c r="D126" s="277" t="s">
        <v>546</v>
      </c>
      <c r="E126" s="277" t="s">
        <v>537</v>
      </c>
      <c r="F126" s="261"/>
      <c r="G126" s="262"/>
      <c r="H126" s="262"/>
      <c r="I126" s="260" t="s">
        <v>442</v>
      </c>
      <c r="J126" s="278" t="s">
        <v>443</v>
      </c>
      <c r="K126" s="285" t="s">
        <v>580</v>
      </c>
      <c r="L126" s="277" t="s">
        <v>540</v>
      </c>
      <c r="M126" s="263"/>
      <c r="N126" s="263"/>
      <c r="O126" s="264">
        <v>1000</v>
      </c>
      <c r="P126" s="264">
        <v>1200</v>
      </c>
      <c r="Q126" s="265">
        <v>1</v>
      </c>
      <c r="R126" s="30">
        <f>MBQ[[#This Row],[HEIGHT (mm)]]*MBQ[[#This Row],[QTY TOTAL]]/1000</f>
        <v>1</v>
      </c>
      <c r="S126" s="30">
        <f>MBQ[[#This Row],[WIDTH (mm)]]*MBQ[[#This Row],[QTY TOTAL]]/1000</f>
        <v>1.2</v>
      </c>
      <c r="T126" s="9">
        <f>(MBQ[[#This Row],[HEIGHT (mm)]]+MBQ[[#This Row],[WIDTH (mm)]])/1000*2*MBQ[[#This Row],[QTY TOTAL]]</f>
        <v>4.4000000000000004</v>
      </c>
      <c r="U126" s="266">
        <f>MBQ[[#This Row],[MULTIPLIER]]*MBQ[[#This Row],[QTY]]</f>
        <v>1</v>
      </c>
      <c r="V126" s="9">
        <f>MBQ[[#This Row],[HEIGHT (mm)]]/1000*MBQ[[#This Row],[WIDTH (mm)]]/1000*MBQ[[#This Row],[QTY TOTAL]]</f>
        <v>1.2</v>
      </c>
      <c r="W126" s="287">
        <f>ROUNDUP(MBQ[[#This Row],[HEIGHT (mm)]]/450*MBQ[[#This Row],[QTY]]*2,0)+ROUNDUP(MBQ[[#This Row],[WIDTH (mm)]]/450*MBQ[[#This Row],[QTY]]*2,0)</f>
        <v>11</v>
      </c>
    </row>
    <row r="127" spans="1:23" hidden="1">
      <c r="A127" s="258">
        <v>1</v>
      </c>
      <c r="B127" s="286" t="s">
        <v>535</v>
      </c>
      <c r="C127" s="278" t="s">
        <v>544</v>
      </c>
      <c r="D127" s="277" t="s">
        <v>546</v>
      </c>
      <c r="E127" s="277" t="s">
        <v>537</v>
      </c>
      <c r="F127" s="261"/>
      <c r="G127" s="262"/>
      <c r="H127" s="262"/>
      <c r="I127" s="260" t="s">
        <v>442</v>
      </c>
      <c r="J127" s="278" t="s">
        <v>443</v>
      </c>
      <c r="K127" s="285" t="s">
        <v>580</v>
      </c>
      <c r="L127" s="277" t="s">
        <v>540</v>
      </c>
      <c r="M127" s="263"/>
      <c r="N127" s="263"/>
      <c r="O127" s="264">
        <v>1300</v>
      </c>
      <c r="P127" s="264">
        <v>1200</v>
      </c>
      <c r="Q127" s="265">
        <v>1</v>
      </c>
      <c r="R127" s="30">
        <f>MBQ[[#This Row],[HEIGHT (mm)]]*MBQ[[#This Row],[QTY TOTAL]]/1000</f>
        <v>1.3</v>
      </c>
      <c r="S127" s="30">
        <f>MBQ[[#This Row],[WIDTH (mm)]]*MBQ[[#This Row],[QTY TOTAL]]/1000</f>
        <v>1.2</v>
      </c>
      <c r="T127" s="9">
        <f>(MBQ[[#This Row],[HEIGHT (mm)]]+MBQ[[#This Row],[WIDTH (mm)]])/1000*2*MBQ[[#This Row],[QTY TOTAL]]</f>
        <v>5</v>
      </c>
      <c r="U127" s="266">
        <f>MBQ[[#This Row],[MULTIPLIER]]*MBQ[[#This Row],[QTY]]</f>
        <v>1</v>
      </c>
      <c r="V127" s="9">
        <f>MBQ[[#This Row],[HEIGHT (mm)]]/1000*MBQ[[#This Row],[WIDTH (mm)]]/1000*MBQ[[#This Row],[QTY TOTAL]]</f>
        <v>1.56</v>
      </c>
      <c r="W127" s="287">
        <f>ROUNDUP(MBQ[[#This Row],[HEIGHT (mm)]]/450*MBQ[[#This Row],[QTY]]*2,0)+ROUNDUP(MBQ[[#This Row],[WIDTH (mm)]]/450*MBQ[[#This Row],[QTY]]*2,0)</f>
        <v>12</v>
      </c>
    </row>
    <row r="128" spans="1:23" hidden="1">
      <c r="A128" s="258">
        <v>1</v>
      </c>
      <c r="B128" s="286" t="s">
        <v>535</v>
      </c>
      <c r="C128" s="278" t="s">
        <v>544</v>
      </c>
      <c r="D128" s="277" t="s">
        <v>546</v>
      </c>
      <c r="E128" s="277" t="s">
        <v>537</v>
      </c>
      <c r="F128" s="261"/>
      <c r="G128" s="262"/>
      <c r="H128" s="262"/>
      <c r="I128" s="260" t="s">
        <v>442</v>
      </c>
      <c r="J128" s="278" t="s">
        <v>443</v>
      </c>
      <c r="K128" s="285" t="s">
        <v>580</v>
      </c>
      <c r="L128" s="277" t="s">
        <v>541</v>
      </c>
      <c r="M128" s="263"/>
      <c r="N128" s="263"/>
      <c r="O128" s="264">
        <v>1700</v>
      </c>
      <c r="P128" s="264">
        <v>1200</v>
      </c>
      <c r="Q128" s="265">
        <v>1</v>
      </c>
      <c r="R128" s="30">
        <f>MBQ[[#This Row],[HEIGHT (mm)]]*MBQ[[#This Row],[QTY TOTAL]]/1000</f>
        <v>1.7</v>
      </c>
      <c r="S128" s="30">
        <f>MBQ[[#This Row],[WIDTH (mm)]]*MBQ[[#This Row],[QTY TOTAL]]/1000</f>
        <v>1.2</v>
      </c>
      <c r="T128" s="9">
        <f>(MBQ[[#This Row],[HEIGHT (mm)]]+MBQ[[#This Row],[WIDTH (mm)]])/1000*2*MBQ[[#This Row],[QTY TOTAL]]</f>
        <v>5.8</v>
      </c>
      <c r="U128" s="266">
        <f>MBQ[[#This Row],[MULTIPLIER]]*MBQ[[#This Row],[QTY]]</f>
        <v>1</v>
      </c>
      <c r="V128" s="9">
        <f>MBQ[[#This Row],[HEIGHT (mm)]]/1000*MBQ[[#This Row],[WIDTH (mm)]]/1000*MBQ[[#This Row],[QTY TOTAL]]</f>
        <v>2.04</v>
      </c>
      <c r="W128" s="287">
        <f>ROUNDUP(MBQ[[#This Row],[HEIGHT (mm)]]/450*MBQ[[#This Row],[QTY]]*2,0)+ROUNDUP(MBQ[[#This Row],[WIDTH (mm)]]/450*MBQ[[#This Row],[QTY]]*2,0)</f>
        <v>14</v>
      </c>
    </row>
    <row r="129" spans="1:23" hidden="1">
      <c r="A129" s="258">
        <v>1</v>
      </c>
      <c r="B129" s="286" t="s">
        <v>535</v>
      </c>
      <c r="C129" s="278" t="s">
        <v>544</v>
      </c>
      <c r="D129" s="277" t="s">
        <v>546</v>
      </c>
      <c r="E129" s="277" t="s">
        <v>537</v>
      </c>
      <c r="F129" s="261"/>
      <c r="G129" s="262"/>
      <c r="H129" s="262"/>
      <c r="I129" s="260" t="s">
        <v>442</v>
      </c>
      <c r="J129" s="278" t="s">
        <v>443</v>
      </c>
      <c r="K129" s="285" t="s">
        <v>580</v>
      </c>
      <c r="L129" s="277" t="s">
        <v>540</v>
      </c>
      <c r="M129" s="263"/>
      <c r="N129" s="263"/>
      <c r="O129" s="264">
        <v>1000</v>
      </c>
      <c r="P129" s="264">
        <v>1200</v>
      </c>
      <c r="Q129" s="265">
        <v>1</v>
      </c>
      <c r="R129" s="30">
        <f>MBQ[[#This Row],[HEIGHT (mm)]]*MBQ[[#This Row],[QTY TOTAL]]/1000</f>
        <v>1</v>
      </c>
      <c r="S129" s="30">
        <f>MBQ[[#This Row],[WIDTH (mm)]]*MBQ[[#This Row],[QTY TOTAL]]/1000</f>
        <v>1.2</v>
      </c>
      <c r="T129" s="9">
        <f>(MBQ[[#This Row],[HEIGHT (mm)]]+MBQ[[#This Row],[WIDTH (mm)]])/1000*2*MBQ[[#This Row],[QTY TOTAL]]</f>
        <v>4.4000000000000004</v>
      </c>
      <c r="U129" s="266">
        <f>MBQ[[#This Row],[MULTIPLIER]]*MBQ[[#This Row],[QTY]]</f>
        <v>1</v>
      </c>
      <c r="V129" s="9">
        <f>MBQ[[#This Row],[HEIGHT (mm)]]/1000*MBQ[[#This Row],[WIDTH (mm)]]/1000*MBQ[[#This Row],[QTY TOTAL]]</f>
        <v>1.2</v>
      </c>
      <c r="W129" s="287">
        <f>ROUNDUP(MBQ[[#This Row],[HEIGHT (mm)]]/450*MBQ[[#This Row],[QTY]]*2,0)+ROUNDUP(MBQ[[#This Row],[WIDTH (mm)]]/450*MBQ[[#This Row],[QTY]]*2,0)</f>
        <v>11</v>
      </c>
    </row>
    <row r="130" spans="1:23" hidden="1">
      <c r="A130" s="258">
        <v>1</v>
      </c>
      <c r="B130" s="286" t="s">
        <v>535</v>
      </c>
      <c r="C130" s="278" t="s">
        <v>544</v>
      </c>
      <c r="D130" s="277" t="s">
        <v>546</v>
      </c>
      <c r="E130" s="277" t="s">
        <v>537</v>
      </c>
      <c r="F130" s="261"/>
      <c r="G130" s="262"/>
      <c r="H130" s="262"/>
      <c r="I130" s="260" t="s">
        <v>442</v>
      </c>
      <c r="J130" s="278" t="s">
        <v>443</v>
      </c>
      <c r="K130" s="285" t="s">
        <v>580</v>
      </c>
      <c r="L130" s="277" t="s">
        <v>540</v>
      </c>
      <c r="M130" s="263"/>
      <c r="N130" s="263"/>
      <c r="O130" s="264">
        <v>1300</v>
      </c>
      <c r="P130" s="264">
        <v>1200</v>
      </c>
      <c r="Q130" s="265">
        <v>1</v>
      </c>
      <c r="R130" s="30">
        <f>MBQ[[#This Row],[HEIGHT (mm)]]*MBQ[[#This Row],[QTY TOTAL]]/1000</f>
        <v>1.3</v>
      </c>
      <c r="S130" s="30">
        <f>MBQ[[#This Row],[WIDTH (mm)]]*MBQ[[#This Row],[QTY TOTAL]]/1000</f>
        <v>1.2</v>
      </c>
      <c r="T130" s="9">
        <f>(MBQ[[#This Row],[HEIGHT (mm)]]+MBQ[[#This Row],[WIDTH (mm)]])/1000*2*MBQ[[#This Row],[QTY TOTAL]]</f>
        <v>5</v>
      </c>
      <c r="U130" s="266">
        <f>MBQ[[#This Row],[MULTIPLIER]]*MBQ[[#This Row],[QTY]]</f>
        <v>1</v>
      </c>
      <c r="V130" s="9">
        <f>MBQ[[#This Row],[HEIGHT (mm)]]/1000*MBQ[[#This Row],[WIDTH (mm)]]/1000*MBQ[[#This Row],[QTY TOTAL]]</f>
        <v>1.56</v>
      </c>
      <c r="W130" s="287">
        <f>ROUNDUP(MBQ[[#This Row],[HEIGHT (mm)]]/450*MBQ[[#This Row],[QTY]]*2,0)+ROUNDUP(MBQ[[#This Row],[WIDTH (mm)]]/450*MBQ[[#This Row],[QTY]]*2,0)</f>
        <v>12</v>
      </c>
    </row>
    <row r="131" spans="1:23" hidden="1">
      <c r="A131" s="258">
        <v>1</v>
      </c>
      <c r="B131" s="286" t="s">
        <v>535</v>
      </c>
      <c r="C131" s="278" t="s">
        <v>544</v>
      </c>
      <c r="D131" s="277" t="s">
        <v>546</v>
      </c>
      <c r="E131" s="277" t="s">
        <v>537</v>
      </c>
      <c r="F131" s="261"/>
      <c r="G131" s="262"/>
      <c r="H131" s="262"/>
      <c r="I131" s="260" t="s">
        <v>442</v>
      </c>
      <c r="J131" s="278" t="s">
        <v>443</v>
      </c>
      <c r="K131" s="285" t="s">
        <v>580</v>
      </c>
      <c r="L131" s="277" t="s">
        <v>541</v>
      </c>
      <c r="M131" s="263"/>
      <c r="N131" s="263"/>
      <c r="O131" s="264">
        <v>1700</v>
      </c>
      <c r="P131" s="264">
        <v>1200</v>
      </c>
      <c r="Q131" s="265">
        <v>1</v>
      </c>
      <c r="R131" s="30">
        <f>MBQ[[#This Row],[HEIGHT (mm)]]*MBQ[[#This Row],[QTY TOTAL]]/1000</f>
        <v>1.7</v>
      </c>
      <c r="S131" s="30">
        <f>MBQ[[#This Row],[WIDTH (mm)]]*MBQ[[#This Row],[QTY TOTAL]]/1000</f>
        <v>1.2</v>
      </c>
      <c r="T131" s="9">
        <f>(MBQ[[#This Row],[HEIGHT (mm)]]+MBQ[[#This Row],[WIDTH (mm)]])/1000*2*MBQ[[#This Row],[QTY TOTAL]]</f>
        <v>5.8</v>
      </c>
      <c r="U131" s="266">
        <f>MBQ[[#This Row],[MULTIPLIER]]*MBQ[[#This Row],[QTY]]</f>
        <v>1</v>
      </c>
      <c r="V131" s="9">
        <f>MBQ[[#This Row],[HEIGHT (mm)]]/1000*MBQ[[#This Row],[WIDTH (mm)]]/1000*MBQ[[#This Row],[QTY TOTAL]]</f>
        <v>2.04</v>
      </c>
      <c r="W131" s="287">
        <f>ROUNDUP(MBQ[[#This Row],[HEIGHT (mm)]]/450*MBQ[[#This Row],[QTY]]*2,0)+ROUNDUP(MBQ[[#This Row],[WIDTH (mm)]]/450*MBQ[[#This Row],[QTY]]*2,0)</f>
        <v>14</v>
      </c>
    </row>
    <row r="132" spans="1:23" hidden="1">
      <c r="A132" s="258">
        <v>1</v>
      </c>
      <c r="B132" s="286" t="s">
        <v>535</v>
      </c>
      <c r="C132" s="278" t="s">
        <v>544</v>
      </c>
      <c r="D132" s="277" t="s">
        <v>546</v>
      </c>
      <c r="E132" s="277" t="s">
        <v>537</v>
      </c>
      <c r="F132" s="261"/>
      <c r="G132" s="262"/>
      <c r="H132" s="262"/>
      <c r="I132" s="260" t="s">
        <v>442</v>
      </c>
      <c r="J132" s="278" t="s">
        <v>443</v>
      </c>
      <c r="K132" s="285" t="s">
        <v>580</v>
      </c>
      <c r="L132" s="277" t="s">
        <v>540</v>
      </c>
      <c r="M132" s="263"/>
      <c r="N132" s="263"/>
      <c r="O132" s="264">
        <v>1000</v>
      </c>
      <c r="P132" s="264">
        <v>1200</v>
      </c>
      <c r="Q132" s="265">
        <v>1</v>
      </c>
      <c r="R132" s="30">
        <f>MBQ[[#This Row],[HEIGHT (mm)]]*MBQ[[#This Row],[QTY TOTAL]]/1000</f>
        <v>1</v>
      </c>
      <c r="S132" s="30">
        <f>MBQ[[#This Row],[WIDTH (mm)]]*MBQ[[#This Row],[QTY TOTAL]]/1000</f>
        <v>1.2</v>
      </c>
      <c r="T132" s="9">
        <f>(MBQ[[#This Row],[HEIGHT (mm)]]+MBQ[[#This Row],[WIDTH (mm)]])/1000*2*MBQ[[#This Row],[QTY TOTAL]]</f>
        <v>4.4000000000000004</v>
      </c>
      <c r="U132" s="266">
        <f>MBQ[[#This Row],[MULTIPLIER]]*MBQ[[#This Row],[QTY]]</f>
        <v>1</v>
      </c>
      <c r="V132" s="9">
        <f>MBQ[[#This Row],[HEIGHT (mm)]]/1000*MBQ[[#This Row],[WIDTH (mm)]]/1000*MBQ[[#This Row],[QTY TOTAL]]</f>
        <v>1.2</v>
      </c>
      <c r="W132" s="287">
        <f>ROUNDUP(MBQ[[#This Row],[HEIGHT (mm)]]/450*MBQ[[#This Row],[QTY]]*2,0)+ROUNDUP(MBQ[[#This Row],[WIDTH (mm)]]/450*MBQ[[#This Row],[QTY]]*2,0)</f>
        <v>11</v>
      </c>
    </row>
    <row r="133" spans="1:23" hidden="1">
      <c r="A133" s="258">
        <v>1</v>
      </c>
      <c r="B133" s="286" t="s">
        <v>535</v>
      </c>
      <c r="C133" s="278" t="s">
        <v>544</v>
      </c>
      <c r="D133" s="277" t="s">
        <v>546</v>
      </c>
      <c r="E133" s="277" t="s">
        <v>537</v>
      </c>
      <c r="F133" s="261"/>
      <c r="G133" s="262"/>
      <c r="H133" s="262"/>
      <c r="I133" s="260" t="s">
        <v>442</v>
      </c>
      <c r="J133" s="278" t="s">
        <v>443</v>
      </c>
      <c r="K133" s="285" t="s">
        <v>580</v>
      </c>
      <c r="L133" s="277" t="s">
        <v>540</v>
      </c>
      <c r="M133" s="263"/>
      <c r="N133" s="263"/>
      <c r="O133" s="264">
        <v>1300</v>
      </c>
      <c r="P133" s="264">
        <v>1200</v>
      </c>
      <c r="Q133" s="265">
        <v>1</v>
      </c>
      <c r="R133" s="30">
        <f>MBQ[[#This Row],[HEIGHT (mm)]]*MBQ[[#This Row],[QTY TOTAL]]/1000</f>
        <v>1.3</v>
      </c>
      <c r="S133" s="30">
        <f>MBQ[[#This Row],[WIDTH (mm)]]*MBQ[[#This Row],[QTY TOTAL]]/1000</f>
        <v>1.2</v>
      </c>
      <c r="T133" s="9">
        <f>(MBQ[[#This Row],[HEIGHT (mm)]]+MBQ[[#This Row],[WIDTH (mm)]])/1000*2*MBQ[[#This Row],[QTY TOTAL]]</f>
        <v>5</v>
      </c>
      <c r="U133" s="266">
        <f>MBQ[[#This Row],[MULTIPLIER]]*MBQ[[#This Row],[QTY]]</f>
        <v>1</v>
      </c>
      <c r="V133" s="9">
        <f>MBQ[[#This Row],[HEIGHT (mm)]]/1000*MBQ[[#This Row],[WIDTH (mm)]]/1000*MBQ[[#This Row],[QTY TOTAL]]</f>
        <v>1.56</v>
      </c>
      <c r="W133" s="287">
        <f>ROUNDUP(MBQ[[#This Row],[HEIGHT (mm)]]/450*MBQ[[#This Row],[QTY]]*2,0)+ROUNDUP(MBQ[[#This Row],[WIDTH (mm)]]/450*MBQ[[#This Row],[QTY]]*2,0)</f>
        <v>12</v>
      </c>
    </row>
    <row r="134" spans="1:23" hidden="1">
      <c r="A134" s="258">
        <v>1</v>
      </c>
      <c r="B134" s="286" t="s">
        <v>535</v>
      </c>
      <c r="C134" s="278" t="s">
        <v>544</v>
      </c>
      <c r="D134" s="277" t="s">
        <v>546</v>
      </c>
      <c r="E134" s="277" t="s">
        <v>537</v>
      </c>
      <c r="F134" s="261"/>
      <c r="G134" s="262"/>
      <c r="H134" s="262"/>
      <c r="I134" s="260" t="s">
        <v>442</v>
      </c>
      <c r="J134" s="278" t="s">
        <v>443</v>
      </c>
      <c r="K134" s="285" t="s">
        <v>580</v>
      </c>
      <c r="L134" s="277" t="s">
        <v>541</v>
      </c>
      <c r="M134" s="263"/>
      <c r="N134" s="263"/>
      <c r="O134" s="264">
        <v>1700</v>
      </c>
      <c r="P134" s="264">
        <v>1200</v>
      </c>
      <c r="Q134" s="265">
        <v>1</v>
      </c>
      <c r="R134" s="30">
        <f>MBQ[[#This Row],[HEIGHT (mm)]]*MBQ[[#This Row],[QTY TOTAL]]/1000</f>
        <v>1.7</v>
      </c>
      <c r="S134" s="30">
        <f>MBQ[[#This Row],[WIDTH (mm)]]*MBQ[[#This Row],[QTY TOTAL]]/1000</f>
        <v>1.2</v>
      </c>
      <c r="T134" s="9">
        <f>(MBQ[[#This Row],[HEIGHT (mm)]]+MBQ[[#This Row],[WIDTH (mm)]])/1000*2*MBQ[[#This Row],[QTY TOTAL]]</f>
        <v>5.8</v>
      </c>
      <c r="U134" s="266">
        <f>MBQ[[#This Row],[MULTIPLIER]]*MBQ[[#This Row],[QTY]]</f>
        <v>1</v>
      </c>
      <c r="V134" s="9">
        <f>MBQ[[#This Row],[HEIGHT (mm)]]/1000*MBQ[[#This Row],[WIDTH (mm)]]/1000*MBQ[[#This Row],[QTY TOTAL]]</f>
        <v>2.04</v>
      </c>
      <c r="W134" s="287">
        <f>ROUNDUP(MBQ[[#This Row],[HEIGHT (mm)]]/450*MBQ[[#This Row],[QTY]]*2,0)+ROUNDUP(MBQ[[#This Row],[WIDTH (mm)]]/450*MBQ[[#This Row],[QTY]]*2,0)</f>
        <v>14</v>
      </c>
    </row>
    <row r="135" spans="1:23" hidden="1">
      <c r="A135" s="258">
        <v>1</v>
      </c>
      <c r="B135" s="286" t="s">
        <v>535</v>
      </c>
      <c r="C135" s="278" t="s">
        <v>544</v>
      </c>
      <c r="D135" s="277" t="s">
        <v>546</v>
      </c>
      <c r="E135" s="277" t="s">
        <v>537</v>
      </c>
      <c r="F135" s="261"/>
      <c r="G135" s="262"/>
      <c r="H135" s="262"/>
      <c r="I135" s="260" t="s">
        <v>442</v>
      </c>
      <c r="J135" s="278" t="s">
        <v>443</v>
      </c>
      <c r="K135" s="285" t="s">
        <v>580</v>
      </c>
      <c r="L135" s="277" t="s">
        <v>540</v>
      </c>
      <c r="M135" s="263"/>
      <c r="N135" s="263"/>
      <c r="O135" s="264">
        <v>1000</v>
      </c>
      <c r="P135" s="264">
        <v>1200</v>
      </c>
      <c r="Q135" s="265">
        <v>1</v>
      </c>
      <c r="R135" s="30">
        <f>MBQ[[#This Row],[HEIGHT (mm)]]*MBQ[[#This Row],[QTY TOTAL]]/1000</f>
        <v>1</v>
      </c>
      <c r="S135" s="30">
        <f>MBQ[[#This Row],[WIDTH (mm)]]*MBQ[[#This Row],[QTY TOTAL]]/1000</f>
        <v>1.2</v>
      </c>
      <c r="T135" s="9">
        <f>(MBQ[[#This Row],[HEIGHT (mm)]]+MBQ[[#This Row],[WIDTH (mm)]])/1000*2*MBQ[[#This Row],[QTY TOTAL]]</f>
        <v>4.4000000000000004</v>
      </c>
      <c r="U135" s="266">
        <f>MBQ[[#This Row],[MULTIPLIER]]*MBQ[[#This Row],[QTY]]</f>
        <v>1</v>
      </c>
      <c r="V135" s="9">
        <f>MBQ[[#This Row],[HEIGHT (mm)]]/1000*MBQ[[#This Row],[WIDTH (mm)]]/1000*MBQ[[#This Row],[QTY TOTAL]]</f>
        <v>1.2</v>
      </c>
      <c r="W135" s="287">
        <f>ROUNDUP(MBQ[[#This Row],[HEIGHT (mm)]]/450*MBQ[[#This Row],[QTY]]*2,0)+ROUNDUP(MBQ[[#This Row],[WIDTH (mm)]]/450*MBQ[[#This Row],[QTY]]*2,0)</f>
        <v>11</v>
      </c>
    </row>
    <row r="136" spans="1:23" hidden="1">
      <c r="A136" s="258">
        <v>1</v>
      </c>
      <c r="B136" s="276" t="s">
        <v>536</v>
      </c>
      <c r="C136" s="278" t="s">
        <v>544</v>
      </c>
      <c r="D136" s="277" t="s">
        <v>546</v>
      </c>
      <c r="E136" s="277" t="s">
        <v>537</v>
      </c>
      <c r="F136" s="261"/>
      <c r="G136" s="262"/>
      <c r="H136" s="262"/>
      <c r="I136" s="260" t="s">
        <v>442</v>
      </c>
      <c r="J136" s="278" t="s">
        <v>443</v>
      </c>
      <c r="K136" s="285" t="s">
        <v>580</v>
      </c>
      <c r="L136" s="277" t="s">
        <v>540</v>
      </c>
      <c r="M136" s="263"/>
      <c r="N136" s="263"/>
      <c r="O136" s="264">
        <v>1300</v>
      </c>
      <c r="P136" s="264">
        <v>1200</v>
      </c>
      <c r="Q136" s="265">
        <v>1</v>
      </c>
      <c r="R136" s="30">
        <f>MBQ[[#This Row],[HEIGHT (mm)]]*MBQ[[#This Row],[QTY TOTAL]]/1000</f>
        <v>1.3</v>
      </c>
      <c r="S136" s="30">
        <f>MBQ[[#This Row],[WIDTH (mm)]]*MBQ[[#This Row],[QTY TOTAL]]/1000</f>
        <v>1.2</v>
      </c>
      <c r="T136" s="9">
        <f>(MBQ[[#This Row],[HEIGHT (mm)]]+MBQ[[#This Row],[WIDTH (mm)]])/1000*2*MBQ[[#This Row],[QTY TOTAL]]</f>
        <v>5</v>
      </c>
      <c r="U136" s="266">
        <f>MBQ[[#This Row],[MULTIPLIER]]*MBQ[[#This Row],[QTY]]</f>
        <v>1</v>
      </c>
      <c r="V136" s="9">
        <f>MBQ[[#This Row],[HEIGHT (mm)]]/1000*MBQ[[#This Row],[WIDTH (mm)]]/1000*MBQ[[#This Row],[QTY TOTAL]]</f>
        <v>1.56</v>
      </c>
      <c r="W136" s="287">
        <f>ROUNDUP(MBQ[[#This Row],[HEIGHT (mm)]]/450*MBQ[[#This Row],[QTY]]*2,0)+ROUNDUP(MBQ[[#This Row],[WIDTH (mm)]]/450*MBQ[[#This Row],[QTY]]*2,0)</f>
        <v>12</v>
      </c>
    </row>
    <row r="137" spans="1:23" hidden="1">
      <c r="A137" s="258">
        <v>1</v>
      </c>
      <c r="B137" s="276" t="s">
        <v>536</v>
      </c>
      <c r="C137" s="278" t="s">
        <v>544</v>
      </c>
      <c r="D137" s="277" t="s">
        <v>546</v>
      </c>
      <c r="E137" s="277" t="s">
        <v>537</v>
      </c>
      <c r="F137" s="261"/>
      <c r="G137" s="262"/>
      <c r="H137" s="262"/>
      <c r="I137" s="260" t="s">
        <v>442</v>
      </c>
      <c r="J137" s="278" t="s">
        <v>443</v>
      </c>
      <c r="K137" s="285" t="s">
        <v>580</v>
      </c>
      <c r="L137" s="277" t="s">
        <v>541</v>
      </c>
      <c r="M137" s="263"/>
      <c r="N137" s="263"/>
      <c r="O137" s="264">
        <v>1700</v>
      </c>
      <c r="P137" s="264">
        <v>1200</v>
      </c>
      <c r="Q137" s="265">
        <v>1</v>
      </c>
      <c r="R137" s="30">
        <f>MBQ[[#This Row],[HEIGHT (mm)]]*MBQ[[#This Row],[QTY TOTAL]]/1000</f>
        <v>1.7</v>
      </c>
      <c r="S137" s="30">
        <f>MBQ[[#This Row],[WIDTH (mm)]]*MBQ[[#This Row],[QTY TOTAL]]/1000</f>
        <v>1.2</v>
      </c>
      <c r="T137" s="9">
        <f>(MBQ[[#This Row],[HEIGHT (mm)]]+MBQ[[#This Row],[WIDTH (mm)]])/1000*2*MBQ[[#This Row],[QTY TOTAL]]</f>
        <v>5.8</v>
      </c>
      <c r="U137" s="266">
        <f>MBQ[[#This Row],[MULTIPLIER]]*MBQ[[#This Row],[QTY]]</f>
        <v>1</v>
      </c>
      <c r="V137" s="9">
        <f>MBQ[[#This Row],[HEIGHT (mm)]]/1000*MBQ[[#This Row],[WIDTH (mm)]]/1000*MBQ[[#This Row],[QTY TOTAL]]</f>
        <v>2.04</v>
      </c>
      <c r="W137" s="287">
        <f>ROUNDUP(MBQ[[#This Row],[HEIGHT (mm)]]/450*MBQ[[#This Row],[QTY]]*2,0)+ROUNDUP(MBQ[[#This Row],[WIDTH (mm)]]/450*MBQ[[#This Row],[QTY]]*2,0)</f>
        <v>14</v>
      </c>
    </row>
    <row r="138" spans="1:23" hidden="1">
      <c r="A138" s="258">
        <v>1</v>
      </c>
      <c r="B138" s="276" t="s">
        <v>536</v>
      </c>
      <c r="C138" s="278" t="s">
        <v>544</v>
      </c>
      <c r="D138" s="277" t="s">
        <v>546</v>
      </c>
      <c r="E138" s="277" t="s">
        <v>537</v>
      </c>
      <c r="F138" s="261"/>
      <c r="G138" s="262"/>
      <c r="H138" s="262"/>
      <c r="I138" s="260" t="s">
        <v>442</v>
      </c>
      <c r="J138" s="278" t="s">
        <v>443</v>
      </c>
      <c r="K138" s="285" t="s">
        <v>580</v>
      </c>
      <c r="L138" s="277" t="s">
        <v>540</v>
      </c>
      <c r="M138" s="263"/>
      <c r="N138" s="263"/>
      <c r="O138" s="264">
        <v>1000</v>
      </c>
      <c r="P138" s="264">
        <v>1200</v>
      </c>
      <c r="Q138" s="265">
        <v>1</v>
      </c>
      <c r="R138" s="30">
        <f>MBQ[[#This Row],[HEIGHT (mm)]]*MBQ[[#This Row],[QTY TOTAL]]/1000</f>
        <v>1</v>
      </c>
      <c r="S138" s="30">
        <f>MBQ[[#This Row],[WIDTH (mm)]]*MBQ[[#This Row],[QTY TOTAL]]/1000</f>
        <v>1.2</v>
      </c>
      <c r="T138" s="9">
        <f>(MBQ[[#This Row],[HEIGHT (mm)]]+MBQ[[#This Row],[WIDTH (mm)]])/1000*2*MBQ[[#This Row],[QTY TOTAL]]</f>
        <v>4.4000000000000004</v>
      </c>
      <c r="U138" s="266">
        <f>MBQ[[#This Row],[MULTIPLIER]]*MBQ[[#This Row],[QTY]]</f>
        <v>1</v>
      </c>
      <c r="V138" s="9">
        <f>MBQ[[#This Row],[HEIGHT (mm)]]/1000*MBQ[[#This Row],[WIDTH (mm)]]/1000*MBQ[[#This Row],[QTY TOTAL]]</f>
        <v>1.2</v>
      </c>
      <c r="W138" s="287">
        <f>ROUNDUP(MBQ[[#This Row],[HEIGHT (mm)]]/450*MBQ[[#This Row],[QTY]]*2,0)+ROUNDUP(MBQ[[#This Row],[WIDTH (mm)]]/450*MBQ[[#This Row],[QTY]]*2,0)</f>
        <v>11</v>
      </c>
    </row>
    <row r="139" spans="1:23" hidden="1">
      <c r="A139" s="258">
        <v>1</v>
      </c>
      <c r="B139" s="276" t="s">
        <v>536</v>
      </c>
      <c r="C139" s="278" t="s">
        <v>544</v>
      </c>
      <c r="D139" s="277" t="s">
        <v>546</v>
      </c>
      <c r="E139" s="277" t="s">
        <v>537</v>
      </c>
      <c r="F139" s="261"/>
      <c r="G139" s="262"/>
      <c r="H139" s="262"/>
      <c r="I139" s="260" t="s">
        <v>442</v>
      </c>
      <c r="J139" s="278" t="s">
        <v>443</v>
      </c>
      <c r="K139" s="285" t="s">
        <v>580</v>
      </c>
      <c r="L139" s="277" t="s">
        <v>540</v>
      </c>
      <c r="M139" s="263"/>
      <c r="N139" s="263"/>
      <c r="O139" s="264">
        <v>1300</v>
      </c>
      <c r="P139" s="264">
        <v>1200</v>
      </c>
      <c r="Q139" s="265">
        <v>1</v>
      </c>
      <c r="R139" s="30">
        <f>MBQ[[#This Row],[HEIGHT (mm)]]*MBQ[[#This Row],[QTY TOTAL]]/1000</f>
        <v>1.3</v>
      </c>
      <c r="S139" s="30">
        <f>MBQ[[#This Row],[WIDTH (mm)]]*MBQ[[#This Row],[QTY TOTAL]]/1000</f>
        <v>1.2</v>
      </c>
      <c r="T139" s="9">
        <f>(MBQ[[#This Row],[HEIGHT (mm)]]+MBQ[[#This Row],[WIDTH (mm)]])/1000*2*MBQ[[#This Row],[QTY TOTAL]]</f>
        <v>5</v>
      </c>
      <c r="U139" s="266">
        <f>MBQ[[#This Row],[MULTIPLIER]]*MBQ[[#This Row],[QTY]]</f>
        <v>1</v>
      </c>
      <c r="V139" s="9">
        <f>MBQ[[#This Row],[HEIGHT (mm)]]/1000*MBQ[[#This Row],[WIDTH (mm)]]/1000*MBQ[[#This Row],[QTY TOTAL]]</f>
        <v>1.56</v>
      </c>
      <c r="W139" s="287">
        <f>ROUNDUP(MBQ[[#This Row],[HEIGHT (mm)]]/450*MBQ[[#This Row],[QTY]]*2,0)+ROUNDUP(MBQ[[#This Row],[WIDTH (mm)]]/450*MBQ[[#This Row],[QTY]]*2,0)</f>
        <v>12</v>
      </c>
    </row>
    <row r="140" spans="1:23" hidden="1">
      <c r="A140" s="258">
        <v>1</v>
      </c>
      <c r="B140" s="276" t="s">
        <v>536</v>
      </c>
      <c r="C140" s="278" t="s">
        <v>544</v>
      </c>
      <c r="D140" s="277" t="s">
        <v>546</v>
      </c>
      <c r="E140" s="277" t="s">
        <v>537</v>
      </c>
      <c r="F140" s="261"/>
      <c r="G140" s="262"/>
      <c r="H140" s="262"/>
      <c r="I140" s="260" t="s">
        <v>442</v>
      </c>
      <c r="J140" s="278" t="s">
        <v>443</v>
      </c>
      <c r="K140" s="285" t="s">
        <v>580</v>
      </c>
      <c r="L140" s="277" t="s">
        <v>541</v>
      </c>
      <c r="M140" s="263"/>
      <c r="N140" s="263"/>
      <c r="O140" s="264">
        <v>1700</v>
      </c>
      <c r="P140" s="264">
        <v>1200</v>
      </c>
      <c r="Q140" s="265">
        <v>1</v>
      </c>
      <c r="R140" s="30">
        <f>MBQ[[#This Row],[HEIGHT (mm)]]*MBQ[[#This Row],[QTY TOTAL]]/1000</f>
        <v>1.7</v>
      </c>
      <c r="S140" s="30">
        <f>MBQ[[#This Row],[WIDTH (mm)]]*MBQ[[#This Row],[QTY TOTAL]]/1000</f>
        <v>1.2</v>
      </c>
      <c r="T140" s="9">
        <f>(MBQ[[#This Row],[HEIGHT (mm)]]+MBQ[[#This Row],[WIDTH (mm)]])/1000*2*MBQ[[#This Row],[QTY TOTAL]]</f>
        <v>5.8</v>
      </c>
      <c r="U140" s="266">
        <f>MBQ[[#This Row],[MULTIPLIER]]*MBQ[[#This Row],[QTY]]</f>
        <v>1</v>
      </c>
      <c r="V140" s="9">
        <f>MBQ[[#This Row],[HEIGHT (mm)]]/1000*MBQ[[#This Row],[WIDTH (mm)]]/1000*MBQ[[#This Row],[QTY TOTAL]]</f>
        <v>2.04</v>
      </c>
      <c r="W140" s="287">
        <f>ROUNDUP(MBQ[[#This Row],[HEIGHT (mm)]]/450*MBQ[[#This Row],[QTY]]*2,0)+ROUNDUP(MBQ[[#This Row],[WIDTH (mm)]]/450*MBQ[[#This Row],[QTY]]*2,0)</f>
        <v>14</v>
      </c>
    </row>
    <row r="141" spans="1:23" hidden="1">
      <c r="A141" s="258">
        <v>1</v>
      </c>
      <c r="B141" s="276" t="s">
        <v>536</v>
      </c>
      <c r="C141" s="278" t="s">
        <v>544</v>
      </c>
      <c r="D141" s="277" t="s">
        <v>546</v>
      </c>
      <c r="E141" s="277" t="s">
        <v>537</v>
      </c>
      <c r="F141" s="261"/>
      <c r="G141" s="262"/>
      <c r="H141" s="262"/>
      <c r="I141" s="260" t="s">
        <v>442</v>
      </c>
      <c r="J141" s="278" t="s">
        <v>443</v>
      </c>
      <c r="K141" s="285" t="s">
        <v>580</v>
      </c>
      <c r="L141" s="277" t="s">
        <v>540</v>
      </c>
      <c r="M141" s="263"/>
      <c r="N141" s="263"/>
      <c r="O141" s="264">
        <v>1000</v>
      </c>
      <c r="P141" s="264">
        <v>1200</v>
      </c>
      <c r="Q141" s="265">
        <v>1</v>
      </c>
      <c r="R141" s="30">
        <f>MBQ[[#This Row],[HEIGHT (mm)]]*MBQ[[#This Row],[QTY TOTAL]]/1000</f>
        <v>1</v>
      </c>
      <c r="S141" s="30">
        <f>MBQ[[#This Row],[WIDTH (mm)]]*MBQ[[#This Row],[QTY TOTAL]]/1000</f>
        <v>1.2</v>
      </c>
      <c r="T141" s="9">
        <f>(MBQ[[#This Row],[HEIGHT (mm)]]+MBQ[[#This Row],[WIDTH (mm)]])/1000*2*MBQ[[#This Row],[QTY TOTAL]]</f>
        <v>4.4000000000000004</v>
      </c>
      <c r="U141" s="266">
        <f>MBQ[[#This Row],[MULTIPLIER]]*MBQ[[#This Row],[QTY]]</f>
        <v>1</v>
      </c>
      <c r="V141" s="9">
        <f>MBQ[[#This Row],[HEIGHT (mm)]]/1000*MBQ[[#This Row],[WIDTH (mm)]]/1000*MBQ[[#This Row],[QTY TOTAL]]</f>
        <v>1.2</v>
      </c>
      <c r="W141" s="287">
        <f>ROUNDUP(MBQ[[#This Row],[HEIGHT (mm)]]/450*MBQ[[#This Row],[QTY]]*2,0)+ROUNDUP(MBQ[[#This Row],[WIDTH (mm)]]/450*MBQ[[#This Row],[QTY]]*2,0)</f>
        <v>11</v>
      </c>
    </row>
    <row r="142" spans="1:23" hidden="1">
      <c r="A142" s="258">
        <v>1</v>
      </c>
      <c r="B142" s="276" t="s">
        <v>536</v>
      </c>
      <c r="C142" s="278" t="s">
        <v>544</v>
      </c>
      <c r="D142" s="277" t="s">
        <v>546</v>
      </c>
      <c r="E142" s="277" t="s">
        <v>537</v>
      </c>
      <c r="F142" s="261"/>
      <c r="G142" s="262"/>
      <c r="H142" s="262"/>
      <c r="I142" s="260" t="s">
        <v>442</v>
      </c>
      <c r="J142" s="278" t="s">
        <v>443</v>
      </c>
      <c r="K142" s="285" t="s">
        <v>580</v>
      </c>
      <c r="L142" s="277" t="s">
        <v>540</v>
      </c>
      <c r="M142" s="263"/>
      <c r="N142" s="263"/>
      <c r="O142" s="264">
        <v>1300</v>
      </c>
      <c r="P142" s="264">
        <v>1200</v>
      </c>
      <c r="Q142" s="265">
        <v>1</v>
      </c>
      <c r="R142" s="30">
        <f>MBQ[[#This Row],[HEIGHT (mm)]]*MBQ[[#This Row],[QTY TOTAL]]/1000</f>
        <v>1.3</v>
      </c>
      <c r="S142" s="30">
        <f>MBQ[[#This Row],[WIDTH (mm)]]*MBQ[[#This Row],[QTY TOTAL]]/1000</f>
        <v>1.2</v>
      </c>
      <c r="T142" s="9">
        <f>(MBQ[[#This Row],[HEIGHT (mm)]]+MBQ[[#This Row],[WIDTH (mm)]])/1000*2*MBQ[[#This Row],[QTY TOTAL]]</f>
        <v>5</v>
      </c>
      <c r="U142" s="266">
        <f>MBQ[[#This Row],[MULTIPLIER]]*MBQ[[#This Row],[QTY]]</f>
        <v>1</v>
      </c>
      <c r="V142" s="9">
        <f>MBQ[[#This Row],[HEIGHT (mm)]]/1000*MBQ[[#This Row],[WIDTH (mm)]]/1000*MBQ[[#This Row],[QTY TOTAL]]</f>
        <v>1.56</v>
      </c>
      <c r="W142" s="287">
        <f>ROUNDUP(MBQ[[#This Row],[HEIGHT (mm)]]/450*MBQ[[#This Row],[QTY]]*2,0)+ROUNDUP(MBQ[[#This Row],[WIDTH (mm)]]/450*MBQ[[#This Row],[QTY]]*2,0)</f>
        <v>12</v>
      </c>
    </row>
    <row r="143" spans="1:23" hidden="1">
      <c r="A143" s="258">
        <v>1</v>
      </c>
      <c r="B143" s="276" t="s">
        <v>536</v>
      </c>
      <c r="C143" s="278" t="s">
        <v>544</v>
      </c>
      <c r="D143" s="277" t="s">
        <v>546</v>
      </c>
      <c r="E143" s="277" t="s">
        <v>537</v>
      </c>
      <c r="F143" s="261"/>
      <c r="G143" s="262"/>
      <c r="H143" s="262"/>
      <c r="I143" s="260" t="s">
        <v>442</v>
      </c>
      <c r="J143" s="278" t="s">
        <v>443</v>
      </c>
      <c r="K143" s="285" t="s">
        <v>580</v>
      </c>
      <c r="L143" s="277" t="s">
        <v>541</v>
      </c>
      <c r="M143" s="263"/>
      <c r="N143" s="263"/>
      <c r="O143" s="264">
        <v>1700</v>
      </c>
      <c r="P143" s="264">
        <v>1200</v>
      </c>
      <c r="Q143" s="265">
        <v>1</v>
      </c>
      <c r="R143" s="30">
        <f>MBQ[[#This Row],[HEIGHT (mm)]]*MBQ[[#This Row],[QTY TOTAL]]/1000</f>
        <v>1.7</v>
      </c>
      <c r="S143" s="30">
        <f>MBQ[[#This Row],[WIDTH (mm)]]*MBQ[[#This Row],[QTY TOTAL]]/1000</f>
        <v>1.2</v>
      </c>
      <c r="T143" s="9">
        <f>(MBQ[[#This Row],[HEIGHT (mm)]]+MBQ[[#This Row],[WIDTH (mm)]])/1000*2*MBQ[[#This Row],[QTY TOTAL]]</f>
        <v>5.8</v>
      </c>
      <c r="U143" s="266">
        <f>MBQ[[#This Row],[MULTIPLIER]]*MBQ[[#This Row],[QTY]]</f>
        <v>1</v>
      </c>
      <c r="V143" s="9">
        <f>MBQ[[#This Row],[HEIGHT (mm)]]/1000*MBQ[[#This Row],[WIDTH (mm)]]/1000*MBQ[[#This Row],[QTY TOTAL]]</f>
        <v>2.04</v>
      </c>
      <c r="W143" s="287">
        <f>ROUNDUP(MBQ[[#This Row],[HEIGHT (mm)]]/450*MBQ[[#This Row],[QTY]]*2,0)+ROUNDUP(MBQ[[#This Row],[WIDTH (mm)]]/450*MBQ[[#This Row],[QTY]]*2,0)</f>
        <v>14</v>
      </c>
    </row>
    <row r="144" spans="1:23" hidden="1">
      <c r="A144" s="258">
        <v>1</v>
      </c>
      <c r="B144" s="276" t="s">
        <v>536</v>
      </c>
      <c r="C144" s="278" t="s">
        <v>544</v>
      </c>
      <c r="D144" s="277" t="s">
        <v>546</v>
      </c>
      <c r="E144" s="277" t="s">
        <v>537</v>
      </c>
      <c r="F144" s="261"/>
      <c r="G144" s="262"/>
      <c r="H144" s="262"/>
      <c r="I144" s="260" t="s">
        <v>442</v>
      </c>
      <c r="J144" s="278" t="s">
        <v>443</v>
      </c>
      <c r="K144" s="285" t="s">
        <v>580</v>
      </c>
      <c r="L144" s="277" t="s">
        <v>540</v>
      </c>
      <c r="M144" s="263"/>
      <c r="N144" s="263"/>
      <c r="O144" s="264">
        <v>1000</v>
      </c>
      <c r="P144" s="264">
        <v>1200</v>
      </c>
      <c r="Q144" s="265">
        <v>1</v>
      </c>
      <c r="R144" s="30">
        <f>MBQ[[#This Row],[HEIGHT (mm)]]*MBQ[[#This Row],[QTY TOTAL]]/1000</f>
        <v>1</v>
      </c>
      <c r="S144" s="30">
        <f>MBQ[[#This Row],[WIDTH (mm)]]*MBQ[[#This Row],[QTY TOTAL]]/1000</f>
        <v>1.2</v>
      </c>
      <c r="T144" s="9">
        <f>(MBQ[[#This Row],[HEIGHT (mm)]]+MBQ[[#This Row],[WIDTH (mm)]])/1000*2*MBQ[[#This Row],[QTY TOTAL]]</f>
        <v>4.4000000000000004</v>
      </c>
      <c r="U144" s="266">
        <f>MBQ[[#This Row],[MULTIPLIER]]*MBQ[[#This Row],[QTY]]</f>
        <v>1</v>
      </c>
      <c r="V144" s="9">
        <f>MBQ[[#This Row],[HEIGHT (mm)]]/1000*MBQ[[#This Row],[WIDTH (mm)]]/1000*MBQ[[#This Row],[QTY TOTAL]]</f>
        <v>1.2</v>
      </c>
      <c r="W144" s="287">
        <f>ROUNDUP(MBQ[[#This Row],[HEIGHT (mm)]]/450*MBQ[[#This Row],[QTY]]*2,0)+ROUNDUP(MBQ[[#This Row],[WIDTH (mm)]]/450*MBQ[[#This Row],[QTY]]*2,0)</f>
        <v>11</v>
      </c>
    </row>
    <row r="145" spans="1:23" hidden="1">
      <c r="A145" s="258">
        <v>1</v>
      </c>
      <c r="B145" s="276" t="s">
        <v>536</v>
      </c>
      <c r="C145" s="278" t="s">
        <v>544</v>
      </c>
      <c r="D145" s="277" t="s">
        <v>546</v>
      </c>
      <c r="E145" s="277" t="s">
        <v>537</v>
      </c>
      <c r="F145" s="261"/>
      <c r="G145" s="262"/>
      <c r="H145" s="262"/>
      <c r="I145" s="260" t="s">
        <v>442</v>
      </c>
      <c r="J145" s="278" t="s">
        <v>443</v>
      </c>
      <c r="K145" s="285" t="s">
        <v>580</v>
      </c>
      <c r="L145" s="277" t="s">
        <v>540</v>
      </c>
      <c r="M145" s="263"/>
      <c r="N145" s="263"/>
      <c r="O145" s="264">
        <v>1300</v>
      </c>
      <c r="P145" s="264">
        <v>1200</v>
      </c>
      <c r="Q145" s="265">
        <v>1</v>
      </c>
      <c r="R145" s="30">
        <f>MBQ[[#This Row],[HEIGHT (mm)]]*MBQ[[#This Row],[QTY TOTAL]]/1000</f>
        <v>1.3</v>
      </c>
      <c r="S145" s="30">
        <f>MBQ[[#This Row],[WIDTH (mm)]]*MBQ[[#This Row],[QTY TOTAL]]/1000</f>
        <v>1.2</v>
      </c>
      <c r="T145" s="9">
        <f>(MBQ[[#This Row],[HEIGHT (mm)]]+MBQ[[#This Row],[WIDTH (mm)]])/1000*2*MBQ[[#This Row],[QTY TOTAL]]</f>
        <v>5</v>
      </c>
      <c r="U145" s="266">
        <f>MBQ[[#This Row],[MULTIPLIER]]*MBQ[[#This Row],[QTY]]</f>
        <v>1</v>
      </c>
      <c r="V145" s="9">
        <f>MBQ[[#This Row],[HEIGHT (mm)]]/1000*MBQ[[#This Row],[WIDTH (mm)]]/1000*MBQ[[#This Row],[QTY TOTAL]]</f>
        <v>1.56</v>
      </c>
      <c r="W145" s="287">
        <f>ROUNDUP(MBQ[[#This Row],[HEIGHT (mm)]]/450*MBQ[[#This Row],[QTY]]*2,0)+ROUNDUP(MBQ[[#This Row],[WIDTH (mm)]]/450*MBQ[[#This Row],[QTY]]*2,0)</f>
        <v>12</v>
      </c>
    </row>
    <row r="146" spans="1:23" hidden="1">
      <c r="A146" s="258">
        <v>1</v>
      </c>
      <c r="B146" s="276" t="s">
        <v>536</v>
      </c>
      <c r="C146" s="278" t="s">
        <v>544</v>
      </c>
      <c r="D146" s="277" t="s">
        <v>546</v>
      </c>
      <c r="E146" s="277" t="s">
        <v>537</v>
      </c>
      <c r="F146" s="261"/>
      <c r="G146" s="262"/>
      <c r="H146" s="262"/>
      <c r="I146" s="260" t="s">
        <v>442</v>
      </c>
      <c r="J146" s="278" t="s">
        <v>443</v>
      </c>
      <c r="K146" s="285" t="s">
        <v>580</v>
      </c>
      <c r="L146" s="277" t="s">
        <v>541</v>
      </c>
      <c r="M146" s="263"/>
      <c r="N146" s="263"/>
      <c r="O146" s="264">
        <v>1700</v>
      </c>
      <c r="P146" s="264">
        <v>1200</v>
      </c>
      <c r="Q146" s="265">
        <v>1</v>
      </c>
      <c r="R146" s="30">
        <f>MBQ[[#This Row],[HEIGHT (mm)]]*MBQ[[#This Row],[QTY TOTAL]]/1000</f>
        <v>1.7</v>
      </c>
      <c r="S146" s="30">
        <f>MBQ[[#This Row],[WIDTH (mm)]]*MBQ[[#This Row],[QTY TOTAL]]/1000</f>
        <v>1.2</v>
      </c>
      <c r="T146" s="9">
        <f>(MBQ[[#This Row],[HEIGHT (mm)]]+MBQ[[#This Row],[WIDTH (mm)]])/1000*2*MBQ[[#This Row],[QTY TOTAL]]</f>
        <v>5.8</v>
      </c>
      <c r="U146" s="266">
        <f>MBQ[[#This Row],[MULTIPLIER]]*MBQ[[#This Row],[QTY]]</f>
        <v>1</v>
      </c>
      <c r="V146" s="9">
        <f>MBQ[[#This Row],[HEIGHT (mm)]]/1000*MBQ[[#This Row],[WIDTH (mm)]]/1000*MBQ[[#This Row],[QTY TOTAL]]</f>
        <v>2.04</v>
      </c>
      <c r="W146" s="287">
        <f>ROUNDUP(MBQ[[#This Row],[HEIGHT (mm)]]/450*MBQ[[#This Row],[QTY]]*2,0)+ROUNDUP(MBQ[[#This Row],[WIDTH (mm)]]/450*MBQ[[#This Row],[QTY]]*2,0)</f>
        <v>14</v>
      </c>
    </row>
    <row r="147" spans="1:23" hidden="1">
      <c r="A147" s="258">
        <v>1</v>
      </c>
      <c r="B147" s="276" t="s">
        <v>536</v>
      </c>
      <c r="C147" s="278" t="s">
        <v>544</v>
      </c>
      <c r="D147" s="277" t="s">
        <v>546</v>
      </c>
      <c r="E147" s="277" t="s">
        <v>537</v>
      </c>
      <c r="F147" s="261"/>
      <c r="G147" s="262"/>
      <c r="H147" s="262"/>
      <c r="I147" s="260" t="s">
        <v>442</v>
      </c>
      <c r="J147" s="278" t="s">
        <v>443</v>
      </c>
      <c r="K147" s="285" t="s">
        <v>580</v>
      </c>
      <c r="L147" s="277" t="s">
        <v>540</v>
      </c>
      <c r="M147" s="263"/>
      <c r="N147" s="263"/>
      <c r="O147" s="264">
        <v>1000</v>
      </c>
      <c r="P147" s="264">
        <v>1200</v>
      </c>
      <c r="Q147" s="265">
        <v>1</v>
      </c>
      <c r="R147" s="30">
        <f>MBQ[[#This Row],[HEIGHT (mm)]]*MBQ[[#This Row],[QTY TOTAL]]/1000</f>
        <v>1</v>
      </c>
      <c r="S147" s="30">
        <f>MBQ[[#This Row],[WIDTH (mm)]]*MBQ[[#This Row],[QTY TOTAL]]/1000</f>
        <v>1.2</v>
      </c>
      <c r="T147" s="9">
        <f>(MBQ[[#This Row],[HEIGHT (mm)]]+MBQ[[#This Row],[WIDTH (mm)]])/1000*2*MBQ[[#This Row],[QTY TOTAL]]</f>
        <v>4.4000000000000004</v>
      </c>
      <c r="U147" s="266">
        <f>MBQ[[#This Row],[MULTIPLIER]]*MBQ[[#This Row],[QTY]]</f>
        <v>1</v>
      </c>
      <c r="V147" s="9">
        <f>MBQ[[#This Row],[HEIGHT (mm)]]/1000*MBQ[[#This Row],[WIDTH (mm)]]/1000*MBQ[[#This Row],[QTY TOTAL]]</f>
        <v>1.2</v>
      </c>
      <c r="W147" s="287">
        <f>ROUNDUP(MBQ[[#This Row],[HEIGHT (mm)]]/450*MBQ[[#This Row],[QTY]]*2,0)+ROUNDUP(MBQ[[#This Row],[WIDTH (mm)]]/450*MBQ[[#This Row],[QTY]]*2,0)</f>
        <v>11</v>
      </c>
    </row>
    <row r="148" spans="1:23" hidden="1">
      <c r="A148" s="258">
        <v>1</v>
      </c>
      <c r="B148" s="276" t="s">
        <v>536</v>
      </c>
      <c r="C148" s="278" t="s">
        <v>544</v>
      </c>
      <c r="D148" s="277" t="s">
        <v>546</v>
      </c>
      <c r="E148" s="277" t="s">
        <v>537</v>
      </c>
      <c r="F148" s="261"/>
      <c r="G148" s="262"/>
      <c r="H148" s="262"/>
      <c r="I148" s="260" t="s">
        <v>442</v>
      </c>
      <c r="J148" s="278" t="s">
        <v>443</v>
      </c>
      <c r="K148" s="285" t="s">
        <v>580</v>
      </c>
      <c r="L148" s="277" t="s">
        <v>540</v>
      </c>
      <c r="M148" s="263"/>
      <c r="N148" s="263"/>
      <c r="O148" s="264">
        <v>1300</v>
      </c>
      <c r="P148" s="264">
        <v>1200</v>
      </c>
      <c r="Q148" s="265">
        <v>1</v>
      </c>
      <c r="R148" s="30">
        <f>MBQ[[#This Row],[HEIGHT (mm)]]*MBQ[[#This Row],[QTY TOTAL]]/1000</f>
        <v>1.3</v>
      </c>
      <c r="S148" s="30">
        <f>MBQ[[#This Row],[WIDTH (mm)]]*MBQ[[#This Row],[QTY TOTAL]]/1000</f>
        <v>1.2</v>
      </c>
      <c r="T148" s="9">
        <f>(MBQ[[#This Row],[HEIGHT (mm)]]+MBQ[[#This Row],[WIDTH (mm)]])/1000*2*MBQ[[#This Row],[QTY TOTAL]]</f>
        <v>5</v>
      </c>
      <c r="U148" s="266">
        <f>MBQ[[#This Row],[MULTIPLIER]]*MBQ[[#This Row],[QTY]]</f>
        <v>1</v>
      </c>
      <c r="V148" s="9">
        <f>MBQ[[#This Row],[HEIGHT (mm)]]/1000*MBQ[[#This Row],[WIDTH (mm)]]/1000*MBQ[[#This Row],[QTY TOTAL]]</f>
        <v>1.56</v>
      </c>
      <c r="W148" s="287">
        <f>ROUNDUP(MBQ[[#This Row],[HEIGHT (mm)]]/450*MBQ[[#This Row],[QTY]]*2,0)+ROUNDUP(MBQ[[#This Row],[WIDTH (mm)]]/450*MBQ[[#This Row],[QTY]]*2,0)</f>
        <v>12</v>
      </c>
    </row>
    <row r="149" spans="1:23" hidden="1">
      <c r="A149" s="258">
        <v>1</v>
      </c>
      <c r="B149" s="276" t="s">
        <v>536</v>
      </c>
      <c r="C149" s="278" t="s">
        <v>544</v>
      </c>
      <c r="D149" s="277" t="s">
        <v>546</v>
      </c>
      <c r="E149" s="277" t="s">
        <v>537</v>
      </c>
      <c r="F149" s="261"/>
      <c r="G149" s="262"/>
      <c r="H149" s="262"/>
      <c r="I149" s="260" t="s">
        <v>442</v>
      </c>
      <c r="J149" s="278" t="s">
        <v>443</v>
      </c>
      <c r="K149" s="285" t="s">
        <v>580</v>
      </c>
      <c r="L149" s="277" t="s">
        <v>541</v>
      </c>
      <c r="M149" s="263"/>
      <c r="N149" s="263"/>
      <c r="O149" s="264">
        <v>1700</v>
      </c>
      <c r="P149" s="264">
        <v>1200</v>
      </c>
      <c r="Q149" s="265">
        <v>1</v>
      </c>
      <c r="R149" s="30">
        <f>MBQ[[#This Row],[HEIGHT (mm)]]*MBQ[[#This Row],[QTY TOTAL]]/1000</f>
        <v>1.7</v>
      </c>
      <c r="S149" s="30">
        <f>MBQ[[#This Row],[WIDTH (mm)]]*MBQ[[#This Row],[QTY TOTAL]]/1000</f>
        <v>1.2</v>
      </c>
      <c r="T149" s="9">
        <f>(MBQ[[#This Row],[HEIGHT (mm)]]+MBQ[[#This Row],[WIDTH (mm)]])/1000*2*MBQ[[#This Row],[QTY TOTAL]]</f>
        <v>5.8</v>
      </c>
      <c r="U149" s="266">
        <f>MBQ[[#This Row],[MULTIPLIER]]*MBQ[[#This Row],[QTY]]</f>
        <v>1</v>
      </c>
      <c r="V149" s="9">
        <f>MBQ[[#This Row],[HEIGHT (mm)]]/1000*MBQ[[#This Row],[WIDTH (mm)]]/1000*MBQ[[#This Row],[QTY TOTAL]]</f>
        <v>2.04</v>
      </c>
      <c r="W149" s="287">
        <f>ROUNDUP(MBQ[[#This Row],[HEIGHT (mm)]]/450*MBQ[[#This Row],[QTY]]*2,0)+ROUNDUP(MBQ[[#This Row],[WIDTH (mm)]]/450*MBQ[[#This Row],[QTY]]*2,0)</f>
        <v>14</v>
      </c>
    </row>
    <row r="150" spans="1:23" hidden="1">
      <c r="A150" s="258">
        <v>1</v>
      </c>
      <c r="B150" s="276" t="s">
        <v>536</v>
      </c>
      <c r="C150" s="278" t="s">
        <v>544</v>
      </c>
      <c r="D150" s="277" t="s">
        <v>546</v>
      </c>
      <c r="E150" s="277" t="s">
        <v>537</v>
      </c>
      <c r="F150" s="261"/>
      <c r="G150" s="262"/>
      <c r="H150" s="262"/>
      <c r="I150" s="260" t="s">
        <v>442</v>
      </c>
      <c r="J150" s="278" t="s">
        <v>443</v>
      </c>
      <c r="K150" s="285" t="s">
        <v>580</v>
      </c>
      <c r="L150" s="277" t="s">
        <v>540</v>
      </c>
      <c r="M150" s="263"/>
      <c r="N150" s="263"/>
      <c r="O150" s="264">
        <v>1000</v>
      </c>
      <c r="P150" s="264">
        <v>1200</v>
      </c>
      <c r="Q150" s="265">
        <v>1</v>
      </c>
      <c r="R150" s="30">
        <f>MBQ[[#This Row],[HEIGHT (mm)]]*MBQ[[#This Row],[QTY TOTAL]]/1000</f>
        <v>1</v>
      </c>
      <c r="S150" s="30">
        <f>MBQ[[#This Row],[WIDTH (mm)]]*MBQ[[#This Row],[QTY TOTAL]]/1000</f>
        <v>1.2</v>
      </c>
      <c r="T150" s="9">
        <f>(MBQ[[#This Row],[HEIGHT (mm)]]+MBQ[[#This Row],[WIDTH (mm)]])/1000*2*MBQ[[#This Row],[QTY TOTAL]]</f>
        <v>4.4000000000000004</v>
      </c>
      <c r="U150" s="266">
        <f>MBQ[[#This Row],[MULTIPLIER]]*MBQ[[#This Row],[QTY]]</f>
        <v>1</v>
      </c>
      <c r="V150" s="9">
        <f>MBQ[[#This Row],[HEIGHT (mm)]]/1000*MBQ[[#This Row],[WIDTH (mm)]]/1000*MBQ[[#This Row],[QTY TOTAL]]</f>
        <v>1.2</v>
      </c>
      <c r="W150" s="287">
        <f>ROUNDUP(MBQ[[#This Row],[HEIGHT (mm)]]/450*MBQ[[#This Row],[QTY]]*2,0)+ROUNDUP(MBQ[[#This Row],[WIDTH (mm)]]/450*MBQ[[#This Row],[QTY]]*2,0)</f>
        <v>11</v>
      </c>
    </row>
    <row r="151" spans="1:23" hidden="1">
      <c r="A151" s="258">
        <v>1</v>
      </c>
      <c r="B151" s="276" t="s">
        <v>536</v>
      </c>
      <c r="C151" s="278" t="s">
        <v>534</v>
      </c>
      <c r="D151" s="277" t="s">
        <v>547</v>
      </c>
      <c r="E151" s="277" t="s">
        <v>537</v>
      </c>
      <c r="F151" s="261"/>
      <c r="G151" s="262"/>
      <c r="H151" s="262"/>
      <c r="I151" s="260" t="s">
        <v>441</v>
      </c>
      <c r="J151" s="263"/>
      <c r="K151" s="285" t="s">
        <v>580</v>
      </c>
      <c r="L151" s="260"/>
      <c r="M151" s="263"/>
      <c r="N151" s="263"/>
      <c r="O151" s="264">
        <v>8000</v>
      </c>
      <c r="P151" s="264">
        <v>4800</v>
      </c>
      <c r="Q151" s="265">
        <v>1</v>
      </c>
      <c r="R151" s="30">
        <f>MBQ[[#This Row],[HEIGHT (mm)]]*MBQ[[#This Row],[QTY TOTAL]]/1000</f>
        <v>8</v>
      </c>
      <c r="S151" s="30">
        <f>MBQ[[#This Row],[WIDTH (mm)]]*MBQ[[#This Row],[QTY TOTAL]]/1000</f>
        <v>4.8</v>
      </c>
      <c r="T151" s="9">
        <f>(MBQ[[#This Row],[HEIGHT (mm)]]+MBQ[[#This Row],[WIDTH (mm)]])/1000*2*MBQ[[#This Row],[QTY TOTAL]]</f>
        <v>25.6</v>
      </c>
      <c r="U151" s="266">
        <f>MBQ[[#This Row],[MULTIPLIER]]*MBQ[[#This Row],[QTY]]</f>
        <v>1</v>
      </c>
      <c r="V151" s="9">
        <f>MBQ[[#This Row],[HEIGHT (mm)]]/1000*MBQ[[#This Row],[WIDTH (mm)]]/1000*MBQ[[#This Row],[QTY TOTAL]]</f>
        <v>38.4</v>
      </c>
      <c r="W151" s="287">
        <f>ROUNDUP(MBQ[[#This Row],[HEIGHT (mm)]]/450*MBQ[[#This Row],[QTY]]*2,0)+ROUNDUP(MBQ[[#This Row],[WIDTH (mm)]]/450*MBQ[[#This Row],[QTY]]*2,0)</f>
        <v>58</v>
      </c>
    </row>
    <row r="152" spans="1:23" ht="30">
      <c r="A152" s="258">
        <v>1</v>
      </c>
      <c r="B152" s="286" t="s">
        <v>535</v>
      </c>
      <c r="C152" s="278" t="s">
        <v>534</v>
      </c>
      <c r="D152" s="277" t="s">
        <v>547</v>
      </c>
      <c r="E152" s="277" t="s">
        <v>537</v>
      </c>
      <c r="F152" s="261"/>
      <c r="G152" s="262"/>
      <c r="H152" s="262"/>
      <c r="I152" s="260" t="s">
        <v>439</v>
      </c>
      <c r="J152" s="278" t="s">
        <v>538</v>
      </c>
      <c r="K152" s="285" t="s">
        <v>580</v>
      </c>
      <c r="L152" s="277" t="s">
        <v>539</v>
      </c>
      <c r="M152" s="263"/>
      <c r="N152" s="263"/>
      <c r="O152" s="264">
        <v>3800</v>
      </c>
      <c r="P152" s="264">
        <v>1200</v>
      </c>
      <c r="Q152" s="265">
        <v>1</v>
      </c>
      <c r="R152" s="30">
        <f>MBQ[[#This Row],[HEIGHT (mm)]]*MBQ[[#This Row],[QTY TOTAL]]/1000</f>
        <v>3.8</v>
      </c>
      <c r="S152" s="30">
        <f>MBQ[[#This Row],[WIDTH (mm)]]*MBQ[[#This Row],[QTY TOTAL]]/1000</f>
        <v>1.2</v>
      </c>
      <c r="T152" s="9">
        <f>(MBQ[[#This Row],[HEIGHT (mm)]]+MBQ[[#This Row],[WIDTH (mm)]])/1000*2*MBQ[[#This Row],[QTY TOTAL]]</f>
        <v>10</v>
      </c>
      <c r="U152" s="266">
        <f>MBQ[[#This Row],[MULTIPLIER]]*MBQ[[#This Row],[QTY]]</f>
        <v>1</v>
      </c>
      <c r="V152" s="9">
        <f>MBQ[[#This Row],[HEIGHT (mm)]]/1000*MBQ[[#This Row],[WIDTH (mm)]]/1000*MBQ[[#This Row],[QTY TOTAL]]</f>
        <v>4.5599999999999996</v>
      </c>
      <c r="W152" s="287">
        <f>ROUNDUP(MBQ[[#This Row],[HEIGHT (mm)]]/450*MBQ[[#This Row],[QTY]]*2,0)+ROUNDUP(MBQ[[#This Row],[WIDTH (mm)]]/450*MBQ[[#This Row],[QTY]]*2,0)</f>
        <v>23</v>
      </c>
    </row>
    <row r="153" spans="1:23" ht="30">
      <c r="A153" s="258">
        <v>1</v>
      </c>
      <c r="B153" s="286" t="s">
        <v>535</v>
      </c>
      <c r="C153" s="278" t="s">
        <v>534</v>
      </c>
      <c r="D153" s="277" t="s">
        <v>547</v>
      </c>
      <c r="E153" s="277" t="s">
        <v>537</v>
      </c>
      <c r="F153" s="261"/>
      <c r="G153" s="262"/>
      <c r="H153" s="262"/>
      <c r="I153" s="260" t="s">
        <v>439</v>
      </c>
      <c r="J153" s="278" t="s">
        <v>538</v>
      </c>
      <c r="K153" s="285" t="s">
        <v>580</v>
      </c>
      <c r="L153" s="277" t="s">
        <v>539</v>
      </c>
      <c r="M153" s="263"/>
      <c r="N153" s="263"/>
      <c r="O153" s="264">
        <v>3800</v>
      </c>
      <c r="P153" s="264">
        <v>1200</v>
      </c>
      <c r="Q153" s="265">
        <v>1</v>
      </c>
      <c r="R153" s="30">
        <f>MBQ[[#This Row],[HEIGHT (mm)]]*MBQ[[#This Row],[QTY TOTAL]]/1000</f>
        <v>3.8</v>
      </c>
      <c r="S153" s="30">
        <f>MBQ[[#This Row],[WIDTH (mm)]]*MBQ[[#This Row],[QTY TOTAL]]/1000</f>
        <v>1.2</v>
      </c>
      <c r="T153" s="9">
        <f>(MBQ[[#This Row],[HEIGHT (mm)]]+MBQ[[#This Row],[WIDTH (mm)]])/1000*2*MBQ[[#This Row],[QTY TOTAL]]</f>
        <v>10</v>
      </c>
      <c r="U153" s="266">
        <f>MBQ[[#This Row],[MULTIPLIER]]*MBQ[[#This Row],[QTY]]</f>
        <v>1</v>
      </c>
      <c r="V153" s="9">
        <f>MBQ[[#This Row],[HEIGHT (mm)]]/1000*MBQ[[#This Row],[WIDTH (mm)]]/1000*MBQ[[#This Row],[QTY TOTAL]]</f>
        <v>4.5599999999999996</v>
      </c>
      <c r="W153" s="287">
        <f>ROUNDUP(MBQ[[#This Row],[HEIGHT (mm)]]/450*MBQ[[#This Row],[QTY]]*2,0)+ROUNDUP(MBQ[[#This Row],[WIDTH (mm)]]/450*MBQ[[#This Row],[QTY]]*2,0)</f>
        <v>23</v>
      </c>
    </row>
    <row r="154" spans="1:23" ht="30">
      <c r="A154" s="258">
        <v>1</v>
      </c>
      <c r="B154" s="286" t="s">
        <v>535</v>
      </c>
      <c r="C154" s="278" t="s">
        <v>534</v>
      </c>
      <c r="D154" s="277" t="s">
        <v>547</v>
      </c>
      <c r="E154" s="277" t="s">
        <v>537</v>
      </c>
      <c r="F154" s="261"/>
      <c r="G154" s="262"/>
      <c r="H154" s="262"/>
      <c r="I154" s="260" t="s">
        <v>439</v>
      </c>
      <c r="J154" s="278" t="s">
        <v>538</v>
      </c>
      <c r="K154" s="285" t="s">
        <v>580</v>
      </c>
      <c r="L154" s="277" t="s">
        <v>539</v>
      </c>
      <c r="M154" s="263"/>
      <c r="N154" s="263"/>
      <c r="O154" s="264">
        <v>3800</v>
      </c>
      <c r="P154" s="264">
        <v>1200</v>
      </c>
      <c r="Q154" s="265">
        <v>1</v>
      </c>
      <c r="R154" s="30">
        <f>MBQ[[#This Row],[HEIGHT (mm)]]*MBQ[[#This Row],[QTY TOTAL]]/1000</f>
        <v>3.8</v>
      </c>
      <c r="S154" s="30">
        <f>MBQ[[#This Row],[WIDTH (mm)]]*MBQ[[#This Row],[QTY TOTAL]]/1000</f>
        <v>1.2</v>
      </c>
      <c r="T154" s="9">
        <f>(MBQ[[#This Row],[HEIGHT (mm)]]+MBQ[[#This Row],[WIDTH (mm)]])/1000*2*MBQ[[#This Row],[QTY TOTAL]]</f>
        <v>10</v>
      </c>
      <c r="U154" s="266">
        <f>MBQ[[#This Row],[MULTIPLIER]]*MBQ[[#This Row],[QTY]]</f>
        <v>1</v>
      </c>
      <c r="V154" s="9">
        <f>MBQ[[#This Row],[HEIGHT (mm)]]/1000*MBQ[[#This Row],[WIDTH (mm)]]/1000*MBQ[[#This Row],[QTY TOTAL]]</f>
        <v>4.5599999999999996</v>
      </c>
      <c r="W154" s="287">
        <f>ROUNDUP(MBQ[[#This Row],[HEIGHT (mm)]]/450*MBQ[[#This Row],[QTY]]*2,0)+ROUNDUP(MBQ[[#This Row],[WIDTH (mm)]]/450*MBQ[[#This Row],[QTY]]*2,0)</f>
        <v>23</v>
      </c>
    </row>
    <row r="155" spans="1:23" ht="30">
      <c r="A155" s="258">
        <v>1</v>
      </c>
      <c r="B155" s="286" t="s">
        <v>535</v>
      </c>
      <c r="C155" s="278" t="s">
        <v>534</v>
      </c>
      <c r="D155" s="277" t="s">
        <v>547</v>
      </c>
      <c r="E155" s="277" t="s">
        <v>537</v>
      </c>
      <c r="F155" s="261"/>
      <c r="G155" s="262"/>
      <c r="H155" s="262"/>
      <c r="I155" s="260" t="s">
        <v>439</v>
      </c>
      <c r="J155" s="278" t="s">
        <v>538</v>
      </c>
      <c r="K155" s="285" t="s">
        <v>580</v>
      </c>
      <c r="L155" s="277" t="s">
        <v>539</v>
      </c>
      <c r="M155" s="263"/>
      <c r="N155" s="263"/>
      <c r="O155" s="264">
        <v>4000</v>
      </c>
      <c r="P155" s="264">
        <v>1200</v>
      </c>
      <c r="Q155" s="265">
        <v>1</v>
      </c>
      <c r="R155" s="30">
        <f>MBQ[[#This Row],[HEIGHT (mm)]]*MBQ[[#This Row],[QTY TOTAL]]/1000</f>
        <v>4</v>
      </c>
      <c r="S155" s="30">
        <f>MBQ[[#This Row],[WIDTH (mm)]]*MBQ[[#This Row],[QTY TOTAL]]/1000</f>
        <v>1.2</v>
      </c>
      <c r="T155" s="9">
        <f>(MBQ[[#This Row],[HEIGHT (mm)]]+MBQ[[#This Row],[WIDTH (mm)]])/1000*2*MBQ[[#This Row],[QTY TOTAL]]</f>
        <v>10.4</v>
      </c>
      <c r="U155" s="266">
        <f>MBQ[[#This Row],[MULTIPLIER]]*MBQ[[#This Row],[QTY]]</f>
        <v>1</v>
      </c>
      <c r="V155" s="9">
        <f>MBQ[[#This Row],[HEIGHT (mm)]]/1000*MBQ[[#This Row],[WIDTH (mm)]]/1000*MBQ[[#This Row],[QTY TOTAL]]</f>
        <v>4.8</v>
      </c>
      <c r="W155" s="287">
        <f>ROUNDUP(MBQ[[#This Row],[HEIGHT (mm)]]/450*MBQ[[#This Row],[QTY]]*2,0)+ROUNDUP(MBQ[[#This Row],[WIDTH (mm)]]/450*MBQ[[#This Row],[QTY]]*2,0)</f>
        <v>24</v>
      </c>
    </row>
    <row r="156" spans="1:23" ht="30">
      <c r="A156" s="258">
        <v>1</v>
      </c>
      <c r="B156" s="276" t="s">
        <v>536</v>
      </c>
      <c r="C156" s="278" t="s">
        <v>534</v>
      </c>
      <c r="D156" s="277" t="s">
        <v>547</v>
      </c>
      <c r="E156" s="277" t="s">
        <v>537</v>
      </c>
      <c r="F156" s="261"/>
      <c r="G156" s="262"/>
      <c r="H156" s="262"/>
      <c r="I156" s="260" t="s">
        <v>439</v>
      </c>
      <c r="J156" s="278" t="s">
        <v>538</v>
      </c>
      <c r="K156" s="285" t="s">
        <v>580</v>
      </c>
      <c r="L156" s="277" t="s">
        <v>539</v>
      </c>
      <c r="M156" s="263"/>
      <c r="N156" s="263"/>
      <c r="O156" s="264">
        <v>4000</v>
      </c>
      <c r="P156" s="264">
        <v>1200</v>
      </c>
      <c r="Q156" s="265">
        <v>1</v>
      </c>
      <c r="R156" s="30">
        <f>MBQ[[#This Row],[HEIGHT (mm)]]*MBQ[[#This Row],[QTY TOTAL]]/1000</f>
        <v>4</v>
      </c>
      <c r="S156" s="30">
        <f>MBQ[[#This Row],[WIDTH (mm)]]*MBQ[[#This Row],[QTY TOTAL]]/1000</f>
        <v>1.2</v>
      </c>
      <c r="T156" s="9">
        <f>(MBQ[[#This Row],[HEIGHT (mm)]]+MBQ[[#This Row],[WIDTH (mm)]])/1000*2*MBQ[[#This Row],[QTY TOTAL]]</f>
        <v>10.4</v>
      </c>
      <c r="U156" s="266">
        <f>MBQ[[#This Row],[MULTIPLIER]]*MBQ[[#This Row],[QTY]]</f>
        <v>1</v>
      </c>
      <c r="V156" s="9">
        <f>MBQ[[#This Row],[HEIGHT (mm)]]/1000*MBQ[[#This Row],[WIDTH (mm)]]/1000*MBQ[[#This Row],[QTY TOTAL]]</f>
        <v>4.8</v>
      </c>
      <c r="W156" s="287">
        <f>ROUNDUP(MBQ[[#This Row],[HEIGHT (mm)]]/450*MBQ[[#This Row],[QTY]]*2,0)+ROUNDUP(MBQ[[#This Row],[WIDTH (mm)]]/450*MBQ[[#This Row],[QTY]]*2,0)</f>
        <v>24</v>
      </c>
    </row>
    <row r="157" spans="1:23" ht="30">
      <c r="A157" s="258">
        <v>1</v>
      </c>
      <c r="B157" s="276" t="s">
        <v>536</v>
      </c>
      <c r="C157" s="278" t="s">
        <v>534</v>
      </c>
      <c r="D157" s="277" t="s">
        <v>547</v>
      </c>
      <c r="E157" s="277" t="s">
        <v>537</v>
      </c>
      <c r="F157" s="261"/>
      <c r="G157" s="262"/>
      <c r="H157" s="262"/>
      <c r="I157" s="260" t="s">
        <v>439</v>
      </c>
      <c r="J157" s="278" t="s">
        <v>538</v>
      </c>
      <c r="K157" s="285" t="s">
        <v>580</v>
      </c>
      <c r="L157" s="277" t="s">
        <v>539</v>
      </c>
      <c r="M157" s="263"/>
      <c r="N157" s="263"/>
      <c r="O157" s="264">
        <v>4000</v>
      </c>
      <c r="P157" s="264">
        <v>1200</v>
      </c>
      <c r="Q157" s="265">
        <v>1</v>
      </c>
      <c r="R157" s="30">
        <f>MBQ[[#This Row],[HEIGHT (mm)]]*MBQ[[#This Row],[QTY TOTAL]]/1000</f>
        <v>4</v>
      </c>
      <c r="S157" s="30">
        <f>MBQ[[#This Row],[WIDTH (mm)]]*MBQ[[#This Row],[QTY TOTAL]]/1000</f>
        <v>1.2</v>
      </c>
      <c r="T157" s="9">
        <f>(MBQ[[#This Row],[HEIGHT (mm)]]+MBQ[[#This Row],[WIDTH (mm)]])/1000*2*MBQ[[#This Row],[QTY TOTAL]]</f>
        <v>10.4</v>
      </c>
      <c r="U157" s="266">
        <f>MBQ[[#This Row],[MULTIPLIER]]*MBQ[[#This Row],[QTY]]</f>
        <v>1</v>
      </c>
      <c r="V157" s="9">
        <f>MBQ[[#This Row],[HEIGHT (mm)]]/1000*MBQ[[#This Row],[WIDTH (mm)]]/1000*MBQ[[#This Row],[QTY TOTAL]]</f>
        <v>4.8</v>
      </c>
      <c r="W157" s="287">
        <f>ROUNDUP(MBQ[[#This Row],[HEIGHT (mm)]]/450*MBQ[[#This Row],[QTY]]*2,0)+ROUNDUP(MBQ[[#This Row],[WIDTH (mm)]]/450*MBQ[[#This Row],[QTY]]*2,0)</f>
        <v>24</v>
      </c>
    </row>
    <row r="158" spans="1:23" ht="30" hidden="1">
      <c r="A158" s="258">
        <v>1</v>
      </c>
      <c r="B158" s="276" t="s">
        <v>536</v>
      </c>
      <c r="C158" s="278" t="s">
        <v>534</v>
      </c>
      <c r="D158" s="277" t="s">
        <v>547</v>
      </c>
      <c r="E158" s="277" t="s">
        <v>537</v>
      </c>
      <c r="F158" s="261"/>
      <c r="G158" s="262"/>
      <c r="H158" s="262"/>
      <c r="I158" s="260" t="s">
        <v>439</v>
      </c>
      <c r="J158" s="278" t="s">
        <v>549</v>
      </c>
      <c r="K158" s="285" t="s">
        <v>580</v>
      </c>
      <c r="L158" s="277" t="s">
        <v>548</v>
      </c>
      <c r="M158" s="263"/>
      <c r="N158" s="263"/>
      <c r="O158" s="264">
        <v>2700</v>
      </c>
      <c r="P158" s="264">
        <v>1200</v>
      </c>
      <c r="Q158" s="265">
        <v>1</v>
      </c>
      <c r="R158" s="30">
        <f>MBQ[[#This Row],[HEIGHT (mm)]]*MBQ[[#This Row],[QTY TOTAL]]/1000</f>
        <v>2.7</v>
      </c>
      <c r="S158" s="30">
        <f>MBQ[[#This Row],[WIDTH (mm)]]*MBQ[[#This Row],[QTY TOTAL]]/1000</f>
        <v>1.2</v>
      </c>
      <c r="T158" s="9">
        <f>(MBQ[[#This Row],[HEIGHT (mm)]]+MBQ[[#This Row],[WIDTH (mm)]])/1000*2*MBQ[[#This Row],[QTY TOTAL]]</f>
        <v>7.8</v>
      </c>
      <c r="U158" s="266">
        <f>MBQ[[#This Row],[MULTIPLIER]]*MBQ[[#This Row],[QTY]]</f>
        <v>1</v>
      </c>
      <c r="V158" s="9">
        <f>MBQ[[#This Row],[HEIGHT (mm)]]/1000*MBQ[[#This Row],[WIDTH (mm)]]/1000*MBQ[[#This Row],[QTY TOTAL]]</f>
        <v>3.24</v>
      </c>
      <c r="W158" s="287">
        <f>ROUNDUP(MBQ[[#This Row],[HEIGHT (mm)]]/450*MBQ[[#This Row],[QTY]]*2,0)+ROUNDUP(MBQ[[#This Row],[WIDTH (mm)]]/450*MBQ[[#This Row],[QTY]]*2,0)</f>
        <v>18</v>
      </c>
    </row>
    <row r="159" spans="1:23" ht="30" hidden="1">
      <c r="A159" s="258">
        <v>1</v>
      </c>
      <c r="B159" s="276" t="s">
        <v>536</v>
      </c>
      <c r="C159" s="278" t="s">
        <v>534</v>
      </c>
      <c r="D159" s="277" t="s">
        <v>547</v>
      </c>
      <c r="E159" s="277" t="s">
        <v>537</v>
      </c>
      <c r="F159" s="261"/>
      <c r="G159" s="262"/>
      <c r="H159" s="262"/>
      <c r="I159" s="260" t="s">
        <v>439</v>
      </c>
      <c r="J159" s="278" t="s">
        <v>549</v>
      </c>
      <c r="K159" s="285" t="s">
        <v>580</v>
      </c>
      <c r="L159" s="277" t="s">
        <v>548</v>
      </c>
      <c r="M159" s="263"/>
      <c r="N159" s="263"/>
      <c r="O159" s="264">
        <v>2700</v>
      </c>
      <c r="P159" s="264">
        <v>1200</v>
      </c>
      <c r="Q159" s="265">
        <v>1</v>
      </c>
      <c r="R159" s="30">
        <f>MBQ[[#This Row],[HEIGHT (mm)]]*MBQ[[#This Row],[QTY TOTAL]]/1000</f>
        <v>2.7</v>
      </c>
      <c r="S159" s="30">
        <f>MBQ[[#This Row],[WIDTH (mm)]]*MBQ[[#This Row],[QTY TOTAL]]/1000</f>
        <v>1.2</v>
      </c>
      <c r="T159" s="9">
        <f>(MBQ[[#This Row],[HEIGHT (mm)]]+MBQ[[#This Row],[WIDTH (mm)]])/1000*2*MBQ[[#This Row],[QTY TOTAL]]</f>
        <v>7.8</v>
      </c>
      <c r="U159" s="266">
        <f>MBQ[[#This Row],[MULTIPLIER]]*MBQ[[#This Row],[QTY]]</f>
        <v>1</v>
      </c>
      <c r="V159" s="9">
        <f>MBQ[[#This Row],[HEIGHT (mm)]]/1000*MBQ[[#This Row],[WIDTH (mm)]]/1000*MBQ[[#This Row],[QTY TOTAL]]</f>
        <v>3.24</v>
      </c>
      <c r="W159" s="287">
        <f>ROUNDUP(MBQ[[#This Row],[HEIGHT (mm)]]/450*MBQ[[#This Row],[QTY]]*2,0)+ROUNDUP(MBQ[[#This Row],[WIDTH (mm)]]/450*MBQ[[#This Row],[QTY]]*2,0)</f>
        <v>18</v>
      </c>
    </row>
    <row r="160" spans="1:23">
      <c r="A160" s="258">
        <v>1</v>
      </c>
      <c r="B160" s="276" t="s">
        <v>536</v>
      </c>
      <c r="C160" s="278" t="s">
        <v>534</v>
      </c>
      <c r="D160" s="277" t="s">
        <v>547</v>
      </c>
      <c r="E160" s="277" t="s">
        <v>537</v>
      </c>
      <c r="F160" s="261"/>
      <c r="G160" s="262"/>
      <c r="H160" s="262"/>
      <c r="I160" s="260" t="s">
        <v>439</v>
      </c>
      <c r="J160" s="278" t="s">
        <v>443</v>
      </c>
      <c r="K160" s="285" t="s">
        <v>580</v>
      </c>
      <c r="L160" s="277" t="s">
        <v>540</v>
      </c>
      <c r="M160" s="263"/>
      <c r="N160" s="263"/>
      <c r="O160" s="264">
        <v>1300</v>
      </c>
      <c r="P160" s="264">
        <v>1200</v>
      </c>
      <c r="Q160" s="265">
        <v>1</v>
      </c>
      <c r="R160" s="30">
        <f>MBQ[[#This Row],[HEIGHT (mm)]]*MBQ[[#This Row],[QTY TOTAL]]/1000</f>
        <v>1.3</v>
      </c>
      <c r="S160" s="30">
        <f>MBQ[[#This Row],[WIDTH (mm)]]*MBQ[[#This Row],[QTY TOTAL]]/1000</f>
        <v>1.2</v>
      </c>
      <c r="T160" s="9">
        <f>(MBQ[[#This Row],[HEIGHT (mm)]]+MBQ[[#This Row],[WIDTH (mm)]])/1000*2*MBQ[[#This Row],[QTY TOTAL]]</f>
        <v>5</v>
      </c>
      <c r="U160" s="266">
        <f>MBQ[[#This Row],[MULTIPLIER]]*MBQ[[#This Row],[QTY]]</f>
        <v>1</v>
      </c>
      <c r="V160" s="9">
        <f>MBQ[[#This Row],[HEIGHT (mm)]]/1000*MBQ[[#This Row],[WIDTH (mm)]]/1000*MBQ[[#This Row],[QTY TOTAL]]</f>
        <v>1.56</v>
      </c>
      <c r="W160" s="287">
        <f>ROUNDUP(MBQ[[#This Row],[HEIGHT (mm)]]/450*MBQ[[#This Row],[QTY]]*2,0)+ROUNDUP(MBQ[[#This Row],[WIDTH (mm)]]/450*MBQ[[#This Row],[QTY]]*2,0)</f>
        <v>12</v>
      </c>
    </row>
    <row r="161" spans="1:23">
      <c r="A161" s="258">
        <v>1</v>
      </c>
      <c r="B161" s="276" t="s">
        <v>536</v>
      </c>
      <c r="C161" s="278" t="s">
        <v>534</v>
      </c>
      <c r="D161" s="277" t="s">
        <v>547</v>
      </c>
      <c r="E161" s="277" t="s">
        <v>537</v>
      </c>
      <c r="F161" s="261"/>
      <c r="G161" s="262"/>
      <c r="H161" s="262"/>
      <c r="I161" s="260" t="s">
        <v>439</v>
      </c>
      <c r="J161" s="278" t="s">
        <v>443</v>
      </c>
      <c r="K161" s="285" t="s">
        <v>580</v>
      </c>
      <c r="L161" s="277" t="s">
        <v>540</v>
      </c>
      <c r="M161" s="263"/>
      <c r="N161" s="263"/>
      <c r="O161" s="264">
        <v>1300</v>
      </c>
      <c r="P161" s="264">
        <v>1200</v>
      </c>
      <c r="Q161" s="265">
        <v>1</v>
      </c>
      <c r="R161" s="30">
        <f>MBQ[[#This Row],[HEIGHT (mm)]]*MBQ[[#This Row],[QTY TOTAL]]/1000</f>
        <v>1.3</v>
      </c>
      <c r="S161" s="30">
        <f>MBQ[[#This Row],[WIDTH (mm)]]*MBQ[[#This Row],[QTY TOTAL]]/1000</f>
        <v>1.2</v>
      </c>
      <c r="T161" s="9">
        <f>(MBQ[[#This Row],[HEIGHT (mm)]]+MBQ[[#This Row],[WIDTH (mm)]])/1000*2*MBQ[[#This Row],[QTY TOTAL]]</f>
        <v>5</v>
      </c>
      <c r="U161" s="266">
        <f>MBQ[[#This Row],[MULTIPLIER]]*MBQ[[#This Row],[QTY]]</f>
        <v>1</v>
      </c>
      <c r="V161" s="9">
        <f>MBQ[[#This Row],[HEIGHT (mm)]]/1000*MBQ[[#This Row],[WIDTH (mm)]]/1000*MBQ[[#This Row],[QTY TOTAL]]</f>
        <v>1.56</v>
      </c>
      <c r="W161" s="287">
        <f>ROUNDUP(MBQ[[#This Row],[HEIGHT (mm)]]/450*MBQ[[#This Row],[QTY]]*2,0)+ROUNDUP(MBQ[[#This Row],[WIDTH (mm)]]/450*MBQ[[#This Row],[QTY]]*2,0)</f>
        <v>12</v>
      </c>
    </row>
    <row r="162" spans="1:23" hidden="1">
      <c r="A162" s="258">
        <v>1</v>
      </c>
      <c r="B162" s="286" t="s">
        <v>535</v>
      </c>
      <c r="C162" s="278" t="s">
        <v>534</v>
      </c>
      <c r="D162" s="277" t="s">
        <v>547</v>
      </c>
      <c r="E162" s="277" t="s">
        <v>537</v>
      </c>
      <c r="F162" s="261"/>
      <c r="G162" s="262"/>
      <c r="H162" s="262"/>
      <c r="I162" s="260" t="s">
        <v>442</v>
      </c>
      <c r="J162" s="278" t="s">
        <v>443</v>
      </c>
      <c r="K162" s="285" t="s">
        <v>580</v>
      </c>
      <c r="L162" s="277" t="s">
        <v>540</v>
      </c>
      <c r="M162" s="263"/>
      <c r="N162" s="263"/>
      <c r="O162" s="264">
        <v>1100</v>
      </c>
      <c r="P162" s="264">
        <v>1200</v>
      </c>
      <c r="Q162" s="265">
        <v>1</v>
      </c>
      <c r="R162" s="30">
        <f>MBQ[[#This Row],[HEIGHT (mm)]]*MBQ[[#This Row],[QTY TOTAL]]/1000</f>
        <v>1.1000000000000001</v>
      </c>
      <c r="S162" s="30">
        <f>MBQ[[#This Row],[WIDTH (mm)]]*MBQ[[#This Row],[QTY TOTAL]]/1000</f>
        <v>1.2</v>
      </c>
      <c r="T162" s="9">
        <f>(MBQ[[#This Row],[HEIGHT (mm)]]+MBQ[[#This Row],[WIDTH (mm)]])/1000*2*MBQ[[#This Row],[QTY TOTAL]]</f>
        <v>4.5999999999999996</v>
      </c>
      <c r="U162" s="266">
        <f>MBQ[[#This Row],[MULTIPLIER]]*MBQ[[#This Row],[QTY]]</f>
        <v>1</v>
      </c>
      <c r="V162" s="9">
        <f>MBQ[[#This Row],[HEIGHT (mm)]]/1000*MBQ[[#This Row],[WIDTH (mm)]]/1000*MBQ[[#This Row],[QTY TOTAL]]</f>
        <v>1.32</v>
      </c>
      <c r="W162" s="287">
        <f>ROUNDUP(MBQ[[#This Row],[HEIGHT (mm)]]/450*MBQ[[#This Row],[QTY]]*2,0)+ROUNDUP(MBQ[[#This Row],[WIDTH (mm)]]/450*MBQ[[#This Row],[QTY]]*2,0)</f>
        <v>11</v>
      </c>
    </row>
    <row r="163" spans="1:23" hidden="1">
      <c r="A163" s="258">
        <v>1</v>
      </c>
      <c r="B163" s="286" t="s">
        <v>535</v>
      </c>
      <c r="C163" s="278" t="s">
        <v>534</v>
      </c>
      <c r="D163" s="277" t="s">
        <v>547</v>
      </c>
      <c r="E163" s="277" t="s">
        <v>537</v>
      </c>
      <c r="F163" s="261"/>
      <c r="G163" s="262"/>
      <c r="H163" s="262"/>
      <c r="I163" s="260" t="s">
        <v>442</v>
      </c>
      <c r="J163" s="278" t="s">
        <v>443</v>
      </c>
      <c r="K163" s="285" t="s">
        <v>580</v>
      </c>
      <c r="L163" s="277" t="s">
        <v>541</v>
      </c>
      <c r="M163" s="263"/>
      <c r="N163" s="263"/>
      <c r="O163" s="264">
        <v>1700</v>
      </c>
      <c r="P163" s="264">
        <v>1200</v>
      </c>
      <c r="Q163" s="265">
        <v>1</v>
      </c>
      <c r="R163" s="30">
        <f>MBQ[[#This Row],[HEIGHT (mm)]]*MBQ[[#This Row],[QTY TOTAL]]/1000</f>
        <v>1.7</v>
      </c>
      <c r="S163" s="30">
        <f>MBQ[[#This Row],[WIDTH (mm)]]*MBQ[[#This Row],[QTY TOTAL]]/1000</f>
        <v>1.2</v>
      </c>
      <c r="T163" s="9">
        <f>(MBQ[[#This Row],[HEIGHT (mm)]]+MBQ[[#This Row],[WIDTH (mm)]])/1000*2*MBQ[[#This Row],[QTY TOTAL]]</f>
        <v>5.8</v>
      </c>
      <c r="U163" s="266">
        <f>MBQ[[#This Row],[MULTIPLIER]]*MBQ[[#This Row],[QTY]]</f>
        <v>1</v>
      </c>
      <c r="V163" s="9">
        <f>MBQ[[#This Row],[HEIGHT (mm)]]/1000*MBQ[[#This Row],[WIDTH (mm)]]/1000*MBQ[[#This Row],[QTY TOTAL]]</f>
        <v>2.04</v>
      </c>
      <c r="W163" s="287">
        <f>ROUNDUP(MBQ[[#This Row],[HEIGHT (mm)]]/450*MBQ[[#This Row],[QTY]]*2,0)+ROUNDUP(MBQ[[#This Row],[WIDTH (mm)]]/450*MBQ[[#This Row],[QTY]]*2,0)</f>
        <v>14</v>
      </c>
    </row>
    <row r="164" spans="1:23" hidden="1">
      <c r="A164" s="258">
        <v>1</v>
      </c>
      <c r="B164" s="286" t="s">
        <v>535</v>
      </c>
      <c r="C164" s="278" t="s">
        <v>534</v>
      </c>
      <c r="D164" s="277" t="s">
        <v>547</v>
      </c>
      <c r="E164" s="277" t="s">
        <v>537</v>
      </c>
      <c r="F164" s="261"/>
      <c r="G164" s="262"/>
      <c r="H164" s="262"/>
      <c r="I164" s="260" t="s">
        <v>442</v>
      </c>
      <c r="J164" s="278" t="s">
        <v>443</v>
      </c>
      <c r="K164" s="285" t="s">
        <v>580</v>
      </c>
      <c r="L164" s="277" t="s">
        <v>540</v>
      </c>
      <c r="M164" s="263"/>
      <c r="N164" s="263"/>
      <c r="O164" s="264">
        <v>1000</v>
      </c>
      <c r="P164" s="264">
        <v>1200</v>
      </c>
      <c r="Q164" s="265">
        <v>1</v>
      </c>
      <c r="R164" s="30">
        <f>MBQ[[#This Row],[HEIGHT (mm)]]*MBQ[[#This Row],[QTY TOTAL]]/1000</f>
        <v>1</v>
      </c>
      <c r="S164" s="30">
        <f>MBQ[[#This Row],[WIDTH (mm)]]*MBQ[[#This Row],[QTY TOTAL]]/1000</f>
        <v>1.2</v>
      </c>
      <c r="T164" s="9">
        <f>(MBQ[[#This Row],[HEIGHT (mm)]]+MBQ[[#This Row],[WIDTH (mm)]])/1000*2*MBQ[[#This Row],[QTY TOTAL]]</f>
        <v>4.4000000000000004</v>
      </c>
      <c r="U164" s="266">
        <f>MBQ[[#This Row],[MULTIPLIER]]*MBQ[[#This Row],[QTY]]</f>
        <v>1</v>
      </c>
      <c r="V164" s="9">
        <f>MBQ[[#This Row],[HEIGHT (mm)]]/1000*MBQ[[#This Row],[WIDTH (mm)]]/1000*MBQ[[#This Row],[QTY TOTAL]]</f>
        <v>1.2</v>
      </c>
      <c r="W164" s="287">
        <f>ROUNDUP(MBQ[[#This Row],[HEIGHT (mm)]]/450*MBQ[[#This Row],[QTY]]*2,0)+ROUNDUP(MBQ[[#This Row],[WIDTH (mm)]]/450*MBQ[[#This Row],[QTY]]*2,0)</f>
        <v>11</v>
      </c>
    </row>
    <row r="165" spans="1:23" hidden="1">
      <c r="A165" s="258">
        <v>1</v>
      </c>
      <c r="B165" s="286" t="s">
        <v>535</v>
      </c>
      <c r="C165" s="278" t="s">
        <v>534</v>
      </c>
      <c r="D165" s="277" t="s">
        <v>547</v>
      </c>
      <c r="E165" s="277" t="s">
        <v>537</v>
      </c>
      <c r="F165" s="261"/>
      <c r="G165" s="262"/>
      <c r="H165" s="262"/>
      <c r="I165" s="260" t="s">
        <v>442</v>
      </c>
      <c r="J165" s="278" t="s">
        <v>443</v>
      </c>
      <c r="K165" s="285" t="s">
        <v>580</v>
      </c>
      <c r="L165" s="277" t="s">
        <v>540</v>
      </c>
      <c r="M165" s="263"/>
      <c r="N165" s="263"/>
      <c r="O165" s="264">
        <v>1300</v>
      </c>
      <c r="P165" s="264">
        <v>1200</v>
      </c>
      <c r="Q165" s="265">
        <v>1</v>
      </c>
      <c r="R165" s="30">
        <f>MBQ[[#This Row],[HEIGHT (mm)]]*MBQ[[#This Row],[QTY TOTAL]]/1000</f>
        <v>1.3</v>
      </c>
      <c r="S165" s="30">
        <f>MBQ[[#This Row],[WIDTH (mm)]]*MBQ[[#This Row],[QTY TOTAL]]/1000</f>
        <v>1.2</v>
      </c>
      <c r="T165" s="9">
        <f>(MBQ[[#This Row],[HEIGHT (mm)]]+MBQ[[#This Row],[WIDTH (mm)]])/1000*2*MBQ[[#This Row],[QTY TOTAL]]</f>
        <v>5</v>
      </c>
      <c r="U165" s="266">
        <f>MBQ[[#This Row],[MULTIPLIER]]*MBQ[[#This Row],[QTY]]</f>
        <v>1</v>
      </c>
      <c r="V165" s="9">
        <f>MBQ[[#This Row],[HEIGHT (mm)]]/1000*MBQ[[#This Row],[WIDTH (mm)]]/1000*MBQ[[#This Row],[QTY TOTAL]]</f>
        <v>1.56</v>
      </c>
      <c r="W165" s="287">
        <f>ROUNDUP(MBQ[[#This Row],[HEIGHT (mm)]]/450*MBQ[[#This Row],[QTY]]*2,0)+ROUNDUP(MBQ[[#This Row],[WIDTH (mm)]]/450*MBQ[[#This Row],[QTY]]*2,0)</f>
        <v>12</v>
      </c>
    </row>
    <row r="166" spans="1:23" hidden="1">
      <c r="A166" s="258">
        <v>1</v>
      </c>
      <c r="B166" s="286" t="s">
        <v>535</v>
      </c>
      <c r="C166" s="278" t="s">
        <v>534</v>
      </c>
      <c r="D166" s="277" t="s">
        <v>547</v>
      </c>
      <c r="E166" s="277" t="s">
        <v>537</v>
      </c>
      <c r="F166" s="261"/>
      <c r="G166" s="262"/>
      <c r="H166" s="262"/>
      <c r="I166" s="260" t="s">
        <v>442</v>
      </c>
      <c r="J166" s="278" t="s">
        <v>443</v>
      </c>
      <c r="K166" s="285" t="s">
        <v>580</v>
      </c>
      <c r="L166" s="277" t="s">
        <v>541</v>
      </c>
      <c r="M166" s="263"/>
      <c r="N166" s="263"/>
      <c r="O166" s="264">
        <v>1700</v>
      </c>
      <c r="P166" s="264">
        <v>1200</v>
      </c>
      <c r="Q166" s="265">
        <v>1</v>
      </c>
      <c r="R166" s="30">
        <f>MBQ[[#This Row],[HEIGHT (mm)]]*MBQ[[#This Row],[QTY TOTAL]]/1000</f>
        <v>1.7</v>
      </c>
      <c r="S166" s="30">
        <f>MBQ[[#This Row],[WIDTH (mm)]]*MBQ[[#This Row],[QTY TOTAL]]/1000</f>
        <v>1.2</v>
      </c>
      <c r="T166" s="9">
        <f>(MBQ[[#This Row],[HEIGHT (mm)]]+MBQ[[#This Row],[WIDTH (mm)]])/1000*2*MBQ[[#This Row],[QTY TOTAL]]</f>
        <v>5.8</v>
      </c>
      <c r="U166" s="266">
        <f>MBQ[[#This Row],[MULTIPLIER]]*MBQ[[#This Row],[QTY]]</f>
        <v>1</v>
      </c>
      <c r="V166" s="9">
        <f>MBQ[[#This Row],[HEIGHT (mm)]]/1000*MBQ[[#This Row],[WIDTH (mm)]]/1000*MBQ[[#This Row],[QTY TOTAL]]</f>
        <v>2.04</v>
      </c>
      <c r="W166" s="287">
        <f>ROUNDUP(MBQ[[#This Row],[HEIGHT (mm)]]/450*MBQ[[#This Row],[QTY]]*2,0)+ROUNDUP(MBQ[[#This Row],[WIDTH (mm)]]/450*MBQ[[#This Row],[QTY]]*2,0)</f>
        <v>14</v>
      </c>
    </row>
    <row r="167" spans="1:23" hidden="1">
      <c r="A167" s="258">
        <v>1</v>
      </c>
      <c r="B167" s="286" t="s">
        <v>535</v>
      </c>
      <c r="C167" s="278" t="s">
        <v>534</v>
      </c>
      <c r="D167" s="277" t="s">
        <v>547</v>
      </c>
      <c r="E167" s="277" t="s">
        <v>537</v>
      </c>
      <c r="F167" s="261"/>
      <c r="G167" s="262"/>
      <c r="H167" s="262"/>
      <c r="I167" s="260" t="s">
        <v>442</v>
      </c>
      <c r="J167" s="278" t="s">
        <v>443</v>
      </c>
      <c r="K167" s="285" t="s">
        <v>580</v>
      </c>
      <c r="L167" s="277" t="s">
        <v>540</v>
      </c>
      <c r="M167" s="263"/>
      <c r="N167" s="263"/>
      <c r="O167" s="264">
        <v>1000</v>
      </c>
      <c r="P167" s="264">
        <v>1200</v>
      </c>
      <c r="Q167" s="265">
        <v>1</v>
      </c>
      <c r="R167" s="30">
        <f>MBQ[[#This Row],[HEIGHT (mm)]]*MBQ[[#This Row],[QTY TOTAL]]/1000</f>
        <v>1</v>
      </c>
      <c r="S167" s="30">
        <f>MBQ[[#This Row],[WIDTH (mm)]]*MBQ[[#This Row],[QTY TOTAL]]/1000</f>
        <v>1.2</v>
      </c>
      <c r="T167" s="9">
        <f>(MBQ[[#This Row],[HEIGHT (mm)]]+MBQ[[#This Row],[WIDTH (mm)]])/1000*2*MBQ[[#This Row],[QTY TOTAL]]</f>
        <v>4.4000000000000004</v>
      </c>
      <c r="U167" s="266">
        <f>MBQ[[#This Row],[MULTIPLIER]]*MBQ[[#This Row],[QTY]]</f>
        <v>1</v>
      </c>
      <c r="V167" s="9">
        <f>MBQ[[#This Row],[HEIGHT (mm)]]/1000*MBQ[[#This Row],[WIDTH (mm)]]/1000*MBQ[[#This Row],[QTY TOTAL]]</f>
        <v>1.2</v>
      </c>
      <c r="W167" s="287">
        <f>ROUNDUP(MBQ[[#This Row],[HEIGHT (mm)]]/450*MBQ[[#This Row],[QTY]]*2,0)+ROUNDUP(MBQ[[#This Row],[WIDTH (mm)]]/450*MBQ[[#This Row],[QTY]]*2,0)</f>
        <v>11</v>
      </c>
    </row>
    <row r="168" spans="1:23" hidden="1">
      <c r="A168" s="258">
        <v>1</v>
      </c>
      <c r="B168" s="286" t="s">
        <v>535</v>
      </c>
      <c r="C168" s="278" t="s">
        <v>534</v>
      </c>
      <c r="D168" s="277" t="s">
        <v>547</v>
      </c>
      <c r="E168" s="277" t="s">
        <v>537</v>
      </c>
      <c r="F168" s="261"/>
      <c r="G168" s="262"/>
      <c r="H168" s="262"/>
      <c r="I168" s="260" t="s">
        <v>442</v>
      </c>
      <c r="J168" s="278" t="s">
        <v>443</v>
      </c>
      <c r="K168" s="285" t="s">
        <v>580</v>
      </c>
      <c r="L168" s="277" t="s">
        <v>540</v>
      </c>
      <c r="M168" s="263"/>
      <c r="N168" s="263"/>
      <c r="O168" s="264">
        <v>1100</v>
      </c>
      <c r="P168" s="264">
        <v>1200</v>
      </c>
      <c r="Q168" s="265">
        <v>1</v>
      </c>
      <c r="R168" s="30">
        <f>MBQ[[#This Row],[HEIGHT (mm)]]*MBQ[[#This Row],[QTY TOTAL]]/1000</f>
        <v>1.1000000000000001</v>
      </c>
      <c r="S168" s="30">
        <f>MBQ[[#This Row],[WIDTH (mm)]]*MBQ[[#This Row],[QTY TOTAL]]/1000</f>
        <v>1.2</v>
      </c>
      <c r="T168" s="9">
        <f>(MBQ[[#This Row],[HEIGHT (mm)]]+MBQ[[#This Row],[WIDTH (mm)]])/1000*2*MBQ[[#This Row],[QTY TOTAL]]</f>
        <v>4.5999999999999996</v>
      </c>
      <c r="U168" s="266">
        <f>MBQ[[#This Row],[MULTIPLIER]]*MBQ[[#This Row],[QTY]]</f>
        <v>1</v>
      </c>
      <c r="V168" s="9">
        <f>MBQ[[#This Row],[HEIGHT (mm)]]/1000*MBQ[[#This Row],[WIDTH (mm)]]/1000*MBQ[[#This Row],[QTY TOTAL]]</f>
        <v>1.32</v>
      </c>
      <c r="W168" s="287">
        <f>ROUNDUP(MBQ[[#This Row],[HEIGHT (mm)]]/450*MBQ[[#This Row],[QTY]]*2,0)+ROUNDUP(MBQ[[#This Row],[WIDTH (mm)]]/450*MBQ[[#This Row],[QTY]]*2,0)</f>
        <v>11</v>
      </c>
    </row>
    <row r="169" spans="1:23" hidden="1">
      <c r="A169" s="258">
        <v>1</v>
      </c>
      <c r="B169" s="286" t="s">
        <v>535</v>
      </c>
      <c r="C169" s="278" t="s">
        <v>534</v>
      </c>
      <c r="D169" s="277" t="s">
        <v>547</v>
      </c>
      <c r="E169" s="277" t="s">
        <v>537</v>
      </c>
      <c r="F169" s="261"/>
      <c r="G169" s="262"/>
      <c r="H169" s="262"/>
      <c r="I169" s="260" t="s">
        <v>442</v>
      </c>
      <c r="J169" s="278" t="s">
        <v>443</v>
      </c>
      <c r="K169" s="285" t="s">
        <v>580</v>
      </c>
      <c r="L169" s="277" t="s">
        <v>541</v>
      </c>
      <c r="M169" s="263"/>
      <c r="N169" s="263"/>
      <c r="O169" s="264">
        <v>1700</v>
      </c>
      <c r="P169" s="264">
        <v>1200</v>
      </c>
      <c r="Q169" s="265">
        <v>1</v>
      </c>
      <c r="R169" s="30">
        <f>MBQ[[#This Row],[HEIGHT (mm)]]*MBQ[[#This Row],[QTY TOTAL]]/1000</f>
        <v>1.7</v>
      </c>
      <c r="S169" s="30">
        <f>MBQ[[#This Row],[WIDTH (mm)]]*MBQ[[#This Row],[QTY TOTAL]]/1000</f>
        <v>1.2</v>
      </c>
      <c r="T169" s="9">
        <f>(MBQ[[#This Row],[HEIGHT (mm)]]+MBQ[[#This Row],[WIDTH (mm)]])/1000*2*MBQ[[#This Row],[QTY TOTAL]]</f>
        <v>5.8</v>
      </c>
      <c r="U169" s="266">
        <f>MBQ[[#This Row],[MULTIPLIER]]*MBQ[[#This Row],[QTY]]</f>
        <v>1</v>
      </c>
      <c r="V169" s="9">
        <f>MBQ[[#This Row],[HEIGHT (mm)]]/1000*MBQ[[#This Row],[WIDTH (mm)]]/1000*MBQ[[#This Row],[QTY TOTAL]]</f>
        <v>2.04</v>
      </c>
      <c r="W169" s="287">
        <f>ROUNDUP(MBQ[[#This Row],[HEIGHT (mm)]]/450*MBQ[[#This Row],[QTY]]*2,0)+ROUNDUP(MBQ[[#This Row],[WIDTH (mm)]]/450*MBQ[[#This Row],[QTY]]*2,0)</f>
        <v>14</v>
      </c>
    </row>
    <row r="170" spans="1:23" hidden="1">
      <c r="A170" s="258">
        <v>1</v>
      </c>
      <c r="B170" s="286" t="s">
        <v>535</v>
      </c>
      <c r="C170" s="278" t="s">
        <v>534</v>
      </c>
      <c r="D170" s="277" t="s">
        <v>547</v>
      </c>
      <c r="E170" s="277" t="s">
        <v>537</v>
      </c>
      <c r="F170" s="261"/>
      <c r="G170" s="262"/>
      <c r="H170" s="262"/>
      <c r="I170" s="260" t="s">
        <v>442</v>
      </c>
      <c r="J170" s="278" t="s">
        <v>443</v>
      </c>
      <c r="K170" s="285" t="s">
        <v>580</v>
      </c>
      <c r="L170" s="277" t="s">
        <v>540</v>
      </c>
      <c r="M170" s="263"/>
      <c r="N170" s="263"/>
      <c r="O170" s="264">
        <v>1000</v>
      </c>
      <c r="P170" s="264">
        <v>1200</v>
      </c>
      <c r="Q170" s="265">
        <v>1</v>
      </c>
      <c r="R170" s="30">
        <f>MBQ[[#This Row],[HEIGHT (mm)]]*MBQ[[#This Row],[QTY TOTAL]]/1000</f>
        <v>1</v>
      </c>
      <c r="S170" s="30">
        <f>MBQ[[#This Row],[WIDTH (mm)]]*MBQ[[#This Row],[QTY TOTAL]]/1000</f>
        <v>1.2</v>
      </c>
      <c r="T170" s="9">
        <f>(MBQ[[#This Row],[HEIGHT (mm)]]+MBQ[[#This Row],[WIDTH (mm)]])/1000*2*MBQ[[#This Row],[QTY TOTAL]]</f>
        <v>4.4000000000000004</v>
      </c>
      <c r="U170" s="266">
        <f>MBQ[[#This Row],[MULTIPLIER]]*MBQ[[#This Row],[QTY]]</f>
        <v>1</v>
      </c>
      <c r="V170" s="9">
        <f>MBQ[[#This Row],[HEIGHT (mm)]]/1000*MBQ[[#This Row],[WIDTH (mm)]]/1000*MBQ[[#This Row],[QTY TOTAL]]</f>
        <v>1.2</v>
      </c>
      <c r="W170" s="287">
        <f>ROUNDUP(MBQ[[#This Row],[HEIGHT (mm)]]/450*MBQ[[#This Row],[QTY]]*2,0)+ROUNDUP(MBQ[[#This Row],[WIDTH (mm)]]/450*MBQ[[#This Row],[QTY]]*2,0)</f>
        <v>11</v>
      </c>
    </row>
    <row r="171" spans="1:23" hidden="1">
      <c r="A171" s="258">
        <v>1</v>
      </c>
      <c r="B171" s="276" t="s">
        <v>536</v>
      </c>
      <c r="C171" s="278" t="s">
        <v>534</v>
      </c>
      <c r="D171" s="277" t="s">
        <v>547</v>
      </c>
      <c r="E171" s="277" t="s">
        <v>537</v>
      </c>
      <c r="F171" s="261"/>
      <c r="G171" s="262"/>
      <c r="H171" s="262"/>
      <c r="I171" s="260" t="s">
        <v>442</v>
      </c>
      <c r="J171" s="278" t="s">
        <v>443</v>
      </c>
      <c r="K171" s="285" t="s">
        <v>580</v>
      </c>
      <c r="L171" s="277" t="s">
        <v>540</v>
      </c>
      <c r="M171" s="263"/>
      <c r="N171" s="263"/>
      <c r="O171" s="264">
        <v>1300</v>
      </c>
      <c r="P171" s="264">
        <v>1200</v>
      </c>
      <c r="Q171" s="265">
        <v>1</v>
      </c>
      <c r="R171" s="30">
        <f>MBQ[[#This Row],[HEIGHT (mm)]]*MBQ[[#This Row],[QTY TOTAL]]/1000</f>
        <v>1.3</v>
      </c>
      <c r="S171" s="30">
        <f>MBQ[[#This Row],[WIDTH (mm)]]*MBQ[[#This Row],[QTY TOTAL]]/1000</f>
        <v>1.2</v>
      </c>
      <c r="T171" s="9">
        <f>(MBQ[[#This Row],[HEIGHT (mm)]]+MBQ[[#This Row],[WIDTH (mm)]])/1000*2*MBQ[[#This Row],[QTY TOTAL]]</f>
        <v>5</v>
      </c>
      <c r="U171" s="266">
        <f>MBQ[[#This Row],[MULTIPLIER]]*MBQ[[#This Row],[QTY]]</f>
        <v>1</v>
      </c>
      <c r="V171" s="9">
        <f>MBQ[[#This Row],[HEIGHT (mm)]]/1000*MBQ[[#This Row],[WIDTH (mm)]]/1000*MBQ[[#This Row],[QTY TOTAL]]</f>
        <v>1.56</v>
      </c>
      <c r="W171" s="287">
        <f>ROUNDUP(MBQ[[#This Row],[HEIGHT (mm)]]/450*MBQ[[#This Row],[QTY]]*2,0)+ROUNDUP(MBQ[[#This Row],[WIDTH (mm)]]/450*MBQ[[#This Row],[QTY]]*2,0)</f>
        <v>12</v>
      </c>
    </row>
    <row r="172" spans="1:23" ht="30" hidden="1">
      <c r="A172" s="258">
        <v>1</v>
      </c>
      <c r="B172" s="276" t="s">
        <v>536</v>
      </c>
      <c r="C172" s="278" t="s">
        <v>534</v>
      </c>
      <c r="D172" s="277" t="s">
        <v>547</v>
      </c>
      <c r="E172" s="277" t="s">
        <v>537</v>
      </c>
      <c r="F172" s="261"/>
      <c r="G172" s="262"/>
      <c r="H172" s="262"/>
      <c r="I172" s="260" t="s">
        <v>442</v>
      </c>
      <c r="J172" s="278" t="s">
        <v>549</v>
      </c>
      <c r="K172" s="285" t="s">
        <v>580</v>
      </c>
      <c r="L172" s="277" t="s">
        <v>548</v>
      </c>
      <c r="M172" s="263"/>
      <c r="N172" s="263"/>
      <c r="O172" s="264">
        <v>2700</v>
      </c>
      <c r="P172" s="264">
        <v>2400</v>
      </c>
      <c r="Q172" s="265">
        <v>1</v>
      </c>
      <c r="R172" s="30">
        <f>MBQ[[#This Row],[HEIGHT (mm)]]*MBQ[[#This Row],[QTY TOTAL]]/1000</f>
        <v>2.7</v>
      </c>
      <c r="S172" s="30">
        <f>MBQ[[#This Row],[WIDTH (mm)]]*MBQ[[#This Row],[QTY TOTAL]]/1000</f>
        <v>2.4</v>
      </c>
      <c r="T172" s="9">
        <f>(MBQ[[#This Row],[HEIGHT (mm)]]+MBQ[[#This Row],[WIDTH (mm)]])/1000*2*MBQ[[#This Row],[QTY TOTAL]]</f>
        <v>10.199999999999999</v>
      </c>
      <c r="U172" s="266">
        <f>MBQ[[#This Row],[MULTIPLIER]]*MBQ[[#This Row],[QTY]]</f>
        <v>1</v>
      </c>
      <c r="V172" s="9">
        <f>MBQ[[#This Row],[HEIGHT (mm)]]/1000*MBQ[[#This Row],[WIDTH (mm)]]/1000*MBQ[[#This Row],[QTY TOTAL]]</f>
        <v>6.48</v>
      </c>
      <c r="W172" s="287">
        <f>ROUNDUP(MBQ[[#This Row],[HEIGHT (mm)]]/450*MBQ[[#This Row],[QTY]]*2,0)+ROUNDUP(MBQ[[#This Row],[WIDTH (mm)]]/450*MBQ[[#This Row],[QTY]]*2,0)</f>
        <v>23</v>
      </c>
    </row>
    <row r="173" spans="1:23" hidden="1">
      <c r="A173" s="258">
        <v>1</v>
      </c>
      <c r="B173" s="286" t="s">
        <v>535</v>
      </c>
      <c r="C173" s="278" t="s">
        <v>534</v>
      </c>
      <c r="D173" s="277" t="s">
        <v>547</v>
      </c>
      <c r="E173" s="277" t="s">
        <v>537</v>
      </c>
      <c r="F173" s="261"/>
      <c r="G173" s="262"/>
      <c r="H173" s="262"/>
      <c r="I173" s="260" t="s">
        <v>442</v>
      </c>
      <c r="J173" s="278" t="s">
        <v>443</v>
      </c>
      <c r="K173" s="285" t="s">
        <v>580</v>
      </c>
      <c r="L173" s="277" t="s">
        <v>540</v>
      </c>
      <c r="M173" s="263"/>
      <c r="N173" s="263"/>
      <c r="O173" s="264">
        <v>1100</v>
      </c>
      <c r="P173" s="264">
        <v>1200</v>
      </c>
      <c r="Q173" s="265">
        <v>1</v>
      </c>
      <c r="R173" s="30">
        <f>MBQ[[#This Row],[HEIGHT (mm)]]*MBQ[[#This Row],[QTY TOTAL]]/1000</f>
        <v>1.1000000000000001</v>
      </c>
      <c r="S173" s="30">
        <f>MBQ[[#This Row],[WIDTH (mm)]]*MBQ[[#This Row],[QTY TOTAL]]/1000</f>
        <v>1.2</v>
      </c>
      <c r="T173" s="9">
        <f>(MBQ[[#This Row],[HEIGHT (mm)]]+MBQ[[#This Row],[WIDTH (mm)]])/1000*2*MBQ[[#This Row],[QTY TOTAL]]</f>
        <v>4.5999999999999996</v>
      </c>
      <c r="U173" s="266">
        <f>MBQ[[#This Row],[MULTIPLIER]]*MBQ[[#This Row],[QTY]]</f>
        <v>1</v>
      </c>
      <c r="V173" s="9">
        <f>MBQ[[#This Row],[HEIGHT (mm)]]/1000*MBQ[[#This Row],[WIDTH (mm)]]/1000*MBQ[[#This Row],[QTY TOTAL]]</f>
        <v>1.32</v>
      </c>
      <c r="W173" s="287">
        <f>ROUNDUP(MBQ[[#This Row],[HEIGHT (mm)]]/450*MBQ[[#This Row],[QTY]]*2,0)+ROUNDUP(MBQ[[#This Row],[WIDTH (mm)]]/450*MBQ[[#This Row],[QTY]]*2,0)</f>
        <v>11</v>
      </c>
    </row>
    <row r="174" spans="1:23" hidden="1">
      <c r="A174" s="258">
        <v>1</v>
      </c>
      <c r="B174" s="286" t="s">
        <v>535</v>
      </c>
      <c r="C174" s="278" t="s">
        <v>534</v>
      </c>
      <c r="D174" s="277" t="s">
        <v>547</v>
      </c>
      <c r="E174" s="277" t="s">
        <v>537</v>
      </c>
      <c r="F174" s="261"/>
      <c r="G174" s="262"/>
      <c r="H174" s="262"/>
      <c r="I174" s="260" t="s">
        <v>442</v>
      </c>
      <c r="J174" s="278" t="s">
        <v>443</v>
      </c>
      <c r="K174" s="285" t="s">
        <v>580</v>
      </c>
      <c r="L174" s="277" t="s">
        <v>541</v>
      </c>
      <c r="M174" s="263"/>
      <c r="N174" s="263"/>
      <c r="O174" s="264">
        <v>1700</v>
      </c>
      <c r="P174" s="264">
        <v>1200</v>
      </c>
      <c r="Q174" s="265">
        <v>1</v>
      </c>
      <c r="R174" s="30">
        <f>MBQ[[#This Row],[HEIGHT (mm)]]*MBQ[[#This Row],[QTY TOTAL]]/1000</f>
        <v>1.7</v>
      </c>
      <c r="S174" s="30">
        <f>MBQ[[#This Row],[WIDTH (mm)]]*MBQ[[#This Row],[QTY TOTAL]]/1000</f>
        <v>1.2</v>
      </c>
      <c r="T174" s="9">
        <f>(MBQ[[#This Row],[HEIGHT (mm)]]+MBQ[[#This Row],[WIDTH (mm)]])/1000*2*MBQ[[#This Row],[QTY TOTAL]]</f>
        <v>5.8</v>
      </c>
      <c r="U174" s="266">
        <f>MBQ[[#This Row],[MULTIPLIER]]*MBQ[[#This Row],[QTY]]</f>
        <v>1</v>
      </c>
      <c r="V174" s="9">
        <f>MBQ[[#This Row],[HEIGHT (mm)]]/1000*MBQ[[#This Row],[WIDTH (mm)]]/1000*MBQ[[#This Row],[QTY TOTAL]]</f>
        <v>2.04</v>
      </c>
      <c r="W174" s="287">
        <f>ROUNDUP(MBQ[[#This Row],[HEIGHT (mm)]]/450*MBQ[[#This Row],[QTY]]*2,0)+ROUNDUP(MBQ[[#This Row],[WIDTH (mm)]]/450*MBQ[[#This Row],[QTY]]*2,0)</f>
        <v>14</v>
      </c>
    </row>
    <row r="175" spans="1:23" hidden="1">
      <c r="A175" s="258">
        <v>1</v>
      </c>
      <c r="B175" s="286" t="s">
        <v>535</v>
      </c>
      <c r="C175" s="278" t="s">
        <v>534</v>
      </c>
      <c r="D175" s="277" t="s">
        <v>547</v>
      </c>
      <c r="E175" s="277" t="s">
        <v>537</v>
      </c>
      <c r="F175" s="261"/>
      <c r="G175" s="262"/>
      <c r="H175" s="262"/>
      <c r="I175" s="260" t="s">
        <v>442</v>
      </c>
      <c r="J175" s="278" t="s">
        <v>443</v>
      </c>
      <c r="K175" s="285" t="s">
        <v>580</v>
      </c>
      <c r="L175" s="277" t="s">
        <v>540</v>
      </c>
      <c r="M175" s="263"/>
      <c r="N175" s="263"/>
      <c r="O175" s="264">
        <v>1000</v>
      </c>
      <c r="P175" s="264">
        <v>1200</v>
      </c>
      <c r="Q175" s="265">
        <v>1</v>
      </c>
      <c r="R175" s="30">
        <f>MBQ[[#This Row],[HEIGHT (mm)]]*MBQ[[#This Row],[QTY TOTAL]]/1000</f>
        <v>1</v>
      </c>
      <c r="S175" s="30">
        <f>MBQ[[#This Row],[WIDTH (mm)]]*MBQ[[#This Row],[QTY TOTAL]]/1000</f>
        <v>1.2</v>
      </c>
      <c r="T175" s="9">
        <f>(MBQ[[#This Row],[HEIGHT (mm)]]+MBQ[[#This Row],[WIDTH (mm)]])/1000*2*MBQ[[#This Row],[QTY TOTAL]]</f>
        <v>4.4000000000000004</v>
      </c>
      <c r="U175" s="266">
        <f>MBQ[[#This Row],[MULTIPLIER]]*MBQ[[#This Row],[QTY]]</f>
        <v>1</v>
      </c>
      <c r="V175" s="9">
        <f>MBQ[[#This Row],[HEIGHT (mm)]]/1000*MBQ[[#This Row],[WIDTH (mm)]]/1000*MBQ[[#This Row],[QTY TOTAL]]</f>
        <v>1.2</v>
      </c>
      <c r="W175" s="287">
        <f>ROUNDUP(MBQ[[#This Row],[HEIGHT (mm)]]/450*MBQ[[#This Row],[QTY]]*2,0)+ROUNDUP(MBQ[[#This Row],[WIDTH (mm)]]/450*MBQ[[#This Row],[QTY]]*2,0)</f>
        <v>11</v>
      </c>
    </row>
    <row r="176" spans="1:23" hidden="1">
      <c r="A176" s="258">
        <v>1</v>
      </c>
      <c r="B176" s="276" t="s">
        <v>536</v>
      </c>
      <c r="C176" s="278" t="s">
        <v>534</v>
      </c>
      <c r="D176" s="277" t="s">
        <v>547</v>
      </c>
      <c r="E176" s="277" t="s">
        <v>537</v>
      </c>
      <c r="F176" s="261"/>
      <c r="G176" s="262"/>
      <c r="H176" s="262"/>
      <c r="I176" s="260" t="s">
        <v>442</v>
      </c>
      <c r="J176" s="278" t="s">
        <v>443</v>
      </c>
      <c r="K176" s="285" t="s">
        <v>580</v>
      </c>
      <c r="L176" s="277" t="s">
        <v>540</v>
      </c>
      <c r="M176" s="263"/>
      <c r="N176" s="263"/>
      <c r="O176" s="264">
        <v>1300</v>
      </c>
      <c r="P176" s="264">
        <v>1200</v>
      </c>
      <c r="Q176" s="265">
        <v>1</v>
      </c>
      <c r="R176" s="30">
        <f>MBQ[[#This Row],[HEIGHT (mm)]]*MBQ[[#This Row],[QTY TOTAL]]/1000</f>
        <v>1.3</v>
      </c>
      <c r="S176" s="30">
        <f>MBQ[[#This Row],[WIDTH (mm)]]*MBQ[[#This Row],[QTY TOTAL]]/1000</f>
        <v>1.2</v>
      </c>
      <c r="T176" s="9">
        <f>(MBQ[[#This Row],[HEIGHT (mm)]]+MBQ[[#This Row],[WIDTH (mm)]])/1000*2*MBQ[[#This Row],[QTY TOTAL]]</f>
        <v>5</v>
      </c>
      <c r="U176" s="266">
        <f>MBQ[[#This Row],[MULTIPLIER]]*MBQ[[#This Row],[QTY]]</f>
        <v>1</v>
      </c>
      <c r="V176" s="9">
        <f>MBQ[[#This Row],[HEIGHT (mm)]]/1000*MBQ[[#This Row],[WIDTH (mm)]]/1000*MBQ[[#This Row],[QTY TOTAL]]</f>
        <v>1.56</v>
      </c>
      <c r="W176" s="287">
        <f>ROUNDUP(MBQ[[#This Row],[HEIGHT (mm)]]/450*MBQ[[#This Row],[QTY]]*2,0)+ROUNDUP(MBQ[[#This Row],[WIDTH (mm)]]/450*MBQ[[#This Row],[QTY]]*2,0)</f>
        <v>12</v>
      </c>
    </row>
    <row r="177" spans="1:23" hidden="1">
      <c r="A177" s="258">
        <v>1</v>
      </c>
      <c r="B177" s="276" t="s">
        <v>536</v>
      </c>
      <c r="C177" s="278" t="s">
        <v>534</v>
      </c>
      <c r="D177" s="277" t="s">
        <v>547</v>
      </c>
      <c r="E177" s="277" t="s">
        <v>537</v>
      </c>
      <c r="F177" s="261"/>
      <c r="G177" s="262"/>
      <c r="H177" s="262"/>
      <c r="I177" s="260" t="s">
        <v>442</v>
      </c>
      <c r="J177" s="278" t="s">
        <v>443</v>
      </c>
      <c r="K177" s="285" t="s">
        <v>580</v>
      </c>
      <c r="L177" s="277" t="s">
        <v>540</v>
      </c>
      <c r="M177" s="263"/>
      <c r="N177" s="263"/>
      <c r="O177" s="264">
        <v>1300</v>
      </c>
      <c r="P177" s="264">
        <v>1200</v>
      </c>
      <c r="Q177" s="265">
        <v>1</v>
      </c>
      <c r="R177" s="30">
        <f>MBQ[[#This Row],[HEIGHT (mm)]]*MBQ[[#This Row],[QTY TOTAL]]/1000</f>
        <v>1.3</v>
      </c>
      <c r="S177" s="30">
        <f>MBQ[[#This Row],[WIDTH (mm)]]*MBQ[[#This Row],[QTY TOTAL]]/1000</f>
        <v>1.2</v>
      </c>
      <c r="T177" s="9">
        <f>(MBQ[[#This Row],[HEIGHT (mm)]]+MBQ[[#This Row],[WIDTH (mm)]])/1000*2*MBQ[[#This Row],[QTY TOTAL]]</f>
        <v>5</v>
      </c>
      <c r="U177" s="266">
        <f>MBQ[[#This Row],[MULTIPLIER]]*MBQ[[#This Row],[QTY]]</f>
        <v>1</v>
      </c>
      <c r="V177" s="9">
        <f>MBQ[[#This Row],[HEIGHT (mm)]]/1000*MBQ[[#This Row],[WIDTH (mm)]]/1000*MBQ[[#This Row],[QTY TOTAL]]</f>
        <v>1.56</v>
      </c>
      <c r="W177" s="287">
        <f>ROUNDUP(MBQ[[#This Row],[HEIGHT (mm)]]/450*MBQ[[#This Row],[QTY]]*2,0)+ROUNDUP(MBQ[[#This Row],[WIDTH (mm)]]/450*MBQ[[#This Row],[QTY]]*2,0)</f>
        <v>12</v>
      </c>
    </row>
    <row r="178" spans="1:23" hidden="1">
      <c r="A178" s="258">
        <v>1</v>
      </c>
      <c r="B178" s="276" t="s">
        <v>536</v>
      </c>
      <c r="C178" s="278" t="s">
        <v>534</v>
      </c>
      <c r="D178" s="277" t="s">
        <v>547</v>
      </c>
      <c r="E178" s="277" t="s">
        <v>537</v>
      </c>
      <c r="F178" s="261"/>
      <c r="G178" s="262"/>
      <c r="H178" s="262"/>
      <c r="I178" s="260" t="s">
        <v>442</v>
      </c>
      <c r="J178" s="278" t="s">
        <v>443</v>
      </c>
      <c r="K178" s="285" t="s">
        <v>580</v>
      </c>
      <c r="L178" s="277" t="s">
        <v>541</v>
      </c>
      <c r="M178" s="263"/>
      <c r="N178" s="263"/>
      <c r="O178" s="264">
        <v>1700</v>
      </c>
      <c r="P178" s="264">
        <v>1200</v>
      </c>
      <c r="Q178" s="265">
        <v>1</v>
      </c>
      <c r="R178" s="30">
        <f>MBQ[[#This Row],[HEIGHT (mm)]]*MBQ[[#This Row],[QTY TOTAL]]/1000</f>
        <v>1.7</v>
      </c>
      <c r="S178" s="30">
        <f>MBQ[[#This Row],[WIDTH (mm)]]*MBQ[[#This Row],[QTY TOTAL]]/1000</f>
        <v>1.2</v>
      </c>
      <c r="T178" s="9">
        <f>(MBQ[[#This Row],[HEIGHT (mm)]]+MBQ[[#This Row],[WIDTH (mm)]])/1000*2*MBQ[[#This Row],[QTY TOTAL]]</f>
        <v>5.8</v>
      </c>
      <c r="U178" s="266">
        <f>MBQ[[#This Row],[MULTIPLIER]]*MBQ[[#This Row],[QTY]]</f>
        <v>1</v>
      </c>
      <c r="V178" s="9">
        <f>MBQ[[#This Row],[HEIGHT (mm)]]/1000*MBQ[[#This Row],[WIDTH (mm)]]/1000*MBQ[[#This Row],[QTY TOTAL]]</f>
        <v>2.04</v>
      </c>
      <c r="W178" s="287">
        <f>ROUNDUP(MBQ[[#This Row],[HEIGHT (mm)]]/450*MBQ[[#This Row],[QTY]]*2,0)+ROUNDUP(MBQ[[#This Row],[WIDTH (mm)]]/450*MBQ[[#This Row],[QTY]]*2,0)</f>
        <v>14</v>
      </c>
    </row>
    <row r="179" spans="1:23" hidden="1">
      <c r="A179" s="258">
        <v>1</v>
      </c>
      <c r="B179" s="276" t="s">
        <v>536</v>
      </c>
      <c r="C179" s="278" t="s">
        <v>534</v>
      </c>
      <c r="D179" s="277" t="s">
        <v>547</v>
      </c>
      <c r="E179" s="277" t="s">
        <v>537</v>
      </c>
      <c r="F179" s="261"/>
      <c r="G179" s="262"/>
      <c r="H179" s="262"/>
      <c r="I179" s="260" t="s">
        <v>442</v>
      </c>
      <c r="J179" s="278" t="s">
        <v>443</v>
      </c>
      <c r="K179" s="285" t="s">
        <v>580</v>
      </c>
      <c r="L179" s="277" t="s">
        <v>540</v>
      </c>
      <c r="M179" s="263"/>
      <c r="N179" s="263"/>
      <c r="O179" s="264">
        <v>1000</v>
      </c>
      <c r="P179" s="264">
        <v>1200</v>
      </c>
      <c r="Q179" s="265">
        <v>1</v>
      </c>
      <c r="R179" s="30">
        <f>MBQ[[#This Row],[HEIGHT (mm)]]*MBQ[[#This Row],[QTY TOTAL]]/1000</f>
        <v>1</v>
      </c>
      <c r="S179" s="30">
        <f>MBQ[[#This Row],[WIDTH (mm)]]*MBQ[[#This Row],[QTY TOTAL]]/1000</f>
        <v>1.2</v>
      </c>
      <c r="T179" s="9">
        <f>(MBQ[[#This Row],[HEIGHT (mm)]]+MBQ[[#This Row],[WIDTH (mm)]])/1000*2*MBQ[[#This Row],[QTY TOTAL]]</f>
        <v>4.4000000000000004</v>
      </c>
      <c r="U179" s="266">
        <f>MBQ[[#This Row],[MULTIPLIER]]*MBQ[[#This Row],[QTY]]</f>
        <v>1</v>
      </c>
      <c r="V179" s="9">
        <f>MBQ[[#This Row],[HEIGHT (mm)]]/1000*MBQ[[#This Row],[WIDTH (mm)]]/1000*MBQ[[#This Row],[QTY TOTAL]]</f>
        <v>1.2</v>
      </c>
      <c r="W179" s="287">
        <f>ROUNDUP(MBQ[[#This Row],[HEIGHT (mm)]]/450*MBQ[[#This Row],[QTY]]*2,0)+ROUNDUP(MBQ[[#This Row],[WIDTH (mm)]]/450*MBQ[[#This Row],[QTY]]*2,0)</f>
        <v>11</v>
      </c>
    </row>
    <row r="180" spans="1:23" hidden="1">
      <c r="A180" s="258">
        <v>1</v>
      </c>
      <c r="B180" s="276" t="s">
        <v>536</v>
      </c>
      <c r="C180" s="278" t="s">
        <v>534</v>
      </c>
      <c r="D180" s="277" t="s">
        <v>547</v>
      </c>
      <c r="E180" s="277" t="s">
        <v>537</v>
      </c>
      <c r="F180" s="261"/>
      <c r="G180" s="262"/>
      <c r="H180" s="262"/>
      <c r="I180" s="260" t="s">
        <v>442</v>
      </c>
      <c r="J180" s="278" t="s">
        <v>443</v>
      </c>
      <c r="K180" s="285" t="s">
        <v>580</v>
      </c>
      <c r="L180" s="277" t="s">
        <v>540</v>
      </c>
      <c r="M180" s="263"/>
      <c r="N180" s="263"/>
      <c r="O180" s="264">
        <v>1300</v>
      </c>
      <c r="P180" s="264">
        <v>1200</v>
      </c>
      <c r="Q180" s="265">
        <v>1</v>
      </c>
      <c r="R180" s="30">
        <f>MBQ[[#This Row],[HEIGHT (mm)]]*MBQ[[#This Row],[QTY TOTAL]]/1000</f>
        <v>1.3</v>
      </c>
      <c r="S180" s="30">
        <f>MBQ[[#This Row],[WIDTH (mm)]]*MBQ[[#This Row],[QTY TOTAL]]/1000</f>
        <v>1.2</v>
      </c>
      <c r="T180" s="9">
        <f>(MBQ[[#This Row],[HEIGHT (mm)]]+MBQ[[#This Row],[WIDTH (mm)]])/1000*2*MBQ[[#This Row],[QTY TOTAL]]</f>
        <v>5</v>
      </c>
      <c r="U180" s="266">
        <f>MBQ[[#This Row],[MULTIPLIER]]*MBQ[[#This Row],[QTY]]</f>
        <v>1</v>
      </c>
      <c r="V180" s="9">
        <f>MBQ[[#This Row],[HEIGHT (mm)]]/1000*MBQ[[#This Row],[WIDTH (mm)]]/1000*MBQ[[#This Row],[QTY TOTAL]]</f>
        <v>1.56</v>
      </c>
      <c r="W180" s="287">
        <f>ROUNDUP(MBQ[[#This Row],[HEIGHT (mm)]]/450*MBQ[[#This Row],[QTY]]*2,0)+ROUNDUP(MBQ[[#This Row],[WIDTH (mm)]]/450*MBQ[[#This Row],[QTY]]*2,0)</f>
        <v>12</v>
      </c>
    </row>
    <row r="181" spans="1:23" hidden="1">
      <c r="A181" s="258">
        <v>1</v>
      </c>
      <c r="B181" s="276" t="s">
        <v>536</v>
      </c>
      <c r="C181" s="278" t="s">
        <v>534</v>
      </c>
      <c r="D181" s="277" t="s">
        <v>547</v>
      </c>
      <c r="E181" s="277" t="s">
        <v>537</v>
      </c>
      <c r="F181" s="261"/>
      <c r="G181" s="262"/>
      <c r="H181" s="262"/>
      <c r="I181" s="260" t="s">
        <v>442</v>
      </c>
      <c r="J181" s="278" t="s">
        <v>443</v>
      </c>
      <c r="K181" s="285" t="s">
        <v>580</v>
      </c>
      <c r="L181" s="277" t="s">
        <v>541</v>
      </c>
      <c r="M181" s="263"/>
      <c r="N181" s="263"/>
      <c r="O181" s="264">
        <v>1700</v>
      </c>
      <c r="P181" s="264">
        <v>1200</v>
      </c>
      <c r="Q181" s="265">
        <v>1</v>
      </c>
      <c r="R181" s="30">
        <f>MBQ[[#This Row],[HEIGHT (mm)]]*MBQ[[#This Row],[QTY TOTAL]]/1000</f>
        <v>1.7</v>
      </c>
      <c r="S181" s="30">
        <f>MBQ[[#This Row],[WIDTH (mm)]]*MBQ[[#This Row],[QTY TOTAL]]/1000</f>
        <v>1.2</v>
      </c>
      <c r="T181" s="9">
        <f>(MBQ[[#This Row],[HEIGHT (mm)]]+MBQ[[#This Row],[WIDTH (mm)]])/1000*2*MBQ[[#This Row],[QTY TOTAL]]</f>
        <v>5.8</v>
      </c>
      <c r="U181" s="266">
        <f>MBQ[[#This Row],[MULTIPLIER]]*MBQ[[#This Row],[QTY]]</f>
        <v>1</v>
      </c>
      <c r="V181" s="9">
        <f>MBQ[[#This Row],[HEIGHT (mm)]]/1000*MBQ[[#This Row],[WIDTH (mm)]]/1000*MBQ[[#This Row],[QTY TOTAL]]</f>
        <v>2.04</v>
      </c>
      <c r="W181" s="287">
        <f>ROUNDUP(MBQ[[#This Row],[HEIGHT (mm)]]/450*MBQ[[#This Row],[QTY]]*2,0)+ROUNDUP(MBQ[[#This Row],[WIDTH (mm)]]/450*MBQ[[#This Row],[QTY]]*2,0)</f>
        <v>14</v>
      </c>
    </row>
    <row r="182" spans="1:23" hidden="1">
      <c r="A182" s="258">
        <v>1</v>
      </c>
      <c r="B182" s="276" t="s">
        <v>536</v>
      </c>
      <c r="C182" s="278" t="s">
        <v>534</v>
      </c>
      <c r="D182" s="277" t="s">
        <v>547</v>
      </c>
      <c r="E182" s="277" t="s">
        <v>537</v>
      </c>
      <c r="F182" s="261"/>
      <c r="G182" s="262"/>
      <c r="H182" s="262"/>
      <c r="I182" s="260" t="s">
        <v>442</v>
      </c>
      <c r="J182" s="278" t="s">
        <v>443</v>
      </c>
      <c r="K182" s="285" t="s">
        <v>580</v>
      </c>
      <c r="L182" s="277" t="s">
        <v>540</v>
      </c>
      <c r="M182" s="263"/>
      <c r="N182" s="263"/>
      <c r="O182" s="264">
        <v>1000</v>
      </c>
      <c r="P182" s="264">
        <v>1200</v>
      </c>
      <c r="Q182" s="265">
        <v>1</v>
      </c>
      <c r="R182" s="30">
        <f>MBQ[[#This Row],[HEIGHT (mm)]]*MBQ[[#This Row],[QTY TOTAL]]/1000</f>
        <v>1</v>
      </c>
      <c r="S182" s="30">
        <f>MBQ[[#This Row],[WIDTH (mm)]]*MBQ[[#This Row],[QTY TOTAL]]/1000</f>
        <v>1.2</v>
      </c>
      <c r="T182" s="9">
        <f>(MBQ[[#This Row],[HEIGHT (mm)]]+MBQ[[#This Row],[WIDTH (mm)]])/1000*2*MBQ[[#This Row],[QTY TOTAL]]</f>
        <v>4.4000000000000004</v>
      </c>
      <c r="U182" s="266">
        <f>MBQ[[#This Row],[MULTIPLIER]]*MBQ[[#This Row],[QTY]]</f>
        <v>1</v>
      </c>
      <c r="V182" s="9">
        <f>MBQ[[#This Row],[HEIGHT (mm)]]/1000*MBQ[[#This Row],[WIDTH (mm)]]/1000*MBQ[[#This Row],[QTY TOTAL]]</f>
        <v>1.2</v>
      </c>
      <c r="W182" s="287">
        <f>ROUNDUP(MBQ[[#This Row],[HEIGHT (mm)]]/450*MBQ[[#This Row],[QTY]]*2,0)+ROUNDUP(MBQ[[#This Row],[WIDTH (mm)]]/450*MBQ[[#This Row],[QTY]]*2,0)</f>
        <v>11</v>
      </c>
    </row>
    <row r="183" spans="1:23" hidden="1">
      <c r="A183" s="258">
        <v>1</v>
      </c>
      <c r="B183" s="276" t="s">
        <v>536</v>
      </c>
      <c r="C183" s="278" t="s">
        <v>544</v>
      </c>
      <c r="D183" s="277" t="s">
        <v>550</v>
      </c>
      <c r="E183" s="277" t="s">
        <v>537</v>
      </c>
      <c r="F183" s="261"/>
      <c r="G183" s="262"/>
      <c r="H183" s="262"/>
      <c r="I183" s="260" t="s">
        <v>441</v>
      </c>
      <c r="J183" s="263"/>
      <c r="K183" s="285" t="s">
        <v>580</v>
      </c>
      <c r="L183" s="260"/>
      <c r="M183" s="263"/>
      <c r="N183" s="263"/>
      <c r="O183" s="264">
        <v>8000</v>
      </c>
      <c r="P183" s="264">
        <v>18000</v>
      </c>
      <c r="Q183" s="265">
        <v>1</v>
      </c>
      <c r="R183" s="30">
        <f>MBQ[[#This Row],[HEIGHT (mm)]]*MBQ[[#This Row],[QTY TOTAL]]/1000</f>
        <v>8</v>
      </c>
      <c r="S183" s="30">
        <f>MBQ[[#This Row],[WIDTH (mm)]]*MBQ[[#This Row],[QTY TOTAL]]/1000</f>
        <v>18</v>
      </c>
      <c r="T183" s="9">
        <f>(MBQ[[#This Row],[HEIGHT (mm)]]+MBQ[[#This Row],[WIDTH (mm)]])/1000*2*MBQ[[#This Row],[QTY TOTAL]]</f>
        <v>52</v>
      </c>
      <c r="U183" s="266">
        <f>MBQ[[#This Row],[MULTIPLIER]]*MBQ[[#This Row],[QTY]]</f>
        <v>1</v>
      </c>
      <c r="V183" s="9">
        <f>MBQ[[#This Row],[HEIGHT (mm)]]/1000*MBQ[[#This Row],[WIDTH (mm)]]/1000*MBQ[[#This Row],[QTY TOTAL]]</f>
        <v>144</v>
      </c>
      <c r="W183" s="287">
        <f>ROUNDUP(MBQ[[#This Row],[HEIGHT (mm)]]/450*MBQ[[#This Row],[QTY]]*2,0)+ROUNDUP(MBQ[[#This Row],[WIDTH (mm)]]/450*MBQ[[#This Row],[QTY]]*2,0)</f>
        <v>116</v>
      </c>
    </row>
    <row r="184" spans="1:23" ht="30">
      <c r="A184" s="258">
        <v>1</v>
      </c>
      <c r="B184" s="286" t="s">
        <v>535</v>
      </c>
      <c r="C184" s="278" t="s">
        <v>544</v>
      </c>
      <c r="D184" s="277" t="s">
        <v>550</v>
      </c>
      <c r="E184" s="277" t="s">
        <v>537</v>
      </c>
      <c r="F184" s="261"/>
      <c r="G184" s="262"/>
      <c r="H184" s="262"/>
      <c r="I184" s="260" t="s">
        <v>439</v>
      </c>
      <c r="J184" s="278" t="s">
        <v>538</v>
      </c>
      <c r="K184" s="285" t="s">
        <v>580</v>
      </c>
      <c r="L184" s="277" t="s">
        <v>539</v>
      </c>
      <c r="M184" s="263"/>
      <c r="N184" s="263"/>
      <c r="O184" s="264">
        <v>4000</v>
      </c>
      <c r="P184" s="264">
        <v>1200</v>
      </c>
      <c r="Q184" s="265">
        <v>1</v>
      </c>
      <c r="R184" s="30">
        <f>MBQ[[#This Row],[HEIGHT (mm)]]*MBQ[[#This Row],[QTY TOTAL]]/1000</f>
        <v>4</v>
      </c>
      <c r="S184" s="30">
        <f>MBQ[[#This Row],[WIDTH (mm)]]*MBQ[[#This Row],[QTY TOTAL]]/1000</f>
        <v>1.2</v>
      </c>
      <c r="T184" s="9">
        <f>(MBQ[[#This Row],[HEIGHT (mm)]]+MBQ[[#This Row],[WIDTH (mm)]])/1000*2*MBQ[[#This Row],[QTY TOTAL]]</f>
        <v>10.4</v>
      </c>
      <c r="U184" s="266">
        <f>MBQ[[#This Row],[MULTIPLIER]]*MBQ[[#This Row],[QTY]]</f>
        <v>1</v>
      </c>
      <c r="V184" s="9">
        <f>MBQ[[#This Row],[HEIGHT (mm)]]/1000*MBQ[[#This Row],[WIDTH (mm)]]/1000*MBQ[[#This Row],[QTY TOTAL]]</f>
        <v>4.8</v>
      </c>
      <c r="W184" s="287">
        <f>ROUNDUP(MBQ[[#This Row],[HEIGHT (mm)]]/450*MBQ[[#This Row],[QTY]]*2,0)+ROUNDUP(MBQ[[#This Row],[WIDTH (mm)]]/450*MBQ[[#This Row],[QTY]]*2,0)</f>
        <v>24</v>
      </c>
    </row>
    <row r="185" spans="1:23" ht="30">
      <c r="A185" s="258">
        <v>1</v>
      </c>
      <c r="B185" s="286" t="s">
        <v>535</v>
      </c>
      <c r="C185" s="278" t="s">
        <v>544</v>
      </c>
      <c r="D185" s="277" t="s">
        <v>550</v>
      </c>
      <c r="E185" s="277" t="s">
        <v>537</v>
      </c>
      <c r="F185" s="261"/>
      <c r="G185" s="262"/>
      <c r="H185" s="262"/>
      <c r="I185" s="260" t="s">
        <v>439</v>
      </c>
      <c r="J185" s="278" t="s">
        <v>538</v>
      </c>
      <c r="K185" s="285" t="s">
        <v>580</v>
      </c>
      <c r="L185" s="277" t="s">
        <v>539</v>
      </c>
      <c r="M185" s="263"/>
      <c r="N185" s="263"/>
      <c r="O185" s="264">
        <v>4000</v>
      </c>
      <c r="P185" s="264">
        <v>1200</v>
      </c>
      <c r="Q185" s="265">
        <v>1</v>
      </c>
      <c r="R185" s="30">
        <f>MBQ[[#This Row],[HEIGHT (mm)]]*MBQ[[#This Row],[QTY TOTAL]]/1000</f>
        <v>4</v>
      </c>
      <c r="S185" s="30">
        <f>MBQ[[#This Row],[WIDTH (mm)]]*MBQ[[#This Row],[QTY TOTAL]]/1000</f>
        <v>1.2</v>
      </c>
      <c r="T185" s="9">
        <f>(MBQ[[#This Row],[HEIGHT (mm)]]+MBQ[[#This Row],[WIDTH (mm)]])/1000*2*MBQ[[#This Row],[QTY TOTAL]]</f>
        <v>10.4</v>
      </c>
      <c r="U185" s="266">
        <f>MBQ[[#This Row],[MULTIPLIER]]*MBQ[[#This Row],[QTY]]</f>
        <v>1</v>
      </c>
      <c r="V185" s="9">
        <f>MBQ[[#This Row],[HEIGHT (mm)]]/1000*MBQ[[#This Row],[WIDTH (mm)]]/1000*MBQ[[#This Row],[QTY TOTAL]]</f>
        <v>4.8</v>
      </c>
      <c r="W185" s="287">
        <f>ROUNDUP(MBQ[[#This Row],[HEIGHT (mm)]]/450*MBQ[[#This Row],[QTY]]*2,0)+ROUNDUP(MBQ[[#This Row],[WIDTH (mm)]]/450*MBQ[[#This Row],[QTY]]*2,0)</f>
        <v>24</v>
      </c>
    </row>
    <row r="186" spans="1:23" ht="30">
      <c r="A186" s="258">
        <v>1</v>
      </c>
      <c r="B186" s="286" t="s">
        <v>535</v>
      </c>
      <c r="C186" s="278" t="s">
        <v>544</v>
      </c>
      <c r="D186" s="277" t="s">
        <v>550</v>
      </c>
      <c r="E186" s="277" t="s">
        <v>537</v>
      </c>
      <c r="F186" s="261"/>
      <c r="G186" s="262"/>
      <c r="H186" s="262"/>
      <c r="I186" s="260" t="s">
        <v>439</v>
      </c>
      <c r="J186" s="278" t="s">
        <v>538</v>
      </c>
      <c r="K186" s="285" t="s">
        <v>580</v>
      </c>
      <c r="L186" s="277" t="s">
        <v>539</v>
      </c>
      <c r="M186" s="263"/>
      <c r="N186" s="263"/>
      <c r="O186" s="264">
        <v>4000</v>
      </c>
      <c r="P186" s="264">
        <v>1200</v>
      </c>
      <c r="Q186" s="265">
        <v>1</v>
      </c>
      <c r="R186" s="30">
        <f>MBQ[[#This Row],[HEIGHT (mm)]]*MBQ[[#This Row],[QTY TOTAL]]/1000</f>
        <v>4</v>
      </c>
      <c r="S186" s="30">
        <f>MBQ[[#This Row],[WIDTH (mm)]]*MBQ[[#This Row],[QTY TOTAL]]/1000</f>
        <v>1.2</v>
      </c>
      <c r="T186" s="9">
        <f>(MBQ[[#This Row],[HEIGHT (mm)]]+MBQ[[#This Row],[WIDTH (mm)]])/1000*2*MBQ[[#This Row],[QTY TOTAL]]</f>
        <v>10.4</v>
      </c>
      <c r="U186" s="266">
        <f>MBQ[[#This Row],[MULTIPLIER]]*MBQ[[#This Row],[QTY]]</f>
        <v>1</v>
      </c>
      <c r="V186" s="9">
        <f>MBQ[[#This Row],[HEIGHT (mm)]]/1000*MBQ[[#This Row],[WIDTH (mm)]]/1000*MBQ[[#This Row],[QTY TOTAL]]</f>
        <v>4.8</v>
      </c>
      <c r="W186" s="287">
        <f>ROUNDUP(MBQ[[#This Row],[HEIGHT (mm)]]/450*MBQ[[#This Row],[QTY]]*2,0)+ROUNDUP(MBQ[[#This Row],[WIDTH (mm)]]/450*MBQ[[#This Row],[QTY]]*2,0)</f>
        <v>24</v>
      </c>
    </row>
    <row r="187" spans="1:23" ht="30">
      <c r="A187" s="258">
        <v>1</v>
      </c>
      <c r="B187" s="286" t="s">
        <v>535</v>
      </c>
      <c r="C187" s="278" t="s">
        <v>544</v>
      </c>
      <c r="D187" s="277" t="s">
        <v>550</v>
      </c>
      <c r="E187" s="277" t="s">
        <v>537</v>
      </c>
      <c r="F187" s="261"/>
      <c r="G187" s="262"/>
      <c r="H187" s="262"/>
      <c r="I187" s="260" t="s">
        <v>439</v>
      </c>
      <c r="J187" s="278" t="s">
        <v>538</v>
      </c>
      <c r="K187" s="285" t="s">
        <v>580</v>
      </c>
      <c r="L187" s="277" t="s">
        <v>539</v>
      </c>
      <c r="M187" s="263"/>
      <c r="N187" s="263"/>
      <c r="O187" s="264">
        <v>4000</v>
      </c>
      <c r="P187" s="264">
        <v>1200</v>
      </c>
      <c r="Q187" s="265">
        <v>1</v>
      </c>
      <c r="R187" s="30">
        <f>MBQ[[#This Row],[HEIGHT (mm)]]*MBQ[[#This Row],[QTY TOTAL]]/1000</f>
        <v>4</v>
      </c>
      <c r="S187" s="30">
        <f>MBQ[[#This Row],[WIDTH (mm)]]*MBQ[[#This Row],[QTY TOTAL]]/1000</f>
        <v>1.2</v>
      </c>
      <c r="T187" s="9">
        <f>(MBQ[[#This Row],[HEIGHT (mm)]]+MBQ[[#This Row],[WIDTH (mm)]])/1000*2*MBQ[[#This Row],[QTY TOTAL]]</f>
        <v>10.4</v>
      </c>
      <c r="U187" s="266">
        <f>MBQ[[#This Row],[MULTIPLIER]]*MBQ[[#This Row],[QTY]]</f>
        <v>1</v>
      </c>
      <c r="V187" s="9">
        <f>MBQ[[#This Row],[HEIGHT (mm)]]/1000*MBQ[[#This Row],[WIDTH (mm)]]/1000*MBQ[[#This Row],[QTY TOTAL]]</f>
        <v>4.8</v>
      </c>
      <c r="W187" s="287">
        <f>ROUNDUP(MBQ[[#This Row],[HEIGHT (mm)]]/450*MBQ[[#This Row],[QTY]]*2,0)+ROUNDUP(MBQ[[#This Row],[WIDTH (mm)]]/450*MBQ[[#This Row],[QTY]]*2,0)</f>
        <v>24</v>
      </c>
    </row>
    <row r="188" spans="1:23" ht="30">
      <c r="A188" s="258">
        <v>1</v>
      </c>
      <c r="B188" s="286" t="s">
        <v>535</v>
      </c>
      <c r="C188" s="278" t="s">
        <v>544</v>
      </c>
      <c r="D188" s="277" t="s">
        <v>550</v>
      </c>
      <c r="E188" s="277" t="s">
        <v>537</v>
      </c>
      <c r="F188" s="261"/>
      <c r="G188" s="262"/>
      <c r="H188" s="262"/>
      <c r="I188" s="260" t="s">
        <v>439</v>
      </c>
      <c r="J188" s="278" t="s">
        <v>538</v>
      </c>
      <c r="K188" s="285" t="s">
        <v>580</v>
      </c>
      <c r="L188" s="277" t="s">
        <v>539</v>
      </c>
      <c r="M188" s="263"/>
      <c r="N188" s="263"/>
      <c r="O188" s="264">
        <v>4000</v>
      </c>
      <c r="P188" s="264">
        <v>1200</v>
      </c>
      <c r="Q188" s="265">
        <v>1</v>
      </c>
      <c r="R188" s="30">
        <f>MBQ[[#This Row],[HEIGHT (mm)]]*MBQ[[#This Row],[QTY TOTAL]]/1000</f>
        <v>4</v>
      </c>
      <c r="S188" s="30">
        <f>MBQ[[#This Row],[WIDTH (mm)]]*MBQ[[#This Row],[QTY TOTAL]]/1000</f>
        <v>1.2</v>
      </c>
      <c r="T188" s="9">
        <f>(MBQ[[#This Row],[HEIGHT (mm)]]+MBQ[[#This Row],[WIDTH (mm)]])/1000*2*MBQ[[#This Row],[QTY TOTAL]]</f>
        <v>10.4</v>
      </c>
      <c r="U188" s="266">
        <f>MBQ[[#This Row],[MULTIPLIER]]*MBQ[[#This Row],[QTY]]</f>
        <v>1</v>
      </c>
      <c r="V188" s="9">
        <f>MBQ[[#This Row],[HEIGHT (mm)]]/1000*MBQ[[#This Row],[WIDTH (mm)]]/1000*MBQ[[#This Row],[QTY TOTAL]]</f>
        <v>4.8</v>
      </c>
      <c r="W188" s="287">
        <f>ROUNDUP(MBQ[[#This Row],[HEIGHT (mm)]]/450*MBQ[[#This Row],[QTY]]*2,0)+ROUNDUP(MBQ[[#This Row],[WIDTH (mm)]]/450*MBQ[[#This Row],[QTY]]*2,0)</f>
        <v>24</v>
      </c>
    </row>
    <row r="189" spans="1:23" ht="30">
      <c r="A189" s="258">
        <v>1</v>
      </c>
      <c r="B189" s="286" t="s">
        <v>535</v>
      </c>
      <c r="C189" s="278" t="s">
        <v>544</v>
      </c>
      <c r="D189" s="277" t="s">
        <v>550</v>
      </c>
      <c r="E189" s="277" t="s">
        <v>537</v>
      </c>
      <c r="F189" s="261"/>
      <c r="G189" s="262"/>
      <c r="H189" s="262"/>
      <c r="I189" s="260" t="s">
        <v>439</v>
      </c>
      <c r="J189" s="278" t="s">
        <v>538</v>
      </c>
      <c r="K189" s="285" t="s">
        <v>580</v>
      </c>
      <c r="L189" s="277" t="s">
        <v>539</v>
      </c>
      <c r="M189" s="263"/>
      <c r="N189" s="263"/>
      <c r="O189" s="264">
        <v>4000</v>
      </c>
      <c r="P189" s="264">
        <v>1200</v>
      </c>
      <c r="Q189" s="265">
        <v>1</v>
      </c>
      <c r="R189" s="30">
        <f>MBQ[[#This Row],[HEIGHT (mm)]]*MBQ[[#This Row],[QTY TOTAL]]/1000</f>
        <v>4</v>
      </c>
      <c r="S189" s="30">
        <f>MBQ[[#This Row],[WIDTH (mm)]]*MBQ[[#This Row],[QTY TOTAL]]/1000</f>
        <v>1.2</v>
      </c>
      <c r="T189" s="9">
        <f>(MBQ[[#This Row],[HEIGHT (mm)]]+MBQ[[#This Row],[WIDTH (mm)]])/1000*2*MBQ[[#This Row],[QTY TOTAL]]</f>
        <v>10.4</v>
      </c>
      <c r="U189" s="266">
        <f>MBQ[[#This Row],[MULTIPLIER]]*MBQ[[#This Row],[QTY]]</f>
        <v>1</v>
      </c>
      <c r="V189" s="9">
        <f>MBQ[[#This Row],[HEIGHT (mm)]]/1000*MBQ[[#This Row],[WIDTH (mm)]]/1000*MBQ[[#This Row],[QTY TOTAL]]</f>
        <v>4.8</v>
      </c>
      <c r="W189" s="287">
        <f>ROUNDUP(MBQ[[#This Row],[HEIGHT (mm)]]/450*MBQ[[#This Row],[QTY]]*2,0)+ROUNDUP(MBQ[[#This Row],[WIDTH (mm)]]/450*MBQ[[#This Row],[QTY]]*2,0)</f>
        <v>24</v>
      </c>
    </row>
    <row r="190" spans="1:23" ht="30">
      <c r="A190" s="258">
        <v>1</v>
      </c>
      <c r="B190" s="286" t="s">
        <v>535</v>
      </c>
      <c r="C190" s="278" t="s">
        <v>544</v>
      </c>
      <c r="D190" s="277" t="s">
        <v>550</v>
      </c>
      <c r="E190" s="277" t="s">
        <v>537</v>
      </c>
      <c r="F190" s="261"/>
      <c r="G190" s="262"/>
      <c r="H190" s="262"/>
      <c r="I190" s="260" t="s">
        <v>439</v>
      </c>
      <c r="J190" s="278" t="s">
        <v>538</v>
      </c>
      <c r="K190" s="285" t="s">
        <v>580</v>
      </c>
      <c r="L190" s="277" t="s">
        <v>539</v>
      </c>
      <c r="M190" s="263"/>
      <c r="N190" s="263"/>
      <c r="O190" s="264">
        <v>4000</v>
      </c>
      <c r="P190" s="264">
        <v>1200</v>
      </c>
      <c r="Q190" s="265">
        <v>1</v>
      </c>
      <c r="R190" s="30">
        <f>MBQ[[#This Row],[HEIGHT (mm)]]*MBQ[[#This Row],[QTY TOTAL]]/1000</f>
        <v>4</v>
      </c>
      <c r="S190" s="30">
        <f>MBQ[[#This Row],[WIDTH (mm)]]*MBQ[[#This Row],[QTY TOTAL]]/1000</f>
        <v>1.2</v>
      </c>
      <c r="T190" s="9">
        <f>(MBQ[[#This Row],[HEIGHT (mm)]]+MBQ[[#This Row],[WIDTH (mm)]])/1000*2*MBQ[[#This Row],[QTY TOTAL]]</f>
        <v>10.4</v>
      </c>
      <c r="U190" s="266">
        <f>MBQ[[#This Row],[MULTIPLIER]]*MBQ[[#This Row],[QTY]]</f>
        <v>1</v>
      </c>
      <c r="V190" s="9">
        <f>MBQ[[#This Row],[HEIGHT (mm)]]/1000*MBQ[[#This Row],[WIDTH (mm)]]/1000*MBQ[[#This Row],[QTY TOTAL]]</f>
        <v>4.8</v>
      </c>
      <c r="W190" s="287">
        <f>ROUNDUP(MBQ[[#This Row],[HEIGHT (mm)]]/450*MBQ[[#This Row],[QTY]]*2,0)+ROUNDUP(MBQ[[#This Row],[WIDTH (mm)]]/450*MBQ[[#This Row],[QTY]]*2,0)</f>
        <v>24</v>
      </c>
    </row>
    <row r="191" spans="1:23" ht="30">
      <c r="A191" s="258">
        <v>1</v>
      </c>
      <c r="B191" s="286" t="s">
        <v>535</v>
      </c>
      <c r="C191" s="278" t="s">
        <v>544</v>
      </c>
      <c r="D191" s="277" t="s">
        <v>550</v>
      </c>
      <c r="E191" s="277" t="s">
        <v>537</v>
      </c>
      <c r="F191" s="261"/>
      <c r="G191" s="262"/>
      <c r="H191" s="262"/>
      <c r="I191" s="260" t="s">
        <v>439</v>
      </c>
      <c r="J191" s="278" t="s">
        <v>538</v>
      </c>
      <c r="K191" s="285" t="s">
        <v>580</v>
      </c>
      <c r="L191" s="277" t="s">
        <v>539</v>
      </c>
      <c r="M191" s="263"/>
      <c r="N191" s="263"/>
      <c r="O191" s="264">
        <v>4000</v>
      </c>
      <c r="P191" s="264">
        <v>1200</v>
      </c>
      <c r="Q191" s="265">
        <v>1</v>
      </c>
      <c r="R191" s="30">
        <f>MBQ[[#This Row],[HEIGHT (mm)]]*MBQ[[#This Row],[QTY TOTAL]]/1000</f>
        <v>4</v>
      </c>
      <c r="S191" s="30">
        <f>MBQ[[#This Row],[WIDTH (mm)]]*MBQ[[#This Row],[QTY TOTAL]]/1000</f>
        <v>1.2</v>
      </c>
      <c r="T191" s="9">
        <f>(MBQ[[#This Row],[HEIGHT (mm)]]+MBQ[[#This Row],[WIDTH (mm)]])/1000*2*MBQ[[#This Row],[QTY TOTAL]]</f>
        <v>10.4</v>
      </c>
      <c r="U191" s="266">
        <f>MBQ[[#This Row],[MULTIPLIER]]*MBQ[[#This Row],[QTY]]</f>
        <v>1</v>
      </c>
      <c r="V191" s="9">
        <f>MBQ[[#This Row],[HEIGHT (mm)]]/1000*MBQ[[#This Row],[WIDTH (mm)]]/1000*MBQ[[#This Row],[QTY TOTAL]]</f>
        <v>4.8</v>
      </c>
      <c r="W191" s="287">
        <f>ROUNDUP(MBQ[[#This Row],[HEIGHT (mm)]]/450*MBQ[[#This Row],[QTY]]*2,0)+ROUNDUP(MBQ[[#This Row],[WIDTH (mm)]]/450*MBQ[[#This Row],[QTY]]*2,0)</f>
        <v>24</v>
      </c>
    </row>
    <row r="192" spans="1:23" ht="30">
      <c r="A192" s="258">
        <v>1</v>
      </c>
      <c r="B192" s="286" t="s">
        <v>535</v>
      </c>
      <c r="C192" s="278" t="s">
        <v>544</v>
      </c>
      <c r="D192" s="277" t="s">
        <v>550</v>
      </c>
      <c r="E192" s="277" t="s">
        <v>537</v>
      </c>
      <c r="F192" s="261"/>
      <c r="G192" s="262"/>
      <c r="H192" s="262"/>
      <c r="I192" s="260" t="s">
        <v>439</v>
      </c>
      <c r="J192" s="278" t="s">
        <v>538</v>
      </c>
      <c r="K192" s="285" t="s">
        <v>580</v>
      </c>
      <c r="L192" s="277" t="s">
        <v>539</v>
      </c>
      <c r="M192" s="263"/>
      <c r="N192" s="263"/>
      <c r="O192" s="264">
        <v>4000</v>
      </c>
      <c r="P192" s="264">
        <v>1200</v>
      </c>
      <c r="Q192" s="265">
        <v>1</v>
      </c>
      <c r="R192" s="30">
        <f>MBQ[[#This Row],[HEIGHT (mm)]]*MBQ[[#This Row],[QTY TOTAL]]/1000</f>
        <v>4</v>
      </c>
      <c r="S192" s="30">
        <f>MBQ[[#This Row],[WIDTH (mm)]]*MBQ[[#This Row],[QTY TOTAL]]/1000</f>
        <v>1.2</v>
      </c>
      <c r="T192" s="9">
        <f>(MBQ[[#This Row],[HEIGHT (mm)]]+MBQ[[#This Row],[WIDTH (mm)]])/1000*2*MBQ[[#This Row],[QTY TOTAL]]</f>
        <v>10.4</v>
      </c>
      <c r="U192" s="266">
        <f>MBQ[[#This Row],[MULTIPLIER]]*MBQ[[#This Row],[QTY]]</f>
        <v>1</v>
      </c>
      <c r="V192" s="9">
        <f>MBQ[[#This Row],[HEIGHT (mm)]]/1000*MBQ[[#This Row],[WIDTH (mm)]]/1000*MBQ[[#This Row],[QTY TOTAL]]</f>
        <v>4.8</v>
      </c>
      <c r="W192" s="287">
        <f>ROUNDUP(MBQ[[#This Row],[HEIGHT (mm)]]/450*MBQ[[#This Row],[QTY]]*2,0)+ROUNDUP(MBQ[[#This Row],[WIDTH (mm)]]/450*MBQ[[#This Row],[QTY]]*2,0)</f>
        <v>24</v>
      </c>
    </row>
    <row r="193" spans="1:23" ht="30">
      <c r="A193" s="258">
        <v>1</v>
      </c>
      <c r="B193" s="286" t="s">
        <v>535</v>
      </c>
      <c r="C193" s="278" t="s">
        <v>544</v>
      </c>
      <c r="D193" s="277" t="s">
        <v>550</v>
      </c>
      <c r="E193" s="277" t="s">
        <v>537</v>
      </c>
      <c r="F193" s="261"/>
      <c r="G193" s="262"/>
      <c r="H193" s="262"/>
      <c r="I193" s="260" t="s">
        <v>439</v>
      </c>
      <c r="J193" s="278" t="s">
        <v>538</v>
      </c>
      <c r="K193" s="285" t="s">
        <v>580</v>
      </c>
      <c r="L193" s="277" t="s">
        <v>539</v>
      </c>
      <c r="M193" s="263"/>
      <c r="N193" s="263"/>
      <c r="O193" s="264">
        <v>4000</v>
      </c>
      <c r="P193" s="264">
        <v>1200</v>
      </c>
      <c r="Q193" s="265">
        <v>1</v>
      </c>
      <c r="R193" s="30">
        <f>MBQ[[#This Row],[HEIGHT (mm)]]*MBQ[[#This Row],[QTY TOTAL]]/1000</f>
        <v>4</v>
      </c>
      <c r="S193" s="30">
        <f>MBQ[[#This Row],[WIDTH (mm)]]*MBQ[[#This Row],[QTY TOTAL]]/1000</f>
        <v>1.2</v>
      </c>
      <c r="T193" s="9">
        <f>(MBQ[[#This Row],[HEIGHT (mm)]]+MBQ[[#This Row],[WIDTH (mm)]])/1000*2*MBQ[[#This Row],[QTY TOTAL]]</f>
        <v>10.4</v>
      </c>
      <c r="U193" s="266">
        <f>MBQ[[#This Row],[MULTIPLIER]]*MBQ[[#This Row],[QTY]]</f>
        <v>1</v>
      </c>
      <c r="V193" s="9">
        <f>MBQ[[#This Row],[HEIGHT (mm)]]/1000*MBQ[[#This Row],[WIDTH (mm)]]/1000*MBQ[[#This Row],[QTY TOTAL]]</f>
        <v>4.8</v>
      </c>
      <c r="W193" s="287">
        <f>ROUNDUP(MBQ[[#This Row],[HEIGHT (mm)]]/450*MBQ[[#This Row],[QTY]]*2,0)+ROUNDUP(MBQ[[#This Row],[WIDTH (mm)]]/450*MBQ[[#This Row],[QTY]]*2,0)</f>
        <v>24</v>
      </c>
    </row>
    <row r="194" spans="1:23" ht="30">
      <c r="A194" s="258">
        <v>1</v>
      </c>
      <c r="B194" s="286" t="s">
        <v>535</v>
      </c>
      <c r="C194" s="278" t="s">
        <v>544</v>
      </c>
      <c r="D194" s="277" t="s">
        <v>550</v>
      </c>
      <c r="E194" s="277" t="s">
        <v>537</v>
      </c>
      <c r="F194" s="261"/>
      <c r="G194" s="262"/>
      <c r="H194" s="262"/>
      <c r="I194" s="260" t="s">
        <v>439</v>
      </c>
      <c r="J194" s="278" t="s">
        <v>538</v>
      </c>
      <c r="K194" s="285" t="s">
        <v>580</v>
      </c>
      <c r="L194" s="277" t="s">
        <v>539</v>
      </c>
      <c r="M194" s="263"/>
      <c r="N194" s="263"/>
      <c r="O194" s="264">
        <v>4000</v>
      </c>
      <c r="P194" s="264">
        <v>1200</v>
      </c>
      <c r="Q194" s="265">
        <v>1</v>
      </c>
      <c r="R194" s="30">
        <f>MBQ[[#This Row],[HEIGHT (mm)]]*MBQ[[#This Row],[QTY TOTAL]]/1000</f>
        <v>4</v>
      </c>
      <c r="S194" s="30">
        <f>MBQ[[#This Row],[WIDTH (mm)]]*MBQ[[#This Row],[QTY TOTAL]]/1000</f>
        <v>1.2</v>
      </c>
      <c r="T194" s="9">
        <f>(MBQ[[#This Row],[HEIGHT (mm)]]+MBQ[[#This Row],[WIDTH (mm)]])/1000*2*MBQ[[#This Row],[QTY TOTAL]]</f>
        <v>10.4</v>
      </c>
      <c r="U194" s="266">
        <f>MBQ[[#This Row],[MULTIPLIER]]*MBQ[[#This Row],[QTY]]</f>
        <v>1</v>
      </c>
      <c r="V194" s="9">
        <f>MBQ[[#This Row],[HEIGHT (mm)]]/1000*MBQ[[#This Row],[WIDTH (mm)]]/1000*MBQ[[#This Row],[QTY TOTAL]]</f>
        <v>4.8</v>
      </c>
      <c r="W194" s="287">
        <f>ROUNDUP(MBQ[[#This Row],[HEIGHT (mm)]]/450*MBQ[[#This Row],[QTY]]*2,0)+ROUNDUP(MBQ[[#This Row],[WIDTH (mm)]]/450*MBQ[[#This Row],[QTY]]*2,0)</f>
        <v>24</v>
      </c>
    </row>
    <row r="195" spans="1:23" ht="30">
      <c r="A195" s="258">
        <v>1</v>
      </c>
      <c r="B195" s="286" t="s">
        <v>535</v>
      </c>
      <c r="C195" s="278" t="s">
        <v>544</v>
      </c>
      <c r="D195" s="277" t="s">
        <v>550</v>
      </c>
      <c r="E195" s="277" t="s">
        <v>537</v>
      </c>
      <c r="F195" s="261"/>
      <c r="G195" s="262"/>
      <c r="H195" s="262"/>
      <c r="I195" s="260" t="s">
        <v>439</v>
      </c>
      <c r="J195" s="278" t="s">
        <v>538</v>
      </c>
      <c r="K195" s="285" t="s">
        <v>580</v>
      </c>
      <c r="L195" s="277" t="s">
        <v>539</v>
      </c>
      <c r="M195" s="263"/>
      <c r="N195" s="263"/>
      <c r="O195" s="264">
        <v>4000</v>
      </c>
      <c r="P195" s="264">
        <v>1200</v>
      </c>
      <c r="Q195" s="265">
        <v>1</v>
      </c>
      <c r="R195" s="30">
        <f>MBQ[[#This Row],[HEIGHT (mm)]]*MBQ[[#This Row],[QTY TOTAL]]/1000</f>
        <v>4</v>
      </c>
      <c r="S195" s="30">
        <f>MBQ[[#This Row],[WIDTH (mm)]]*MBQ[[#This Row],[QTY TOTAL]]/1000</f>
        <v>1.2</v>
      </c>
      <c r="T195" s="9">
        <f>(MBQ[[#This Row],[HEIGHT (mm)]]+MBQ[[#This Row],[WIDTH (mm)]])/1000*2*MBQ[[#This Row],[QTY TOTAL]]</f>
        <v>10.4</v>
      </c>
      <c r="U195" s="266">
        <f>MBQ[[#This Row],[MULTIPLIER]]*MBQ[[#This Row],[QTY]]</f>
        <v>1</v>
      </c>
      <c r="V195" s="9">
        <f>MBQ[[#This Row],[HEIGHT (mm)]]/1000*MBQ[[#This Row],[WIDTH (mm)]]/1000*MBQ[[#This Row],[QTY TOTAL]]</f>
        <v>4.8</v>
      </c>
      <c r="W195" s="287">
        <f>ROUNDUP(MBQ[[#This Row],[HEIGHT (mm)]]/450*MBQ[[#This Row],[QTY]]*2,0)+ROUNDUP(MBQ[[#This Row],[WIDTH (mm)]]/450*MBQ[[#This Row],[QTY]]*2,0)</f>
        <v>24</v>
      </c>
    </row>
    <row r="196" spans="1:23" ht="30">
      <c r="A196" s="258">
        <v>1</v>
      </c>
      <c r="B196" s="286" t="s">
        <v>535</v>
      </c>
      <c r="C196" s="278" t="s">
        <v>544</v>
      </c>
      <c r="D196" s="277" t="s">
        <v>550</v>
      </c>
      <c r="E196" s="277" t="s">
        <v>537</v>
      </c>
      <c r="F196" s="261"/>
      <c r="G196" s="262"/>
      <c r="H196" s="262"/>
      <c r="I196" s="260" t="s">
        <v>439</v>
      </c>
      <c r="J196" s="278" t="s">
        <v>538</v>
      </c>
      <c r="K196" s="285" t="s">
        <v>580</v>
      </c>
      <c r="L196" s="277" t="s">
        <v>539</v>
      </c>
      <c r="M196" s="263"/>
      <c r="N196" s="263"/>
      <c r="O196" s="264">
        <v>4000</v>
      </c>
      <c r="P196" s="264">
        <v>1200</v>
      </c>
      <c r="Q196" s="265">
        <v>1</v>
      </c>
      <c r="R196" s="30">
        <f>MBQ[[#This Row],[HEIGHT (mm)]]*MBQ[[#This Row],[QTY TOTAL]]/1000</f>
        <v>4</v>
      </c>
      <c r="S196" s="30">
        <f>MBQ[[#This Row],[WIDTH (mm)]]*MBQ[[#This Row],[QTY TOTAL]]/1000</f>
        <v>1.2</v>
      </c>
      <c r="T196" s="9">
        <f>(MBQ[[#This Row],[HEIGHT (mm)]]+MBQ[[#This Row],[WIDTH (mm)]])/1000*2*MBQ[[#This Row],[QTY TOTAL]]</f>
        <v>10.4</v>
      </c>
      <c r="U196" s="266">
        <f>MBQ[[#This Row],[MULTIPLIER]]*MBQ[[#This Row],[QTY]]</f>
        <v>1</v>
      </c>
      <c r="V196" s="9">
        <f>MBQ[[#This Row],[HEIGHT (mm)]]/1000*MBQ[[#This Row],[WIDTH (mm)]]/1000*MBQ[[#This Row],[QTY TOTAL]]</f>
        <v>4.8</v>
      </c>
      <c r="W196" s="287">
        <f>ROUNDUP(MBQ[[#This Row],[HEIGHT (mm)]]/450*MBQ[[#This Row],[QTY]]*2,0)+ROUNDUP(MBQ[[#This Row],[WIDTH (mm)]]/450*MBQ[[#This Row],[QTY]]*2,0)</f>
        <v>24</v>
      </c>
    </row>
    <row r="197" spans="1:23" ht="30">
      <c r="A197" s="258">
        <v>1</v>
      </c>
      <c r="B197" s="286" t="s">
        <v>535</v>
      </c>
      <c r="C197" s="278" t="s">
        <v>544</v>
      </c>
      <c r="D197" s="277" t="s">
        <v>550</v>
      </c>
      <c r="E197" s="277" t="s">
        <v>537</v>
      </c>
      <c r="F197" s="261"/>
      <c r="G197" s="262"/>
      <c r="H197" s="262"/>
      <c r="I197" s="260" t="s">
        <v>439</v>
      </c>
      <c r="J197" s="278" t="s">
        <v>538</v>
      </c>
      <c r="K197" s="285" t="s">
        <v>580</v>
      </c>
      <c r="L197" s="277" t="s">
        <v>539</v>
      </c>
      <c r="M197" s="263"/>
      <c r="N197" s="263"/>
      <c r="O197" s="264">
        <v>4000</v>
      </c>
      <c r="P197" s="264">
        <v>1200</v>
      </c>
      <c r="Q197" s="265">
        <v>1</v>
      </c>
      <c r="R197" s="30">
        <f>MBQ[[#This Row],[HEIGHT (mm)]]*MBQ[[#This Row],[QTY TOTAL]]/1000</f>
        <v>4</v>
      </c>
      <c r="S197" s="30">
        <f>MBQ[[#This Row],[WIDTH (mm)]]*MBQ[[#This Row],[QTY TOTAL]]/1000</f>
        <v>1.2</v>
      </c>
      <c r="T197" s="9">
        <f>(MBQ[[#This Row],[HEIGHT (mm)]]+MBQ[[#This Row],[WIDTH (mm)]])/1000*2*MBQ[[#This Row],[QTY TOTAL]]</f>
        <v>10.4</v>
      </c>
      <c r="U197" s="266">
        <f>MBQ[[#This Row],[MULTIPLIER]]*MBQ[[#This Row],[QTY]]</f>
        <v>1</v>
      </c>
      <c r="V197" s="9">
        <f>MBQ[[#This Row],[HEIGHT (mm)]]/1000*MBQ[[#This Row],[WIDTH (mm)]]/1000*MBQ[[#This Row],[QTY TOTAL]]</f>
        <v>4.8</v>
      </c>
      <c r="W197" s="287">
        <f>ROUNDUP(MBQ[[#This Row],[HEIGHT (mm)]]/450*MBQ[[#This Row],[QTY]]*2,0)+ROUNDUP(MBQ[[#This Row],[WIDTH (mm)]]/450*MBQ[[#This Row],[QTY]]*2,0)</f>
        <v>24</v>
      </c>
    </row>
    <row r="198" spans="1:23" ht="30">
      <c r="A198" s="258">
        <v>1</v>
      </c>
      <c r="B198" s="286" t="s">
        <v>535</v>
      </c>
      <c r="C198" s="278" t="s">
        <v>544</v>
      </c>
      <c r="D198" s="277" t="s">
        <v>550</v>
      </c>
      <c r="E198" s="277" t="s">
        <v>537</v>
      </c>
      <c r="F198" s="261"/>
      <c r="G198" s="262"/>
      <c r="H198" s="262"/>
      <c r="I198" s="260" t="s">
        <v>439</v>
      </c>
      <c r="J198" s="278" t="s">
        <v>538</v>
      </c>
      <c r="K198" s="285" t="s">
        <v>580</v>
      </c>
      <c r="L198" s="277" t="s">
        <v>539</v>
      </c>
      <c r="M198" s="263"/>
      <c r="N198" s="263"/>
      <c r="O198" s="264">
        <v>4000</v>
      </c>
      <c r="P198" s="264">
        <v>1200</v>
      </c>
      <c r="Q198" s="265">
        <v>1</v>
      </c>
      <c r="R198" s="30">
        <f>MBQ[[#This Row],[HEIGHT (mm)]]*MBQ[[#This Row],[QTY TOTAL]]/1000</f>
        <v>4</v>
      </c>
      <c r="S198" s="30">
        <f>MBQ[[#This Row],[WIDTH (mm)]]*MBQ[[#This Row],[QTY TOTAL]]/1000</f>
        <v>1.2</v>
      </c>
      <c r="T198" s="9">
        <f>(MBQ[[#This Row],[HEIGHT (mm)]]+MBQ[[#This Row],[WIDTH (mm)]])/1000*2*MBQ[[#This Row],[QTY TOTAL]]</f>
        <v>10.4</v>
      </c>
      <c r="U198" s="266">
        <f>MBQ[[#This Row],[MULTIPLIER]]*MBQ[[#This Row],[QTY]]</f>
        <v>1</v>
      </c>
      <c r="V198" s="9">
        <f>MBQ[[#This Row],[HEIGHT (mm)]]/1000*MBQ[[#This Row],[WIDTH (mm)]]/1000*MBQ[[#This Row],[QTY TOTAL]]</f>
        <v>4.8</v>
      </c>
      <c r="W198" s="287">
        <f>ROUNDUP(MBQ[[#This Row],[HEIGHT (mm)]]/450*MBQ[[#This Row],[QTY]]*2,0)+ROUNDUP(MBQ[[#This Row],[WIDTH (mm)]]/450*MBQ[[#This Row],[QTY]]*2,0)</f>
        <v>24</v>
      </c>
    </row>
    <row r="199" spans="1:23" ht="30">
      <c r="A199" s="258">
        <v>1</v>
      </c>
      <c r="B199" s="276" t="s">
        <v>536</v>
      </c>
      <c r="C199" s="278" t="s">
        <v>544</v>
      </c>
      <c r="D199" s="277" t="s">
        <v>550</v>
      </c>
      <c r="E199" s="277" t="s">
        <v>537</v>
      </c>
      <c r="F199" s="261"/>
      <c r="G199" s="262"/>
      <c r="H199" s="262"/>
      <c r="I199" s="260" t="s">
        <v>439</v>
      </c>
      <c r="J199" s="278" t="s">
        <v>538</v>
      </c>
      <c r="K199" s="285" t="s">
        <v>580</v>
      </c>
      <c r="L199" s="277" t="s">
        <v>539</v>
      </c>
      <c r="M199" s="263"/>
      <c r="N199" s="263"/>
      <c r="O199" s="264">
        <v>4000</v>
      </c>
      <c r="P199" s="264">
        <v>1200</v>
      </c>
      <c r="Q199" s="265">
        <v>1</v>
      </c>
      <c r="R199" s="30">
        <f>MBQ[[#This Row],[HEIGHT (mm)]]*MBQ[[#This Row],[QTY TOTAL]]/1000</f>
        <v>4</v>
      </c>
      <c r="S199" s="30">
        <f>MBQ[[#This Row],[WIDTH (mm)]]*MBQ[[#This Row],[QTY TOTAL]]/1000</f>
        <v>1.2</v>
      </c>
      <c r="T199" s="9">
        <f>(MBQ[[#This Row],[HEIGHT (mm)]]+MBQ[[#This Row],[WIDTH (mm)]])/1000*2*MBQ[[#This Row],[QTY TOTAL]]</f>
        <v>10.4</v>
      </c>
      <c r="U199" s="266">
        <f>MBQ[[#This Row],[MULTIPLIER]]*MBQ[[#This Row],[QTY]]</f>
        <v>1</v>
      </c>
      <c r="V199" s="9">
        <f>MBQ[[#This Row],[HEIGHT (mm)]]/1000*MBQ[[#This Row],[WIDTH (mm)]]/1000*MBQ[[#This Row],[QTY TOTAL]]</f>
        <v>4.8</v>
      </c>
      <c r="W199" s="287">
        <f>ROUNDUP(MBQ[[#This Row],[HEIGHT (mm)]]/450*MBQ[[#This Row],[QTY]]*2,0)+ROUNDUP(MBQ[[#This Row],[WIDTH (mm)]]/450*MBQ[[#This Row],[QTY]]*2,0)</f>
        <v>24</v>
      </c>
    </row>
    <row r="200" spans="1:23" ht="30">
      <c r="A200" s="258">
        <v>1</v>
      </c>
      <c r="B200" s="276" t="s">
        <v>536</v>
      </c>
      <c r="C200" s="278" t="s">
        <v>544</v>
      </c>
      <c r="D200" s="277" t="s">
        <v>550</v>
      </c>
      <c r="E200" s="277" t="s">
        <v>537</v>
      </c>
      <c r="F200" s="261"/>
      <c r="G200" s="262"/>
      <c r="H200" s="262"/>
      <c r="I200" s="260" t="s">
        <v>439</v>
      </c>
      <c r="J200" s="278" t="s">
        <v>538</v>
      </c>
      <c r="K200" s="285" t="s">
        <v>580</v>
      </c>
      <c r="L200" s="277" t="s">
        <v>539</v>
      </c>
      <c r="M200" s="263"/>
      <c r="N200" s="263"/>
      <c r="O200" s="264">
        <v>4000</v>
      </c>
      <c r="P200" s="264">
        <v>1200</v>
      </c>
      <c r="Q200" s="265">
        <v>1</v>
      </c>
      <c r="R200" s="30">
        <f>MBQ[[#This Row],[HEIGHT (mm)]]*MBQ[[#This Row],[QTY TOTAL]]/1000</f>
        <v>4</v>
      </c>
      <c r="S200" s="30">
        <f>MBQ[[#This Row],[WIDTH (mm)]]*MBQ[[#This Row],[QTY TOTAL]]/1000</f>
        <v>1.2</v>
      </c>
      <c r="T200" s="9">
        <f>(MBQ[[#This Row],[HEIGHT (mm)]]+MBQ[[#This Row],[WIDTH (mm)]])/1000*2*MBQ[[#This Row],[QTY TOTAL]]</f>
        <v>10.4</v>
      </c>
      <c r="U200" s="266">
        <f>MBQ[[#This Row],[MULTIPLIER]]*MBQ[[#This Row],[QTY]]</f>
        <v>1</v>
      </c>
      <c r="V200" s="9">
        <f>MBQ[[#This Row],[HEIGHT (mm)]]/1000*MBQ[[#This Row],[WIDTH (mm)]]/1000*MBQ[[#This Row],[QTY TOTAL]]</f>
        <v>4.8</v>
      </c>
      <c r="W200" s="287">
        <f>ROUNDUP(MBQ[[#This Row],[HEIGHT (mm)]]/450*MBQ[[#This Row],[QTY]]*2,0)+ROUNDUP(MBQ[[#This Row],[WIDTH (mm)]]/450*MBQ[[#This Row],[QTY]]*2,0)</f>
        <v>24</v>
      </c>
    </row>
    <row r="201" spans="1:23" ht="30">
      <c r="A201" s="258">
        <v>1</v>
      </c>
      <c r="B201" s="276" t="s">
        <v>536</v>
      </c>
      <c r="C201" s="278" t="s">
        <v>544</v>
      </c>
      <c r="D201" s="277" t="s">
        <v>550</v>
      </c>
      <c r="E201" s="277" t="s">
        <v>537</v>
      </c>
      <c r="F201" s="261"/>
      <c r="G201" s="262"/>
      <c r="H201" s="262"/>
      <c r="I201" s="260" t="s">
        <v>439</v>
      </c>
      <c r="J201" s="278" t="s">
        <v>538</v>
      </c>
      <c r="K201" s="285" t="s">
        <v>580</v>
      </c>
      <c r="L201" s="277" t="s">
        <v>539</v>
      </c>
      <c r="M201" s="263"/>
      <c r="N201" s="263"/>
      <c r="O201" s="264">
        <v>4000</v>
      </c>
      <c r="P201" s="264">
        <v>1200</v>
      </c>
      <c r="Q201" s="265">
        <v>1</v>
      </c>
      <c r="R201" s="30">
        <f>MBQ[[#This Row],[HEIGHT (mm)]]*MBQ[[#This Row],[QTY TOTAL]]/1000</f>
        <v>4</v>
      </c>
      <c r="S201" s="30">
        <f>MBQ[[#This Row],[WIDTH (mm)]]*MBQ[[#This Row],[QTY TOTAL]]/1000</f>
        <v>1.2</v>
      </c>
      <c r="T201" s="9">
        <f>(MBQ[[#This Row],[HEIGHT (mm)]]+MBQ[[#This Row],[WIDTH (mm)]])/1000*2*MBQ[[#This Row],[QTY TOTAL]]</f>
        <v>10.4</v>
      </c>
      <c r="U201" s="266">
        <f>MBQ[[#This Row],[MULTIPLIER]]*MBQ[[#This Row],[QTY]]</f>
        <v>1</v>
      </c>
      <c r="V201" s="9">
        <f>MBQ[[#This Row],[HEIGHT (mm)]]/1000*MBQ[[#This Row],[WIDTH (mm)]]/1000*MBQ[[#This Row],[QTY TOTAL]]</f>
        <v>4.8</v>
      </c>
      <c r="W201" s="287">
        <f>ROUNDUP(MBQ[[#This Row],[HEIGHT (mm)]]/450*MBQ[[#This Row],[QTY]]*2,0)+ROUNDUP(MBQ[[#This Row],[WIDTH (mm)]]/450*MBQ[[#This Row],[QTY]]*2,0)</f>
        <v>24</v>
      </c>
    </row>
    <row r="202" spans="1:23" ht="30">
      <c r="A202" s="258">
        <v>1</v>
      </c>
      <c r="B202" s="276" t="s">
        <v>536</v>
      </c>
      <c r="C202" s="278" t="s">
        <v>544</v>
      </c>
      <c r="D202" s="277" t="s">
        <v>550</v>
      </c>
      <c r="E202" s="277" t="s">
        <v>537</v>
      </c>
      <c r="F202" s="261"/>
      <c r="G202" s="262"/>
      <c r="H202" s="262"/>
      <c r="I202" s="260" t="s">
        <v>439</v>
      </c>
      <c r="J202" s="278" t="s">
        <v>538</v>
      </c>
      <c r="K202" s="285" t="s">
        <v>580</v>
      </c>
      <c r="L202" s="277" t="s">
        <v>539</v>
      </c>
      <c r="M202" s="263"/>
      <c r="N202" s="263"/>
      <c r="O202" s="264">
        <v>4000</v>
      </c>
      <c r="P202" s="264">
        <v>1200</v>
      </c>
      <c r="Q202" s="265">
        <v>1</v>
      </c>
      <c r="R202" s="30">
        <f>MBQ[[#This Row],[HEIGHT (mm)]]*MBQ[[#This Row],[QTY TOTAL]]/1000</f>
        <v>4</v>
      </c>
      <c r="S202" s="30">
        <f>MBQ[[#This Row],[WIDTH (mm)]]*MBQ[[#This Row],[QTY TOTAL]]/1000</f>
        <v>1.2</v>
      </c>
      <c r="T202" s="9">
        <f>(MBQ[[#This Row],[HEIGHT (mm)]]+MBQ[[#This Row],[WIDTH (mm)]])/1000*2*MBQ[[#This Row],[QTY TOTAL]]</f>
        <v>10.4</v>
      </c>
      <c r="U202" s="266">
        <f>MBQ[[#This Row],[MULTIPLIER]]*MBQ[[#This Row],[QTY]]</f>
        <v>1</v>
      </c>
      <c r="V202" s="9">
        <f>MBQ[[#This Row],[HEIGHT (mm)]]/1000*MBQ[[#This Row],[WIDTH (mm)]]/1000*MBQ[[#This Row],[QTY TOTAL]]</f>
        <v>4.8</v>
      </c>
      <c r="W202" s="287">
        <f>ROUNDUP(MBQ[[#This Row],[HEIGHT (mm)]]/450*MBQ[[#This Row],[QTY]]*2,0)+ROUNDUP(MBQ[[#This Row],[WIDTH (mm)]]/450*MBQ[[#This Row],[QTY]]*2,0)</f>
        <v>24</v>
      </c>
    </row>
    <row r="203" spans="1:23" ht="30">
      <c r="A203" s="258">
        <v>1</v>
      </c>
      <c r="B203" s="276" t="s">
        <v>536</v>
      </c>
      <c r="C203" s="278" t="s">
        <v>544</v>
      </c>
      <c r="D203" s="277" t="s">
        <v>550</v>
      </c>
      <c r="E203" s="277" t="s">
        <v>537</v>
      </c>
      <c r="F203" s="261"/>
      <c r="G203" s="262"/>
      <c r="H203" s="262"/>
      <c r="I203" s="260" t="s">
        <v>439</v>
      </c>
      <c r="J203" s="278" t="s">
        <v>538</v>
      </c>
      <c r="K203" s="285" t="s">
        <v>580</v>
      </c>
      <c r="L203" s="277" t="s">
        <v>539</v>
      </c>
      <c r="M203" s="263"/>
      <c r="N203" s="263"/>
      <c r="O203" s="264">
        <v>4000</v>
      </c>
      <c r="P203" s="264">
        <v>1200</v>
      </c>
      <c r="Q203" s="265">
        <v>1</v>
      </c>
      <c r="R203" s="30">
        <f>MBQ[[#This Row],[HEIGHT (mm)]]*MBQ[[#This Row],[QTY TOTAL]]/1000</f>
        <v>4</v>
      </c>
      <c r="S203" s="30">
        <f>MBQ[[#This Row],[WIDTH (mm)]]*MBQ[[#This Row],[QTY TOTAL]]/1000</f>
        <v>1.2</v>
      </c>
      <c r="T203" s="9">
        <f>(MBQ[[#This Row],[HEIGHT (mm)]]+MBQ[[#This Row],[WIDTH (mm)]])/1000*2*MBQ[[#This Row],[QTY TOTAL]]</f>
        <v>10.4</v>
      </c>
      <c r="U203" s="266">
        <f>MBQ[[#This Row],[MULTIPLIER]]*MBQ[[#This Row],[QTY]]</f>
        <v>1</v>
      </c>
      <c r="V203" s="9">
        <f>MBQ[[#This Row],[HEIGHT (mm)]]/1000*MBQ[[#This Row],[WIDTH (mm)]]/1000*MBQ[[#This Row],[QTY TOTAL]]</f>
        <v>4.8</v>
      </c>
      <c r="W203" s="287">
        <f>ROUNDUP(MBQ[[#This Row],[HEIGHT (mm)]]/450*MBQ[[#This Row],[QTY]]*2,0)+ROUNDUP(MBQ[[#This Row],[WIDTH (mm)]]/450*MBQ[[#This Row],[QTY]]*2,0)</f>
        <v>24</v>
      </c>
    </row>
    <row r="204" spans="1:23" ht="30">
      <c r="A204" s="258">
        <v>1</v>
      </c>
      <c r="B204" s="276" t="s">
        <v>536</v>
      </c>
      <c r="C204" s="278" t="s">
        <v>544</v>
      </c>
      <c r="D204" s="277" t="s">
        <v>550</v>
      </c>
      <c r="E204" s="277" t="s">
        <v>537</v>
      </c>
      <c r="F204" s="261"/>
      <c r="G204" s="262"/>
      <c r="H204" s="262"/>
      <c r="I204" s="260" t="s">
        <v>439</v>
      </c>
      <c r="J204" s="278" t="s">
        <v>538</v>
      </c>
      <c r="K204" s="285" t="s">
        <v>580</v>
      </c>
      <c r="L204" s="277" t="s">
        <v>539</v>
      </c>
      <c r="M204" s="263"/>
      <c r="N204" s="263"/>
      <c r="O204" s="264">
        <v>4000</v>
      </c>
      <c r="P204" s="264">
        <v>1200</v>
      </c>
      <c r="Q204" s="265">
        <v>1</v>
      </c>
      <c r="R204" s="30">
        <f>MBQ[[#This Row],[HEIGHT (mm)]]*MBQ[[#This Row],[QTY TOTAL]]/1000</f>
        <v>4</v>
      </c>
      <c r="S204" s="30">
        <f>MBQ[[#This Row],[WIDTH (mm)]]*MBQ[[#This Row],[QTY TOTAL]]/1000</f>
        <v>1.2</v>
      </c>
      <c r="T204" s="9">
        <f>(MBQ[[#This Row],[HEIGHT (mm)]]+MBQ[[#This Row],[WIDTH (mm)]])/1000*2*MBQ[[#This Row],[QTY TOTAL]]</f>
        <v>10.4</v>
      </c>
      <c r="U204" s="266">
        <f>MBQ[[#This Row],[MULTIPLIER]]*MBQ[[#This Row],[QTY]]</f>
        <v>1</v>
      </c>
      <c r="V204" s="9">
        <f>MBQ[[#This Row],[HEIGHT (mm)]]/1000*MBQ[[#This Row],[WIDTH (mm)]]/1000*MBQ[[#This Row],[QTY TOTAL]]</f>
        <v>4.8</v>
      </c>
      <c r="W204" s="287">
        <f>ROUNDUP(MBQ[[#This Row],[HEIGHT (mm)]]/450*MBQ[[#This Row],[QTY]]*2,0)+ROUNDUP(MBQ[[#This Row],[WIDTH (mm)]]/450*MBQ[[#This Row],[QTY]]*2,0)</f>
        <v>24</v>
      </c>
    </row>
    <row r="205" spans="1:23" ht="30">
      <c r="A205" s="258">
        <v>1</v>
      </c>
      <c r="B205" s="276" t="s">
        <v>536</v>
      </c>
      <c r="C205" s="278" t="s">
        <v>544</v>
      </c>
      <c r="D205" s="277" t="s">
        <v>550</v>
      </c>
      <c r="E205" s="277" t="s">
        <v>537</v>
      </c>
      <c r="F205" s="261"/>
      <c r="G205" s="262"/>
      <c r="H205" s="262"/>
      <c r="I205" s="260" t="s">
        <v>439</v>
      </c>
      <c r="J205" s="278" t="s">
        <v>538</v>
      </c>
      <c r="K205" s="285" t="s">
        <v>580</v>
      </c>
      <c r="L205" s="277" t="s">
        <v>539</v>
      </c>
      <c r="M205" s="263"/>
      <c r="N205" s="263"/>
      <c r="O205" s="264">
        <v>4000</v>
      </c>
      <c r="P205" s="264">
        <v>1200</v>
      </c>
      <c r="Q205" s="265">
        <v>1</v>
      </c>
      <c r="R205" s="30">
        <f>MBQ[[#This Row],[HEIGHT (mm)]]*MBQ[[#This Row],[QTY TOTAL]]/1000</f>
        <v>4</v>
      </c>
      <c r="S205" s="30">
        <f>MBQ[[#This Row],[WIDTH (mm)]]*MBQ[[#This Row],[QTY TOTAL]]/1000</f>
        <v>1.2</v>
      </c>
      <c r="T205" s="9">
        <f>(MBQ[[#This Row],[HEIGHT (mm)]]+MBQ[[#This Row],[WIDTH (mm)]])/1000*2*MBQ[[#This Row],[QTY TOTAL]]</f>
        <v>10.4</v>
      </c>
      <c r="U205" s="266">
        <f>MBQ[[#This Row],[MULTIPLIER]]*MBQ[[#This Row],[QTY]]</f>
        <v>1</v>
      </c>
      <c r="V205" s="9">
        <f>MBQ[[#This Row],[HEIGHT (mm)]]/1000*MBQ[[#This Row],[WIDTH (mm)]]/1000*MBQ[[#This Row],[QTY TOTAL]]</f>
        <v>4.8</v>
      </c>
      <c r="W205" s="287">
        <f>ROUNDUP(MBQ[[#This Row],[HEIGHT (mm)]]/450*MBQ[[#This Row],[QTY]]*2,0)+ROUNDUP(MBQ[[#This Row],[WIDTH (mm)]]/450*MBQ[[#This Row],[QTY]]*2,0)</f>
        <v>24</v>
      </c>
    </row>
    <row r="206" spans="1:23" ht="30">
      <c r="A206" s="258">
        <v>1</v>
      </c>
      <c r="B206" s="276" t="s">
        <v>536</v>
      </c>
      <c r="C206" s="278" t="s">
        <v>544</v>
      </c>
      <c r="D206" s="277" t="s">
        <v>550</v>
      </c>
      <c r="E206" s="277" t="s">
        <v>537</v>
      </c>
      <c r="F206" s="261"/>
      <c r="G206" s="262"/>
      <c r="H206" s="262"/>
      <c r="I206" s="260" t="s">
        <v>439</v>
      </c>
      <c r="J206" s="278" t="s">
        <v>538</v>
      </c>
      <c r="K206" s="285" t="s">
        <v>580</v>
      </c>
      <c r="L206" s="277" t="s">
        <v>539</v>
      </c>
      <c r="M206" s="263"/>
      <c r="N206" s="263"/>
      <c r="O206" s="264">
        <v>4000</v>
      </c>
      <c r="P206" s="264">
        <v>1200</v>
      </c>
      <c r="Q206" s="265">
        <v>1</v>
      </c>
      <c r="R206" s="30">
        <f>MBQ[[#This Row],[HEIGHT (mm)]]*MBQ[[#This Row],[QTY TOTAL]]/1000</f>
        <v>4</v>
      </c>
      <c r="S206" s="30">
        <f>MBQ[[#This Row],[WIDTH (mm)]]*MBQ[[#This Row],[QTY TOTAL]]/1000</f>
        <v>1.2</v>
      </c>
      <c r="T206" s="9">
        <f>(MBQ[[#This Row],[HEIGHT (mm)]]+MBQ[[#This Row],[WIDTH (mm)]])/1000*2*MBQ[[#This Row],[QTY TOTAL]]</f>
        <v>10.4</v>
      </c>
      <c r="U206" s="266">
        <f>MBQ[[#This Row],[MULTIPLIER]]*MBQ[[#This Row],[QTY]]</f>
        <v>1</v>
      </c>
      <c r="V206" s="9">
        <f>MBQ[[#This Row],[HEIGHT (mm)]]/1000*MBQ[[#This Row],[WIDTH (mm)]]/1000*MBQ[[#This Row],[QTY TOTAL]]</f>
        <v>4.8</v>
      </c>
      <c r="W206" s="287">
        <f>ROUNDUP(MBQ[[#This Row],[HEIGHT (mm)]]/450*MBQ[[#This Row],[QTY]]*2,0)+ROUNDUP(MBQ[[#This Row],[WIDTH (mm)]]/450*MBQ[[#This Row],[QTY]]*2,0)</f>
        <v>24</v>
      </c>
    </row>
    <row r="207" spans="1:23" ht="30">
      <c r="A207" s="258">
        <v>1</v>
      </c>
      <c r="B207" s="276" t="s">
        <v>536</v>
      </c>
      <c r="C207" s="278" t="s">
        <v>544</v>
      </c>
      <c r="D207" s="277" t="s">
        <v>550</v>
      </c>
      <c r="E207" s="277" t="s">
        <v>537</v>
      </c>
      <c r="F207" s="261"/>
      <c r="G207" s="262"/>
      <c r="H207" s="262"/>
      <c r="I207" s="260" t="s">
        <v>439</v>
      </c>
      <c r="J207" s="278" t="s">
        <v>538</v>
      </c>
      <c r="K207" s="285" t="s">
        <v>580</v>
      </c>
      <c r="L207" s="277" t="s">
        <v>539</v>
      </c>
      <c r="M207" s="263"/>
      <c r="N207" s="263"/>
      <c r="O207" s="264">
        <v>4000</v>
      </c>
      <c r="P207" s="264">
        <v>1200</v>
      </c>
      <c r="Q207" s="265">
        <v>1</v>
      </c>
      <c r="R207" s="30">
        <f>MBQ[[#This Row],[HEIGHT (mm)]]*MBQ[[#This Row],[QTY TOTAL]]/1000</f>
        <v>4</v>
      </c>
      <c r="S207" s="30">
        <f>MBQ[[#This Row],[WIDTH (mm)]]*MBQ[[#This Row],[QTY TOTAL]]/1000</f>
        <v>1.2</v>
      </c>
      <c r="T207" s="9">
        <f>(MBQ[[#This Row],[HEIGHT (mm)]]+MBQ[[#This Row],[WIDTH (mm)]])/1000*2*MBQ[[#This Row],[QTY TOTAL]]</f>
        <v>10.4</v>
      </c>
      <c r="U207" s="266">
        <f>MBQ[[#This Row],[MULTIPLIER]]*MBQ[[#This Row],[QTY]]</f>
        <v>1</v>
      </c>
      <c r="V207" s="9">
        <f>MBQ[[#This Row],[HEIGHT (mm)]]/1000*MBQ[[#This Row],[WIDTH (mm)]]/1000*MBQ[[#This Row],[QTY TOTAL]]</f>
        <v>4.8</v>
      </c>
      <c r="W207" s="287">
        <f>ROUNDUP(MBQ[[#This Row],[HEIGHT (mm)]]/450*MBQ[[#This Row],[QTY]]*2,0)+ROUNDUP(MBQ[[#This Row],[WIDTH (mm)]]/450*MBQ[[#This Row],[QTY]]*2,0)</f>
        <v>24</v>
      </c>
    </row>
    <row r="208" spans="1:23" ht="30">
      <c r="A208" s="258">
        <v>1</v>
      </c>
      <c r="B208" s="276" t="s">
        <v>536</v>
      </c>
      <c r="C208" s="278" t="s">
        <v>544</v>
      </c>
      <c r="D208" s="277" t="s">
        <v>550</v>
      </c>
      <c r="E208" s="277" t="s">
        <v>537</v>
      </c>
      <c r="F208" s="261"/>
      <c r="G208" s="262"/>
      <c r="H208" s="262"/>
      <c r="I208" s="260" t="s">
        <v>439</v>
      </c>
      <c r="J208" s="278" t="s">
        <v>538</v>
      </c>
      <c r="K208" s="285" t="s">
        <v>580</v>
      </c>
      <c r="L208" s="277" t="s">
        <v>539</v>
      </c>
      <c r="M208" s="263"/>
      <c r="N208" s="263"/>
      <c r="O208" s="264">
        <v>4000</v>
      </c>
      <c r="P208" s="264">
        <v>1200</v>
      </c>
      <c r="Q208" s="265">
        <v>1</v>
      </c>
      <c r="R208" s="30">
        <f>MBQ[[#This Row],[HEIGHT (mm)]]*MBQ[[#This Row],[QTY TOTAL]]/1000</f>
        <v>4</v>
      </c>
      <c r="S208" s="30">
        <f>MBQ[[#This Row],[WIDTH (mm)]]*MBQ[[#This Row],[QTY TOTAL]]/1000</f>
        <v>1.2</v>
      </c>
      <c r="T208" s="9">
        <f>(MBQ[[#This Row],[HEIGHT (mm)]]+MBQ[[#This Row],[WIDTH (mm)]])/1000*2*MBQ[[#This Row],[QTY TOTAL]]</f>
        <v>10.4</v>
      </c>
      <c r="U208" s="266">
        <f>MBQ[[#This Row],[MULTIPLIER]]*MBQ[[#This Row],[QTY]]</f>
        <v>1</v>
      </c>
      <c r="V208" s="9">
        <f>MBQ[[#This Row],[HEIGHT (mm)]]/1000*MBQ[[#This Row],[WIDTH (mm)]]/1000*MBQ[[#This Row],[QTY TOTAL]]</f>
        <v>4.8</v>
      </c>
      <c r="W208" s="287">
        <f>ROUNDUP(MBQ[[#This Row],[HEIGHT (mm)]]/450*MBQ[[#This Row],[QTY]]*2,0)+ROUNDUP(MBQ[[#This Row],[WIDTH (mm)]]/450*MBQ[[#This Row],[QTY]]*2,0)</f>
        <v>24</v>
      </c>
    </row>
    <row r="209" spans="1:25" ht="30">
      <c r="A209" s="258">
        <v>1</v>
      </c>
      <c r="B209" s="276" t="s">
        <v>536</v>
      </c>
      <c r="C209" s="278" t="s">
        <v>544</v>
      </c>
      <c r="D209" s="277" t="s">
        <v>550</v>
      </c>
      <c r="E209" s="277" t="s">
        <v>537</v>
      </c>
      <c r="F209" s="261"/>
      <c r="G209" s="262"/>
      <c r="H209" s="262"/>
      <c r="I209" s="260" t="s">
        <v>439</v>
      </c>
      <c r="J209" s="278" t="s">
        <v>538</v>
      </c>
      <c r="K209" s="285" t="s">
        <v>580</v>
      </c>
      <c r="L209" s="277" t="s">
        <v>539</v>
      </c>
      <c r="M209" s="263"/>
      <c r="N209" s="263"/>
      <c r="O209" s="264">
        <v>4000</v>
      </c>
      <c r="P209" s="264">
        <v>1200</v>
      </c>
      <c r="Q209" s="265">
        <v>1</v>
      </c>
      <c r="R209" s="30">
        <f>MBQ[[#This Row],[HEIGHT (mm)]]*MBQ[[#This Row],[QTY TOTAL]]/1000</f>
        <v>4</v>
      </c>
      <c r="S209" s="30">
        <f>MBQ[[#This Row],[WIDTH (mm)]]*MBQ[[#This Row],[QTY TOTAL]]/1000</f>
        <v>1.2</v>
      </c>
      <c r="T209" s="9">
        <f>(MBQ[[#This Row],[HEIGHT (mm)]]+MBQ[[#This Row],[WIDTH (mm)]])/1000*2*MBQ[[#This Row],[QTY TOTAL]]</f>
        <v>10.4</v>
      </c>
      <c r="U209" s="266">
        <f>MBQ[[#This Row],[MULTIPLIER]]*MBQ[[#This Row],[QTY]]</f>
        <v>1</v>
      </c>
      <c r="V209" s="9">
        <f>MBQ[[#This Row],[HEIGHT (mm)]]/1000*MBQ[[#This Row],[WIDTH (mm)]]/1000*MBQ[[#This Row],[QTY TOTAL]]</f>
        <v>4.8</v>
      </c>
      <c r="W209" s="287">
        <f>ROUNDUP(MBQ[[#This Row],[HEIGHT (mm)]]/450*MBQ[[#This Row],[QTY]]*2,0)+ROUNDUP(MBQ[[#This Row],[WIDTH (mm)]]/450*MBQ[[#This Row],[QTY]]*2,0)</f>
        <v>24</v>
      </c>
    </row>
    <row r="210" spans="1:25" ht="30">
      <c r="A210" s="258">
        <v>1</v>
      </c>
      <c r="B210" s="276" t="s">
        <v>536</v>
      </c>
      <c r="C210" s="278" t="s">
        <v>544</v>
      </c>
      <c r="D210" s="277" t="s">
        <v>550</v>
      </c>
      <c r="E210" s="277" t="s">
        <v>537</v>
      </c>
      <c r="F210" s="261"/>
      <c r="G210" s="262"/>
      <c r="H210" s="262"/>
      <c r="I210" s="260" t="s">
        <v>439</v>
      </c>
      <c r="J210" s="278" t="s">
        <v>538</v>
      </c>
      <c r="K210" s="285" t="s">
        <v>580</v>
      </c>
      <c r="L210" s="277" t="s">
        <v>539</v>
      </c>
      <c r="M210" s="263"/>
      <c r="N210" s="263"/>
      <c r="O210" s="264">
        <v>4000</v>
      </c>
      <c r="P210" s="264">
        <v>1200</v>
      </c>
      <c r="Q210" s="265">
        <v>1</v>
      </c>
      <c r="R210" s="30">
        <f>MBQ[[#This Row],[HEIGHT (mm)]]*MBQ[[#This Row],[QTY TOTAL]]/1000</f>
        <v>4</v>
      </c>
      <c r="S210" s="30">
        <f>MBQ[[#This Row],[WIDTH (mm)]]*MBQ[[#This Row],[QTY TOTAL]]/1000</f>
        <v>1.2</v>
      </c>
      <c r="T210" s="9">
        <f>(MBQ[[#This Row],[HEIGHT (mm)]]+MBQ[[#This Row],[WIDTH (mm)]])/1000*2*MBQ[[#This Row],[QTY TOTAL]]</f>
        <v>10.4</v>
      </c>
      <c r="U210" s="266">
        <f>MBQ[[#This Row],[MULTIPLIER]]*MBQ[[#This Row],[QTY]]</f>
        <v>1</v>
      </c>
      <c r="V210" s="9">
        <f>MBQ[[#This Row],[HEIGHT (mm)]]/1000*MBQ[[#This Row],[WIDTH (mm)]]/1000*MBQ[[#This Row],[QTY TOTAL]]</f>
        <v>4.8</v>
      </c>
      <c r="W210" s="287">
        <f>ROUNDUP(MBQ[[#This Row],[HEIGHT (mm)]]/450*MBQ[[#This Row],[QTY]]*2,0)+ROUNDUP(MBQ[[#This Row],[WIDTH (mm)]]/450*MBQ[[#This Row],[QTY]]*2,0)</f>
        <v>24</v>
      </c>
    </row>
    <row r="211" spans="1:25" ht="30">
      <c r="A211" s="258">
        <v>1</v>
      </c>
      <c r="B211" s="276" t="s">
        <v>536</v>
      </c>
      <c r="C211" s="278" t="s">
        <v>544</v>
      </c>
      <c r="D211" s="277" t="s">
        <v>550</v>
      </c>
      <c r="E211" s="277" t="s">
        <v>537</v>
      </c>
      <c r="F211" s="261"/>
      <c r="G211" s="262"/>
      <c r="H211" s="262"/>
      <c r="I211" s="260" t="s">
        <v>439</v>
      </c>
      <c r="J211" s="278" t="s">
        <v>538</v>
      </c>
      <c r="K211" s="285" t="s">
        <v>580</v>
      </c>
      <c r="L211" s="277" t="s">
        <v>539</v>
      </c>
      <c r="M211" s="263"/>
      <c r="N211" s="263"/>
      <c r="O211" s="264">
        <v>4000</v>
      </c>
      <c r="P211" s="264">
        <v>1200</v>
      </c>
      <c r="Q211" s="265">
        <v>1</v>
      </c>
      <c r="R211" s="30">
        <f>MBQ[[#This Row],[HEIGHT (mm)]]*MBQ[[#This Row],[QTY TOTAL]]/1000</f>
        <v>4</v>
      </c>
      <c r="S211" s="30">
        <f>MBQ[[#This Row],[WIDTH (mm)]]*MBQ[[#This Row],[QTY TOTAL]]/1000</f>
        <v>1.2</v>
      </c>
      <c r="T211" s="9">
        <f>(MBQ[[#This Row],[HEIGHT (mm)]]+MBQ[[#This Row],[WIDTH (mm)]])/1000*2*MBQ[[#This Row],[QTY TOTAL]]</f>
        <v>10.4</v>
      </c>
      <c r="U211" s="266">
        <f>MBQ[[#This Row],[MULTIPLIER]]*MBQ[[#This Row],[QTY]]</f>
        <v>1</v>
      </c>
      <c r="V211" s="9">
        <f>MBQ[[#This Row],[HEIGHT (mm)]]/1000*MBQ[[#This Row],[WIDTH (mm)]]/1000*MBQ[[#This Row],[QTY TOTAL]]</f>
        <v>4.8</v>
      </c>
      <c r="W211" s="287">
        <f>ROUNDUP(MBQ[[#This Row],[HEIGHT (mm)]]/450*MBQ[[#This Row],[QTY]]*2,0)+ROUNDUP(MBQ[[#This Row],[WIDTH (mm)]]/450*MBQ[[#This Row],[QTY]]*2,0)</f>
        <v>24</v>
      </c>
    </row>
    <row r="212" spans="1:25" ht="30">
      <c r="A212" s="258">
        <v>1</v>
      </c>
      <c r="B212" s="276" t="s">
        <v>536</v>
      </c>
      <c r="C212" s="278" t="s">
        <v>544</v>
      </c>
      <c r="D212" s="277" t="s">
        <v>550</v>
      </c>
      <c r="E212" s="277" t="s">
        <v>537</v>
      </c>
      <c r="F212" s="261"/>
      <c r="G212" s="262"/>
      <c r="H212" s="262"/>
      <c r="I212" s="260" t="s">
        <v>439</v>
      </c>
      <c r="J212" s="278" t="s">
        <v>538</v>
      </c>
      <c r="K212" s="285" t="s">
        <v>580</v>
      </c>
      <c r="L212" s="277" t="s">
        <v>539</v>
      </c>
      <c r="M212" s="263"/>
      <c r="N212" s="263"/>
      <c r="O212" s="264">
        <v>4000</v>
      </c>
      <c r="P212" s="264">
        <v>1200</v>
      </c>
      <c r="Q212" s="265">
        <v>1</v>
      </c>
      <c r="R212" s="30">
        <f>MBQ[[#This Row],[HEIGHT (mm)]]*MBQ[[#This Row],[QTY TOTAL]]/1000</f>
        <v>4</v>
      </c>
      <c r="S212" s="30">
        <f>MBQ[[#This Row],[WIDTH (mm)]]*MBQ[[#This Row],[QTY TOTAL]]/1000</f>
        <v>1.2</v>
      </c>
      <c r="T212" s="9">
        <f>(MBQ[[#This Row],[HEIGHT (mm)]]+MBQ[[#This Row],[WIDTH (mm)]])/1000*2*MBQ[[#This Row],[QTY TOTAL]]</f>
        <v>10.4</v>
      </c>
      <c r="U212" s="266">
        <f>MBQ[[#This Row],[MULTIPLIER]]*MBQ[[#This Row],[QTY]]</f>
        <v>1</v>
      </c>
      <c r="V212" s="9">
        <f>MBQ[[#This Row],[HEIGHT (mm)]]/1000*MBQ[[#This Row],[WIDTH (mm)]]/1000*MBQ[[#This Row],[QTY TOTAL]]</f>
        <v>4.8</v>
      </c>
      <c r="W212" s="287">
        <f>ROUNDUP(MBQ[[#This Row],[HEIGHT (mm)]]/450*MBQ[[#This Row],[QTY]]*2,0)+ROUNDUP(MBQ[[#This Row],[WIDTH (mm)]]/450*MBQ[[#This Row],[QTY]]*2,0)</f>
        <v>24</v>
      </c>
    </row>
    <row r="213" spans="1:25" ht="30">
      <c r="A213" s="258">
        <v>1</v>
      </c>
      <c r="B213" s="276" t="s">
        <v>536</v>
      </c>
      <c r="C213" s="278" t="s">
        <v>544</v>
      </c>
      <c r="D213" s="277" t="s">
        <v>550</v>
      </c>
      <c r="E213" s="277" t="s">
        <v>537</v>
      </c>
      <c r="F213" s="261"/>
      <c r="G213" s="262"/>
      <c r="H213" s="262"/>
      <c r="I213" s="260" t="s">
        <v>439</v>
      </c>
      <c r="J213" s="278" t="s">
        <v>538</v>
      </c>
      <c r="K213" s="285" t="s">
        <v>580</v>
      </c>
      <c r="L213" s="277" t="s">
        <v>539</v>
      </c>
      <c r="M213" s="263"/>
      <c r="N213" s="263"/>
      <c r="O213" s="264">
        <v>4000</v>
      </c>
      <c r="P213" s="264">
        <v>1200</v>
      </c>
      <c r="Q213" s="265">
        <v>1</v>
      </c>
      <c r="R213" s="30">
        <f>MBQ[[#This Row],[HEIGHT (mm)]]*MBQ[[#This Row],[QTY TOTAL]]/1000</f>
        <v>4</v>
      </c>
      <c r="S213" s="30">
        <f>MBQ[[#This Row],[WIDTH (mm)]]*MBQ[[#This Row],[QTY TOTAL]]/1000</f>
        <v>1.2</v>
      </c>
      <c r="T213" s="9">
        <f>(MBQ[[#This Row],[HEIGHT (mm)]]+MBQ[[#This Row],[WIDTH (mm)]])/1000*2*MBQ[[#This Row],[QTY TOTAL]]</f>
        <v>10.4</v>
      </c>
      <c r="U213" s="266">
        <f>MBQ[[#This Row],[MULTIPLIER]]*MBQ[[#This Row],[QTY]]</f>
        <v>1</v>
      </c>
      <c r="V213" s="9">
        <f>MBQ[[#This Row],[HEIGHT (mm)]]/1000*MBQ[[#This Row],[WIDTH (mm)]]/1000*MBQ[[#This Row],[QTY TOTAL]]</f>
        <v>4.8</v>
      </c>
      <c r="W213" s="287">
        <f>ROUNDUP(MBQ[[#This Row],[HEIGHT (mm)]]/450*MBQ[[#This Row],[QTY]]*2,0)+ROUNDUP(MBQ[[#This Row],[WIDTH (mm)]]/450*MBQ[[#This Row],[QTY]]*2,0)</f>
        <v>24</v>
      </c>
      <c r="Y213" s="29"/>
    </row>
    <row r="214" spans="1:25" hidden="1">
      <c r="A214" s="258">
        <v>1</v>
      </c>
      <c r="B214" s="286" t="s">
        <v>535</v>
      </c>
      <c r="C214" s="278" t="s">
        <v>544</v>
      </c>
      <c r="D214" s="277" t="s">
        <v>550</v>
      </c>
      <c r="E214" s="277" t="s">
        <v>537</v>
      </c>
      <c r="F214" s="261"/>
      <c r="G214" s="262"/>
      <c r="H214" s="262"/>
      <c r="I214" s="260" t="s">
        <v>442</v>
      </c>
      <c r="J214" s="278" t="s">
        <v>443</v>
      </c>
      <c r="K214" s="285" t="s">
        <v>580</v>
      </c>
      <c r="L214" s="277" t="s">
        <v>540</v>
      </c>
      <c r="M214" s="263"/>
      <c r="N214" s="263"/>
      <c r="O214" s="264">
        <v>1300</v>
      </c>
      <c r="P214" s="264">
        <v>1200</v>
      </c>
      <c r="Q214" s="265">
        <v>1</v>
      </c>
      <c r="R214" s="30">
        <f>MBQ[[#This Row],[HEIGHT (mm)]]*MBQ[[#This Row],[QTY TOTAL]]/1000</f>
        <v>1.3</v>
      </c>
      <c r="S214" s="30">
        <f>MBQ[[#This Row],[WIDTH (mm)]]*MBQ[[#This Row],[QTY TOTAL]]/1000</f>
        <v>1.2</v>
      </c>
      <c r="T214" s="9">
        <f>(MBQ[[#This Row],[HEIGHT (mm)]]+MBQ[[#This Row],[WIDTH (mm)]])/1000*2*MBQ[[#This Row],[QTY TOTAL]]</f>
        <v>5</v>
      </c>
      <c r="U214" s="266">
        <f>MBQ[[#This Row],[MULTIPLIER]]*MBQ[[#This Row],[QTY]]</f>
        <v>1</v>
      </c>
      <c r="V214" s="9">
        <f>MBQ[[#This Row],[HEIGHT (mm)]]/1000*MBQ[[#This Row],[WIDTH (mm)]]/1000*MBQ[[#This Row],[QTY TOTAL]]</f>
        <v>1.56</v>
      </c>
      <c r="W214" s="287">
        <f>ROUNDUP(MBQ[[#This Row],[HEIGHT (mm)]]/450*MBQ[[#This Row],[QTY]]*2,0)+ROUNDUP(MBQ[[#This Row],[WIDTH (mm)]]/450*MBQ[[#This Row],[QTY]]*2,0)</f>
        <v>12</v>
      </c>
    </row>
    <row r="215" spans="1:25" hidden="1">
      <c r="A215" s="258">
        <v>1</v>
      </c>
      <c r="B215" s="286" t="s">
        <v>535</v>
      </c>
      <c r="C215" s="278" t="s">
        <v>544</v>
      </c>
      <c r="D215" s="277" t="s">
        <v>550</v>
      </c>
      <c r="E215" s="277" t="s">
        <v>537</v>
      </c>
      <c r="F215" s="261"/>
      <c r="G215" s="262"/>
      <c r="H215" s="262"/>
      <c r="I215" s="260" t="s">
        <v>442</v>
      </c>
      <c r="J215" s="278" t="s">
        <v>443</v>
      </c>
      <c r="K215" s="285" t="s">
        <v>580</v>
      </c>
      <c r="L215" s="277" t="s">
        <v>541</v>
      </c>
      <c r="M215" s="263"/>
      <c r="N215" s="263"/>
      <c r="O215" s="264">
        <v>1700</v>
      </c>
      <c r="P215" s="264">
        <v>1200</v>
      </c>
      <c r="Q215" s="265">
        <v>1</v>
      </c>
      <c r="R215" s="30">
        <f>MBQ[[#This Row],[HEIGHT (mm)]]*MBQ[[#This Row],[QTY TOTAL]]/1000</f>
        <v>1.7</v>
      </c>
      <c r="S215" s="30">
        <f>MBQ[[#This Row],[WIDTH (mm)]]*MBQ[[#This Row],[QTY TOTAL]]/1000</f>
        <v>1.2</v>
      </c>
      <c r="T215" s="9">
        <f>(MBQ[[#This Row],[HEIGHT (mm)]]+MBQ[[#This Row],[WIDTH (mm)]])/1000*2*MBQ[[#This Row],[QTY TOTAL]]</f>
        <v>5.8</v>
      </c>
      <c r="U215" s="266">
        <f>MBQ[[#This Row],[MULTIPLIER]]*MBQ[[#This Row],[QTY]]</f>
        <v>1</v>
      </c>
      <c r="V215" s="9">
        <f>MBQ[[#This Row],[HEIGHT (mm)]]/1000*MBQ[[#This Row],[WIDTH (mm)]]/1000*MBQ[[#This Row],[QTY TOTAL]]</f>
        <v>2.04</v>
      </c>
      <c r="W215" s="287">
        <f>ROUNDUP(MBQ[[#This Row],[HEIGHT (mm)]]/450*MBQ[[#This Row],[QTY]]*2,0)+ROUNDUP(MBQ[[#This Row],[WIDTH (mm)]]/450*MBQ[[#This Row],[QTY]]*2,0)</f>
        <v>14</v>
      </c>
    </row>
    <row r="216" spans="1:25" hidden="1">
      <c r="A216" s="258">
        <v>1</v>
      </c>
      <c r="B216" s="286" t="s">
        <v>535</v>
      </c>
      <c r="C216" s="278" t="s">
        <v>544</v>
      </c>
      <c r="D216" s="277" t="s">
        <v>550</v>
      </c>
      <c r="E216" s="277" t="s">
        <v>537</v>
      </c>
      <c r="F216" s="261"/>
      <c r="G216" s="262"/>
      <c r="H216" s="262"/>
      <c r="I216" s="260" t="s">
        <v>442</v>
      </c>
      <c r="J216" s="278" t="s">
        <v>443</v>
      </c>
      <c r="K216" s="285" t="s">
        <v>580</v>
      </c>
      <c r="L216" s="277" t="s">
        <v>540</v>
      </c>
      <c r="M216" s="263"/>
      <c r="N216" s="263"/>
      <c r="O216" s="264">
        <v>1000</v>
      </c>
      <c r="P216" s="264">
        <v>1200</v>
      </c>
      <c r="Q216" s="265">
        <v>1</v>
      </c>
      <c r="R216" s="30">
        <f>MBQ[[#This Row],[HEIGHT (mm)]]*MBQ[[#This Row],[QTY TOTAL]]/1000</f>
        <v>1</v>
      </c>
      <c r="S216" s="30">
        <f>MBQ[[#This Row],[WIDTH (mm)]]*MBQ[[#This Row],[QTY TOTAL]]/1000</f>
        <v>1.2</v>
      </c>
      <c r="T216" s="9">
        <f>(MBQ[[#This Row],[HEIGHT (mm)]]+MBQ[[#This Row],[WIDTH (mm)]])/1000*2*MBQ[[#This Row],[QTY TOTAL]]</f>
        <v>4.4000000000000004</v>
      </c>
      <c r="U216" s="266">
        <f>MBQ[[#This Row],[MULTIPLIER]]*MBQ[[#This Row],[QTY]]</f>
        <v>1</v>
      </c>
      <c r="V216" s="9">
        <f>MBQ[[#This Row],[HEIGHT (mm)]]/1000*MBQ[[#This Row],[WIDTH (mm)]]/1000*MBQ[[#This Row],[QTY TOTAL]]</f>
        <v>1.2</v>
      </c>
      <c r="W216" s="287">
        <f>ROUNDUP(MBQ[[#This Row],[HEIGHT (mm)]]/450*MBQ[[#This Row],[QTY]]*2,0)+ROUNDUP(MBQ[[#This Row],[WIDTH (mm)]]/450*MBQ[[#This Row],[QTY]]*2,0)</f>
        <v>11</v>
      </c>
    </row>
    <row r="217" spans="1:25" hidden="1">
      <c r="A217" s="258">
        <v>1</v>
      </c>
      <c r="B217" s="286" t="s">
        <v>535</v>
      </c>
      <c r="C217" s="278" t="s">
        <v>544</v>
      </c>
      <c r="D217" s="277" t="s">
        <v>550</v>
      </c>
      <c r="E217" s="277" t="s">
        <v>537</v>
      </c>
      <c r="F217" s="261"/>
      <c r="G217" s="262"/>
      <c r="H217" s="262"/>
      <c r="I217" s="260" t="s">
        <v>442</v>
      </c>
      <c r="J217" s="278" t="s">
        <v>443</v>
      </c>
      <c r="K217" s="285" t="s">
        <v>580</v>
      </c>
      <c r="L217" s="277" t="s">
        <v>540</v>
      </c>
      <c r="M217" s="263"/>
      <c r="N217" s="263"/>
      <c r="O217" s="264">
        <v>1300</v>
      </c>
      <c r="P217" s="264">
        <v>1200</v>
      </c>
      <c r="Q217" s="265">
        <v>1</v>
      </c>
      <c r="R217" s="30">
        <f>MBQ[[#This Row],[HEIGHT (mm)]]*MBQ[[#This Row],[QTY TOTAL]]/1000</f>
        <v>1.3</v>
      </c>
      <c r="S217" s="30">
        <f>MBQ[[#This Row],[WIDTH (mm)]]*MBQ[[#This Row],[QTY TOTAL]]/1000</f>
        <v>1.2</v>
      </c>
      <c r="T217" s="9">
        <f>(MBQ[[#This Row],[HEIGHT (mm)]]+MBQ[[#This Row],[WIDTH (mm)]])/1000*2*MBQ[[#This Row],[QTY TOTAL]]</f>
        <v>5</v>
      </c>
      <c r="U217" s="266">
        <f>MBQ[[#This Row],[MULTIPLIER]]*MBQ[[#This Row],[QTY]]</f>
        <v>1</v>
      </c>
      <c r="V217" s="9">
        <f>MBQ[[#This Row],[HEIGHT (mm)]]/1000*MBQ[[#This Row],[WIDTH (mm)]]/1000*MBQ[[#This Row],[QTY TOTAL]]</f>
        <v>1.56</v>
      </c>
      <c r="W217" s="287">
        <f>ROUNDUP(MBQ[[#This Row],[HEIGHT (mm)]]/450*MBQ[[#This Row],[QTY]]*2,0)+ROUNDUP(MBQ[[#This Row],[WIDTH (mm)]]/450*MBQ[[#This Row],[QTY]]*2,0)</f>
        <v>12</v>
      </c>
    </row>
    <row r="218" spans="1:25" hidden="1">
      <c r="A218" s="258">
        <v>1</v>
      </c>
      <c r="B218" s="286" t="s">
        <v>535</v>
      </c>
      <c r="C218" s="278" t="s">
        <v>544</v>
      </c>
      <c r="D218" s="277" t="s">
        <v>550</v>
      </c>
      <c r="E218" s="277" t="s">
        <v>537</v>
      </c>
      <c r="F218" s="261"/>
      <c r="G218" s="262"/>
      <c r="H218" s="262"/>
      <c r="I218" s="260" t="s">
        <v>442</v>
      </c>
      <c r="J218" s="278" t="s">
        <v>443</v>
      </c>
      <c r="K218" s="285" t="s">
        <v>580</v>
      </c>
      <c r="L218" s="277" t="s">
        <v>541</v>
      </c>
      <c r="M218" s="263"/>
      <c r="N218" s="263"/>
      <c r="O218" s="264">
        <v>1700</v>
      </c>
      <c r="P218" s="264">
        <v>1200</v>
      </c>
      <c r="Q218" s="265">
        <v>1</v>
      </c>
      <c r="R218" s="30">
        <f>MBQ[[#This Row],[HEIGHT (mm)]]*MBQ[[#This Row],[QTY TOTAL]]/1000</f>
        <v>1.7</v>
      </c>
      <c r="S218" s="30">
        <f>MBQ[[#This Row],[WIDTH (mm)]]*MBQ[[#This Row],[QTY TOTAL]]/1000</f>
        <v>1.2</v>
      </c>
      <c r="T218" s="9">
        <f>(MBQ[[#This Row],[HEIGHT (mm)]]+MBQ[[#This Row],[WIDTH (mm)]])/1000*2*MBQ[[#This Row],[QTY TOTAL]]</f>
        <v>5.8</v>
      </c>
      <c r="U218" s="266">
        <f>MBQ[[#This Row],[MULTIPLIER]]*MBQ[[#This Row],[QTY]]</f>
        <v>1</v>
      </c>
      <c r="V218" s="9">
        <f>MBQ[[#This Row],[HEIGHT (mm)]]/1000*MBQ[[#This Row],[WIDTH (mm)]]/1000*MBQ[[#This Row],[QTY TOTAL]]</f>
        <v>2.04</v>
      </c>
      <c r="W218" s="287">
        <f>ROUNDUP(MBQ[[#This Row],[HEIGHT (mm)]]/450*MBQ[[#This Row],[QTY]]*2,0)+ROUNDUP(MBQ[[#This Row],[WIDTH (mm)]]/450*MBQ[[#This Row],[QTY]]*2,0)</f>
        <v>14</v>
      </c>
    </row>
    <row r="219" spans="1:25" hidden="1">
      <c r="A219" s="258">
        <v>1</v>
      </c>
      <c r="B219" s="286" t="s">
        <v>535</v>
      </c>
      <c r="C219" s="278" t="s">
        <v>544</v>
      </c>
      <c r="D219" s="277" t="s">
        <v>550</v>
      </c>
      <c r="E219" s="277" t="s">
        <v>537</v>
      </c>
      <c r="F219" s="261"/>
      <c r="G219" s="262"/>
      <c r="H219" s="262"/>
      <c r="I219" s="260" t="s">
        <v>442</v>
      </c>
      <c r="J219" s="278" t="s">
        <v>443</v>
      </c>
      <c r="K219" s="285" t="s">
        <v>580</v>
      </c>
      <c r="L219" s="277" t="s">
        <v>540</v>
      </c>
      <c r="M219" s="263"/>
      <c r="N219" s="263"/>
      <c r="O219" s="264">
        <v>1000</v>
      </c>
      <c r="P219" s="264">
        <v>1200</v>
      </c>
      <c r="Q219" s="265">
        <v>1</v>
      </c>
      <c r="R219" s="30">
        <f>MBQ[[#This Row],[HEIGHT (mm)]]*MBQ[[#This Row],[QTY TOTAL]]/1000</f>
        <v>1</v>
      </c>
      <c r="S219" s="30">
        <f>MBQ[[#This Row],[WIDTH (mm)]]*MBQ[[#This Row],[QTY TOTAL]]/1000</f>
        <v>1.2</v>
      </c>
      <c r="T219" s="9">
        <f>(MBQ[[#This Row],[HEIGHT (mm)]]+MBQ[[#This Row],[WIDTH (mm)]])/1000*2*MBQ[[#This Row],[QTY TOTAL]]</f>
        <v>4.4000000000000004</v>
      </c>
      <c r="U219" s="266">
        <f>MBQ[[#This Row],[MULTIPLIER]]*MBQ[[#This Row],[QTY]]</f>
        <v>1</v>
      </c>
      <c r="V219" s="9">
        <f>MBQ[[#This Row],[HEIGHT (mm)]]/1000*MBQ[[#This Row],[WIDTH (mm)]]/1000*MBQ[[#This Row],[QTY TOTAL]]</f>
        <v>1.2</v>
      </c>
      <c r="W219" s="287">
        <f>ROUNDUP(MBQ[[#This Row],[HEIGHT (mm)]]/450*MBQ[[#This Row],[QTY]]*2,0)+ROUNDUP(MBQ[[#This Row],[WIDTH (mm)]]/450*MBQ[[#This Row],[QTY]]*2,0)</f>
        <v>11</v>
      </c>
    </row>
    <row r="220" spans="1:25" hidden="1">
      <c r="A220" s="258">
        <v>1</v>
      </c>
      <c r="B220" s="286" t="s">
        <v>535</v>
      </c>
      <c r="C220" s="278" t="s">
        <v>544</v>
      </c>
      <c r="D220" s="277" t="s">
        <v>550</v>
      </c>
      <c r="E220" s="277" t="s">
        <v>537</v>
      </c>
      <c r="F220" s="261"/>
      <c r="G220" s="262"/>
      <c r="H220" s="262"/>
      <c r="I220" s="260" t="s">
        <v>442</v>
      </c>
      <c r="J220" s="278" t="s">
        <v>443</v>
      </c>
      <c r="K220" s="285" t="s">
        <v>580</v>
      </c>
      <c r="L220" s="277" t="s">
        <v>540</v>
      </c>
      <c r="M220" s="263"/>
      <c r="N220" s="263"/>
      <c r="O220" s="264">
        <v>1300</v>
      </c>
      <c r="P220" s="264">
        <v>1200</v>
      </c>
      <c r="Q220" s="265">
        <v>1</v>
      </c>
      <c r="R220" s="30">
        <f>MBQ[[#This Row],[HEIGHT (mm)]]*MBQ[[#This Row],[QTY TOTAL]]/1000</f>
        <v>1.3</v>
      </c>
      <c r="S220" s="30">
        <f>MBQ[[#This Row],[WIDTH (mm)]]*MBQ[[#This Row],[QTY TOTAL]]/1000</f>
        <v>1.2</v>
      </c>
      <c r="T220" s="9">
        <f>(MBQ[[#This Row],[HEIGHT (mm)]]+MBQ[[#This Row],[WIDTH (mm)]])/1000*2*MBQ[[#This Row],[QTY TOTAL]]</f>
        <v>5</v>
      </c>
      <c r="U220" s="266">
        <f>MBQ[[#This Row],[MULTIPLIER]]*MBQ[[#This Row],[QTY]]</f>
        <v>1</v>
      </c>
      <c r="V220" s="9">
        <f>MBQ[[#This Row],[HEIGHT (mm)]]/1000*MBQ[[#This Row],[WIDTH (mm)]]/1000*MBQ[[#This Row],[QTY TOTAL]]</f>
        <v>1.56</v>
      </c>
      <c r="W220" s="287">
        <f>ROUNDUP(MBQ[[#This Row],[HEIGHT (mm)]]/450*MBQ[[#This Row],[QTY]]*2,0)+ROUNDUP(MBQ[[#This Row],[WIDTH (mm)]]/450*MBQ[[#This Row],[QTY]]*2,0)</f>
        <v>12</v>
      </c>
    </row>
    <row r="221" spans="1:25" hidden="1">
      <c r="A221" s="258">
        <v>1</v>
      </c>
      <c r="B221" s="286" t="s">
        <v>535</v>
      </c>
      <c r="C221" s="278" t="s">
        <v>544</v>
      </c>
      <c r="D221" s="277" t="s">
        <v>550</v>
      </c>
      <c r="E221" s="277" t="s">
        <v>537</v>
      </c>
      <c r="F221" s="261"/>
      <c r="G221" s="262"/>
      <c r="H221" s="262"/>
      <c r="I221" s="260" t="s">
        <v>442</v>
      </c>
      <c r="J221" s="278" t="s">
        <v>443</v>
      </c>
      <c r="K221" s="285" t="s">
        <v>580</v>
      </c>
      <c r="L221" s="277" t="s">
        <v>541</v>
      </c>
      <c r="M221" s="263"/>
      <c r="N221" s="263"/>
      <c r="O221" s="264">
        <v>1700</v>
      </c>
      <c r="P221" s="264">
        <v>1200</v>
      </c>
      <c r="Q221" s="265">
        <v>1</v>
      </c>
      <c r="R221" s="30">
        <f>MBQ[[#This Row],[HEIGHT (mm)]]*MBQ[[#This Row],[QTY TOTAL]]/1000</f>
        <v>1.7</v>
      </c>
      <c r="S221" s="30">
        <f>MBQ[[#This Row],[WIDTH (mm)]]*MBQ[[#This Row],[QTY TOTAL]]/1000</f>
        <v>1.2</v>
      </c>
      <c r="T221" s="9">
        <f>(MBQ[[#This Row],[HEIGHT (mm)]]+MBQ[[#This Row],[WIDTH (mm)]])/1000*2*MBQ[[#This Row],[QTY TOTAL]]</f>
        <v>5.8</v>
      </c>
      <c r="U221" s="266">
        <f>MBQ[[#This Row],[MULTIPLIER]]*MBQ[[#This Row],[QTY]]</f>
        <v>1</v>
      </c>
      <c r="V221" s="9">
        <f>MBQ[[#This Row],[HEIGHT (mm)]]/1000*MBQ[[#This Row],[WIDTH (mm)]]/1000*MBQ[[#This Row],[QTY TOTAL]]</f>
        <v>2.04</v>
      </c>
      <c r="W221" s="287">
        <f>ROUNDUP(MBQ[[#This Row],[HEIGHT (mm)]]/450*MBQ[[#This Row],[QTY]]*2,0)+ROUNDUP(MBQ[[#This Row],[WIDTH (mm)]]/450*MBQ[[#This Row],[QTY]]*2,0)</f>
        <v>14</v>
      </c>
    </row>
    <row r="222" spans="1:25" hidden="1">
      <c r="A222" s="258">
        <v>1</v>
      </c>
      <c r="B222" s="286" t="s">
        <v>535</v>
      </c>
      <c r="C222" s="278" t="s">
        <v>544</v>
      </c>
      <c r="D222" s="277" t="s">
        <v>550</v>
      </c>
      <c r="E222" s="277" t="s">
        <v>537</v>
      </c>
      <c r="F222" s="261"/>
      <c r="G222" s="262"/>
      <c r="H222" s="262"/>
      <c r="I222" s="260" t="s">
        <v>442</v>
      </c>
      <c r="J222" s="278" t="s">
        <v>443</v>
      </c>
      <c r="K222" s="285" t="s">
        <v>580</v>
      </c>
      <c r="L222" s="277" t="s">
        <v>540</v>
      </c>
      <c r="M222" s="263"/>
      <c r="N222" s="263"/>
      <c r="O222" s="264">
        <v>1000</v>
      </c>
      <c r="P222" s="264">
        <v>1200</v>
      </c>
      <c r="Q222" s="265">
        <v>1</v>
      </c>
      <c r="R222" s="30">
        <f>MBQ[[#This Row],[HEIGHT (mm)]]*MBQ[[#This Row],[QTY TOTAL]]/1000</f>
        <v>1</v>
      </c>
      <c r="S222" s="30">
        <f>MBQ[[#This Row],[WIDTH (mm)]]*MBQ[[#This Row],[QTY TOTAL]]/1000</f>
        <v>1.2</v>
      </c>
      <c r="T222" s="9">
        <f>(MBQ[[#This Row],[HEIGHT (mm)]]+MBQ[[#This Row],[WIDTH (mm)]])/1000*2*MBQ[[#This Row],[QTY TOTAL]]</f>
        <v>4.4000000000000004</v>
      </c>
      <c r="U222" s="266">
        <f>MBQ[[#This Row],[MULTIPLIER]]*MBQ[[#This Row],[QTY]]</f>
        <v>1</v>
      </c>
      <c r="V222" s="9">
        <f>MBQ[[#This Row],[HEIGHT (mm)]]/1000*MBQ[[#This Row],[WIDTH (mm)]]/1000*MBQ[[#This Row],[QTY TOTAL]]</f>
        <v>1.2</v>
      </c>
      <c r="W222" s="287">
        <f>ROUNDUP(MBQ[[#This Row],[HEIGHT (mm)]]/450*MBQ[[#This Row],[QTY]]*2,0)+ROUNDUP(MBQ[[#This Row],[WIDTH (mm)]]/450*MBQ[[#This Row],[QTY]]*2,0)</f>
        <v>11</v>
      </c>
    </row>
    <row r="223" spans="1:25" hidden="1">
      <c r="A223" s="258">
        <v>1</v>
      </c>
      <c r="B223" s="286" t="s">
        <v>535</v>
      </c>
      <c r="C223" s="278" t="s">
        <v>544</v>
      </c>
      <c r="D223" s="277" t="s">
        <v>550</v>
      </c>
      <c r="E223" s="277" t="s">
        <v>537</v>
      </c>
      <c r="F223" s="261"/>
      <c r="G223" s="262"/>
      <c r="H223" s="262"/>
      <c r="I223" s="260" t="s">
        <v>442</v>
      </c>
      <c r="J223" s="278" t="s">
        <v>443</v>
      </c>
      <c r="K223" s="285" t="s">
        <v>580</v>
      </c>
      <c r="L223" s="277" t="s">
        <v>540</v>
      </c>
      <c r="M223" s="263"/>
      <c r="N223" s="263"/>
      <c r="O223" s="264">
        <v>1300</v>
      </c>
      <c r="P223" s="264">
        <v>1200</v>
      </c>
      <c r="Q223" s="265">
        <v>1</v>
      </c>
      <c r="R223" s="30">
        <f>MBQ[[#This Row],[HEIGHT (mm)]]*MBQ[[#This Row],[QTY TOTAL]]/1000</f>
        <v>1.3</v>
      </c>
      <c r="S223" s="30">
        <f>MBQ[[#This Row],[WIDTH (mm)]]*MBQ[[#This Row],[QTY TOTAL]]/1000</f>
        <v>1.2</v>
      </c>
      <c r="T223" s="9">
        <f>(MBQ[[#This Row],[HEIGHT (mm)]]+MBQ[[#This Row],[WIDTH (mm)]])/1000*2*MBQ[[#This Row],[QTY TOTAL]]</f>
        <v>5</v>
      </c>
      <c r="U223" s="266">
        <f>MBQ[[#This Row],[MULTIPLIER]]*MBQ[[#This Row],[QTY]]</f>
        <v>1</v>
      </c>
      <c r="V223" s="9">
        <f>MBQ[[#This Row],[HEIGHT (mm)]]/1000*MBQ[[#This Row],[WIDTH (mm)]]/1000*MBQ[[#This Row],[QTY TOTAL]]</f>
        <v>1.56</v>
      </c>
      <c r="W223" s="287">
        <f>ROUNDUP(MBQ[[#This Row],[HEIGHT (mm)]]/450*MBQ[[#This Row],[QTY]]*2,0)+ROUNDUP(MBQ[[#This Row],[WIDTH (mm)]]/450*MBQ[[#This Row],[QTY]]*2,0)</f>
        <v>12</v>
      </c>
    </row>
    <row r="224" spans="1:25" hidden="1">
      <c r="A224" s="258">
        <v>1</v>
      </c>
      <c r="B224" s="286" t="s">
        <v>535</v>
      </c>
      <c r="C224" s="278" t="s">
        <v>544</v>
      </c>
      <c r="D224" s="277" t="s">
        <v>550</v>
      </c>
      <c r="E224" s="277" t="s">
        <v>537</v>
      </c>
      <c r="F224" s="261"/>
      <c r="G224" s="262"/>
      <c r="H224" s="262"/>
      <c r="I224" s="260" t="s">
        <v>442</v>
      </c>
      <c r="J224" s="278" t="s">
        <v>443</v>
      </c>
      <c r="K224" s="285" t="s">
        <v>580</v>
      </c>
      <c r="L224" s="277" t="s">
        <v>541</v>
      </c>
      <c r="M224" s="263"/>
      <c r="N224" s="263"/>
      <c r="O224" s="264">
        <v>1700</v>
      </c>
      <c r="P224" s="264">
        <v>1200</v>
      </c>
      <c r="Q224" s="265">
        <v>1</v>
      </c>
      <c r="R224" s="30">
        <f>MBQ[[#This Row],[HEIGHT (mm)]]*MBQ[[#This Row],[QTY TOTAL]]/1000</f>
        <v>1.7</v>
      </c>
      <c r="S224" s="30">
        <f>MBQ[[#This Row],[WIDTH (mm)]]*MBQ[[#This Row],[QTY TOTAL]]/1000</f>
        <v>1.2</v>
      </c>
      <c r="T224" s="9">
        <f>(MBQ[[#This Row],[HEIGHT (mm)]]+MBQ[[#This Row],[WIDTH (mm)]])/1000*2*MBQ[[#This Row],[QTY TOTAL]]</f>
        <v>5.8</v>
      </c>
      <c r="U224" s="266">
        <f>MBQ[[#This Row],[MULTIPLIER]]*MBQ[[#This Row],[QTY]]</f>
        <v>1</v>
      </c>
      <c r="V224" s="9">
        <f>MBQ[[#This Row],[HEIGHT (mm)]]/1000*MBQ[[#This Row],[WIDTH (mm)]]/1000*MBQ[[#This Row],[QTY TOTAL]]</f>
        <v>2.04</v>
      </c>
      <c r="W224" s="287">
        <f>ROUNDUP(MBQ[[#This Row],[HEIGHT (mm)]]/450*MBQ[[#This Row],[QTY]]*2,0)+ROUNDUP(MBQ[[#This Row],[WIDTH (mm)]]/450*MBQ[[#This Row],[QTY]]*2,0)</f>
        <v>14</v>
      </c>
    </row>
    <row r="225" spans="1:23" hidden="1">
      <c r="A225" s="258">
        <v>1</v>
      </c>
      <c r="B225" s="286" t="s">
        <v>535</v>
      </c>
      <c r="C225" s="278" t="s">
        <v>544</v>
      </c>
      <c r="D225" s="277" t="s">
        <v>550</v>
      </c>
      <c r="E225" s="277" t="s">
        <v>537</v>
      </c>
      <c r="F225" s="261"/>
      <c r="G225" s="262"/>
      <c r="H225" s="262"/>
      <c r="I225" s="260" t="s">
        <v>442</v>
      </c>
      <c r="J225" s="278" t="s">
        <v>443</v>
      </c>
      <c r="K225" s="285" t="s">
        <v>580</v>
      </c>
      <c r="L225" s="277" t="s">
        <v>540</v>
      </c>
      <c r="M225" s="263"/>
      <c r="N225" s="263"/>
      <c r="O225" s="264">
        <v>1000</v>
      </c>
      <c r="P225" s="264">
        <v>1200</v>
      </c>
      <c r="Q225" s="265">
        <v>1</v>
      </c>
      <c r="R225" s="30">
        <f>MBQ[[#This Row],[HEIGHT (mm)]]*MBQ[[#This Row],[QTY TOTAL]]/1000</f>
        <v>1</v>
      </c>
      <c r="S225" s="30">
        <f>MBQ[[#This Row],[WIDTH (mm)]]*MBQ[[#This Row],[QTY TOTAL]]/1000</f>
        <v>1.2</v>
      </c>
      <c r="T225" s="9">
        <f>(MBQ[[#This Row],[HEIGHT (mm)]]+MBQ[[#This Row],[WIDTH (mm)]])/1000*2*MBQ[[#This Row],[QTY TOTAL]]</f>
        <v>4.4000000000000004</v>
      </c>
      <c r="U225" s="266">
        <f>MBQ[[#This Row],[MULTIPLIER]]*MBQ[[#This Row],[QTY]]</f>
        <v>1</v>
      </c>
      <c r="V225" s="9">
        <f>MBQ[[#This Row],[HEIGHT (mm)]]/1000*MBQ[[#This Row],[WIDTH (mm)]]/1000*MBQ[[#This Row],[QTY TOTAL]]</f>
        <v>1.2</v>
      </c>
      <c r="W225" s="287">
        <f>ROUNDUP(MBQ[[#This Row],[HEIGHT (mm)]]/450*MBQ[[#This Row],[QTY]]*2,0)+ROUNDUP(MBQ[[#This Row],[WIDTH (mm)]]/450*MBQ[[#This Row],[QTY]]*2,0)</f>
        <v>11</v>
      </c>
    </row>
    <row r="226" spans="1:23" hidden="1">
      <c r="A226" s="258">
        <v>1</v>
      </c>
      <c r="B226" s="286" t="s">
        <v>535</v>
      </c>
      <c r="C226" s="278" t="s">
        <v>544</v>
      </c>
      <c r="D226" s="277" t="s">
        <v>550</v>
      </c>
      <c r="E226" s="277" t="s">
        <v>537</v>
      </c>
      <c r="F226" s="261"/>
      <c r="G226" s="262"/>
      <c r="H226" s="262"/>
      <c r="I226" s="260" t="s">
        <v>442</v>
      </c>
      <c r="J226" s="278" t="s">
        <v>443</v>
      </c>
      <c r="K226" s="285" t="s">
        <v>580</v>
      </c>
      <c r="L226" s="277" t="s">
        <v>540</v>
      </c>
      <c r="M226" s="263"/>
      <c r="N226" s="263"/>
      <c r="O226" s="264">
        <v>1300</v>
      </c>
      <c r="P226" s="264">
        <v>1200</v>
      </c>
      <c r="Q226" s="265">
        <v>1</v>
      </c>
      <c r="R226" s="30">
        <f>MBQ[[#This Row],[HEIGHT (mm)]]*MBQ[[#This Row],[QTY TOTAL]]/1000</f>
        <v>1.3</v>
      </c>
      <c r="S226" s="30">
        <f>MBQ[[#This Row],[WIDTH (mm)]]*MBQ[[#This Row],[QTY TOTAL]]/1000</f>
        <v>1.2</v>
      </c>
      <c r="T226" s="9">
        <f>(MBQ[[#This Row],[HEIGHT (mm)]]+MBQ[[#This Row],[WIDTH (mm)]])/1000*2*MBQ[[#This Row],[QTY TOTAL]]</f>
        <v>5</v>
      </c>
      <c r="U226" s="266">
        <f>MBQ[[#This Row],[MULTIPLIER]]*MBQ[[#This Row],[QTY]]</f>
        <v>1</v>
      </c>
      <c r="V226" s="9">
        <f>MBQ[[#This Row],[HEIGHT (mm)]]/1000*MBQ[[#This Row],[WIDTH (mm)]]/1000*MBQ[[#This Row],[QTY TOTAL]]</f>
        <v>1.56</v>
      </c>
      <c r="W226" s="287">
        <f>ROUNDUP(MBQ[[#This Row],[HEIGHT (mm)]]/450*MBQ[[#This Row],[QTY]]*2,0)+ROUNDUP(MBQ[[#This Row],[WIDTH (mm)]]/450*MBQ[[#This Row],[QTY]]*2,0)</f>
        <v>12</v>
      </c>
    </row>
    <row r="227" spans="1:23" hidden="1">
      <c r="A227" s="258">
        <v>1</v>
      </c>
      <c r="B227" s="286" t="s">
        <v>535</v>
      </c>
      <c r="C227" s="278" t="s">
        <v>544</v>
      </c>
      <c r="D227" s="277" t="s">
        <v>550</v>
      </c>
      <c r="E227" s="277" t="s">
        <v>537</v>
      </c>
      <c r="F227" s="261"/>
      <c r="G227" s="262"/>
      <c r="H227" s="262"/>
      <c r="I227" s="260" t="s">
        <v>442</v>
      </c>
      <c r="J227" s="278" t="s">
        <v>443</v>
      </c>
      <c r="K227" s="285" t="s">
        <v>580</v>
      </c>
      <c r="L227" s="277" t="s">
        <v>541</v>
      </c>
      <c r="M227" s="263"/>
      <c r="N227" s="263"/>
      <c r="O227" s="264">
        <v>1700</v>
      </c>
      <c r="P227" s="264">
        <v>1200</v>
      </c>
      <c r="Q227" s="265">
        <v>1</v>
      </c>
      <c r="R227" s="30">
        <f>MBQ[[#This Row],[HEIGHT (mm)]]*MBQ[[#This Row],[QTY TOTAL]]/1000</f>
        <v>1.7</v>
      </c>
      <c r="S227" s="30">
        <f>MBQ[[#This Row],[WIDTH (mm)]]*MBQ[[#This Row],[QTY TOTAL]]/1000</f>
        <v>1.2</v>
      </c>
      <c r="T227" s="9">
        <f>(MBQ[[#This Row],[HEIGHT (mm)]]+MBQ[[#This Row],[WIDTH (mm)]])/1000*2*MBQ[[#This Row],[QTY TOTAL]]</f>
        <v>5.8</v>
      </c>
      <c r="U227" s="266">
        <f>MBQ[[#This Row],[MULTIPLIER]]*MBQ[[#This Row],[QTY]]</f>
        <v>1</v>
      </c>
      <c r="V227" s="9">
        <f>MBQ[[#This Row],[HEIGHT (mm)]]/1000*MBQ[[#This Row],[WIDTH (mm)]]/1000*MBQ[[#This Row],[QTY TOTAL]]</f>
        <v>2.04</v>
      </c>
      <c r="W227" s="287">
        <f>ROUNDUP(MBQ[[#This Row],[HEIGHT (mm)]]/450*MBQ[[#This Row],[QTY]]*2,0)+ROUNDUP(MBQ[[#This Row],[WIDTH (mm)]]/450*MBQ[[#This Row],[QTY]]*2,0)</f>
        <v>14</v>
      </c>
    </row>
    <row r="228" spans="1:23" hidden="1">
      <c r="A228" s="258">
        <v>1</v>
      </c>
      <c r="B228" s="286" t="s">
        <v>535</v>
      </c>
      <c r="C228" s="278" t="s">
        <v>544</v>
      </c>
      <c r="D228" s="277" t="s">
        <v>550</v>
      </c>
      <c r="E228" s="277" t="s">
        <v>537</v>
      </c>
      <c r="F228" s="261"/>
      <c r="G228" s="262"/>
      <c r="H228" s="262"/>
      <c r="I228" s="260" t="s">
        <v>442</v>
      </c>
      <c r="J228" s="278" t="s">
        <v>443</v>
      </c>
      <c r="K228" s="285" t="s">
        <v>580</v>
      </c>
      <c r="L228" s="277" t="s">
        <v>540</v>
      </c>
      <c r="M228" s="263"/>
      <c r="N228" s="263"/>
      <c r="O228" s="264">
        <v>1000</v>
      </c>
      <c r="P228" s="264">
        <v>1200</v>
      </c>
      <c r="Q228" s="265">
        <v>1</v>
      </c>
      <c r="R228" s="30">
        <f>MBQ[[#This Row],[HEIGHT (mm)]]*MBQ[[#This Row],[QTY TOTAL]]/1000</f>
        <v>1</v>
      </c>
      <c r="S228" s="30">
        <f>MBQ[[#This Row],[WIDTH (mm)]]*MBQ[[#This Row],[QTY TOTAL]]/1000</f>
        <v>1.2</v>
      </c>
      <c r="T228" s="9">
        <f>(MBQ[[#This Row],[HEIGHT (mm)]]+MBQ[[#This Row],[WIDTH (mm)]])/1000*2*MBQ[[#This Row],[QTY TOTAL]]</f>
        <v>4.4000000000000004</v>
      </c>
      <c r="U228" s="266">
        <f>MBQ[[#This Row],[MULTIPLIER]]*MBQ[[#This Row],[QTY]]</f>
        <v>1</v>
      </c>
      <c r="V228" s="9">
        <f>MBQ[[#This Row],[HEIGHT (mm)]]/1000*MBQ[[#This Row],[WIDTH (mm)]]/1000*MBQ[[#This Row],[QTY TOTAL]]</f>
        <v>1.2</v>
      </c>
      <c r="W228" s="287">
        <f>ROUNDUP(MBQ[[#This Row],[HEIGHT (mm)]]/450*MBQ[[#This Row],[QTY]]*2,0)+ROUNDUP(MBQ[[#This Row],[WIDTH (mm)]]/450*MBQ[[#This Row],[QTY]]*2,0)</f>
        <v>11</v>
      </c>
    </row>
    <row r="229" spans="1:23" hidden="1">
      <c r="A229" s="258">
        <v>1</v>
      </c>
      <c r="B229" s="286" t="s">
        <v>535</v>
      </c>
      <c r="C229" s="278" t="s">
        <v>544</v>
      </c>
      <c r="D229" s="277" t="s">
        <v>550</v>
      </c>
      <c r="E229" s="277" t="s">
        <v>537</v>
      </c>
      <c r="F229" s="261"/>
      <c r="G229" s="262"/>
      <c r="H229" s="262"/>
      <c r="I229" s="260" t="s">
        <v>442</v>
      </c>
      <c r="J229" s="278" t="s">
        <v>443</v>
      </c>
      <c r="K229" s="285" t="s">
        <v>580</v>
      </c>
      <c r="L229" s="277" t="s">
        <v>540</v>
      </c>
      <c r="M229" s="263"/>
      <c r="N229" s="263"/>
      <c r="O229" s="264">
        <v>1300</v>
      </c>
      <c r="P229" s="264">
        <v>1200</v>
      </c>
      <c r="Q229" s="265">
        <v>1</v>
      </c>
      <c r="R229" s="30">
        <f>MBQ[[#This Row],[HEIGHT (mm)]]*MBQ[[#This Row],[QTY TOTAL]]/1000</f>
        <v>1.3</v>
      </c>
      <c r="S229" s="30">
        <f>MBQ[[#This Row],[WIDTH (mm)]]*MBQ[[#This Row],[QTY TOTAL]]/1000</f>
        <v>1.2</v>
      </c>
      <c r="T229" s="9">
        <f>(MBQ[[#This Row],[HEIGHT (mm)]]+MBQ[[#This Row],[WIDTH (mm)]])/1000*2*MBQ[[#This Row],[QTY TOTAL]]</f>
        <v>5</v>
      </c>
      <c r="U229" s="266">
        <f>MBQ[[#This Row],[MULTIPLIER]]*MBQ[[#This Row],[QTY]]</f>
        <v>1</v>
      </c>
      <c r="V229" s="9">
        <f>MBQ[[#This Row],[HEIGHT (mm)]]/1000*MBQ[[#This Row],[WIDTH (mm)]]/1000*MBQ[[#This Row],[QTY TOTAL]]</f>
        <v>1.56</v>
      </c>
      <c r="W229" s="287">
        <f>ROUNDUP(MBQ[[#This Row],[HEIGHT (mm)]]/450*MBQ[[#This Row],[QTY]]*2,0)+ROUNDUP(MBQ[[#This Row],[WIDTH (mm)]]/450*MBQ[[#This Row],[QTY]]*2,0)</f>
        <v>12</v>
      </c>
    </row>
    <row r="230" spans="1:23" hidden="1">
      <c r="A230" s="258">
        <v>1</v>
      </c>
      <c r="B230" s="286" t="s">
        <v>535</v>
      </c>
      <c r="C230" s="278" t="s">
        <v>544</v>
      </c>
      <c r="D230" s="277" t="s">
        <v>550</v>
      </c>
      <c r="E230" s="277" t="s">
        <v>537</v>
      </c>
      <c r="F230" s="261"/>
      <c r="G230" s="262"/>
      <c r="H230" s="262"/>
      <c r="I230" s="260" t="s">
        <v>442</v>
      </c>
      <c r="J230" s="278" t="s">
        <v>443</v>
      </c>
      <c r="K230" s="285" t="s">
        <v>580</v>
      </c>
      <c r="L230" s="277" t="s">
        <v>541</v>
      </c>
      <c r="M230" s="263"/>
      <c r="N230" s="263"/>
      <c r="O230" s="264">
        <v>1700</v>
      </c>
      <c r="P230" s="264">
        <v>1200</v>
      </c>
      <c r="Q230" s="265">
        <v>1</v>
      </c>
      <c r="R230" s="30">
        <f>MBQ[[#This Row],[HEIGHT (mm)]]*MBQ[[#This Row],[QTY TOTAL]]/1000</f>
        <v>1.7</v>
      </c>
      <c r="S230" s="30">
        <f>MBQ[[#This Row],[WIDTH (mm)]]*MBQ[[#This Row],[QTY TOTAL]]/1000</f>
        <v>1.2</v>
      </c>
      <c r="T230" s="9">
        <f>(MBQ[[#This Row],[HEIGHT (mm)]]+MBQ[[#This Row],[WIDTH (mm)]])/1000*2*MBQ[[#This Row],[QTY TOTAL]]</f>
        <v>5.8</v>
      </c>
      <c r="U230" s="266">
        <f>MBQ[[#This Row],[MULTIPLIER]]*MBQ[[#This Row],[QTY]]</f>
        <v>1</v>
      </c>
      <c r="V230" s="9">
        <f>MBQ[[#This Row],[HEIGHT (mm)]]/1000*MBQ[[#This Row],[WIDTH (mm)]]/1000*MBQ[[#This Row],[QTY TOTAL]]</f>
        <v>2.04</v>
      </c>
      <c r="W230" s="287">
        <f>ROUNDUP(MBQ[[#This Row],[HEIGHT (mm)]]/450*MBQ[[#This Row],[QTY]]*2,0)+ROUNDUP(MBQ[[#This Row],[WIDTH (mm)]]/450*MBQ[[#This Row],[QTY]]*2,0)</f>
        <v>14</v>
      </c>
    </row>
    <row r="231" spans="1:23" hidden="1">
      <c r="A231" s="258">
        <v>1</v>
      </c>
      <c r="B231" s="286" t="s">
        <v>535</v>
      </c>
      <c r="C231" s="278" t="s">
        <v>544</v>
      </c>
      <c r="D231" s="277" t="s">
        <v>550</v>
      </c>
      <c r="E231" s="277" t="s">
        <v>537</v>
      </c>
      <c r="F231" s="261"/>
      <c r="G231" s="262"/>
      <c r="H231" s="262"/>
      <c r="I231" s="260" t="s">
        <v>442</v>
      </c>
      <c r="J231" s="278" t="s">
        <v>443</v>
      </c>
      <c r="K231" s="285" t="s">
        <v>580</v>
      </c>
      <c r="L231" s="277" t="s">
        <v>540</v>
      </c>
      <c r="M231" s="263"/>
      <c r="N231" s="263"/>
      <c r="O231" s="264">
        <v>1000</v>
      </c>
      <c r="P231" s="264">
        <v>1200</v>
      </c>
      <c r="Q231" s="265">
        <v>1</v>
      </c>
      <c r="R231" s="30">
        <f>MBQ[[#This Row],[HEIGHT (mm)]]*MBQ[[#This Row],[QTY TOTAL]]/1000</f>
        <v>1</v>
      </c>
      <c r="S231" s="30">
        <f>MBQ[[#This Row],[WIDTH (mm)]]*MBQ[[#This Row],[QTY TOTAL]]/1000</f>
        <v>1.2</v>
      </c>
      <c r="T231" s="9">
        <f>(MBQ[[#This Row],[HEIGHT (mm)]]+MBQ[[#This Row],[WIDTH (mm)]])/1000*2*MBQ[[#This Row],[QTY TOTAL]]</f>
        <v>4.4000000000000004</v>
      </c>
      <c r="U231" s="266">
        <f>MBQ[[#This Row],[MULTIPLIER]]*MBQ[[#This Row],[QTY]]</f>
        <v>1</v>
      </c>
      <c r="V231" s="9">
        <f>MBQ[[#This Row],[HEIGHT (mm)]]/1000*MBQ[[#This Row],[WIDTH (mm)]]/1000*MBQ[[#This Row],[QTY TOTAL]]</f>
        <v>1.2</v>
      </c>
      <c r="W231" s="287">
        <f>ROUNDUP(MBQ[[#This Row],[HEIGHT (mm)]]/450*MBQ[[#This Row],[QTY]]*2,0)+ROUNDUP(MBQ[[#This Row],[WIDTH (mm)]]/450*MBQ[[#This Row],[QTY]]*2,0)</f>
        <v>11</v>
      </c>
    </row>
    <row r="232" spans="1:23" hidden="1">
      <c r="A232" s="258">
        <v>1</v>
      </c>
      <c r="B232" s="286" t="s">
        <v>535</v>
      </c>
      <c r="C232" s="278" t="s">
        <v>544</v>
      </c>
      <c r="D232" s="277" t="s">
        <v>550</v>
      </c>
      <c r="E232" s="277" t="s">
        <v>537</v>
      </c>
      <c r="F232" s="261"/>
      <c r="G232" s="262"/>
      <c r="H232" s="262"/>
      <c r="I232" s="260" t="s">
        <v>442</v>
      </c>
      <c r="J232" s="278" t="s">
        <v>443</v>
      </c>
      <c r="K232" s="285" t="s">
        <v>580</v>
      </c>
      <c r="L232" s="277" t="s">
        <v>540</v>
      </c>
      <c r="M232" s="263"/>
      <c r="N232" s="263"/>
      <c r="O232" s="264">
        <v>1300</v>
      </c>
      <c r="P232" s="264">
        <v>1200</v>
      </c>
      <c r="Q232" s="265">
        <v>1</v>
      </c>
      <c r="R232" s="30">
        <f>MBQ[[#This Row],[HEIGHT (mm)]]*MBQ[[#This Row],[QTY TOTAL]]/1000</f>
        <v>1.3</v>
      </c>
      <c r="S232" s="30">
        <f>MBQ[[#This Row],[WIDTH (mm)]]*MBQ[[#This Row],[QTY TOTAL]]/1000</f>
        <v>1.2</v>
      </c>
      <c r="T232" s="9">
        <f>(MBQ[[#This Row],[HEIGHT (mm)]]+MBQ[[#This Row],[WIDTH (mm)]])/1000*2*MBQ[[#This Row],[QTY TOTAL]]</f>
        <v>5</v>
      </c>
      <c r="U232" s="266">
        <f>MBQ[[#This Row],[MULTIPLIER]]*MBQ[[#This Row],[QTY]]</f>
        <v>1</v>
      </c>
      <c r="V232" s="9">
        <f>MBQ[[#This Row],[HEIGHT (mm)]]/1000*MBQ[[#This Row],[WIDTH (mm)]]/1000*MBQ[[#This Row],[QTY TOTAL]]</f>
        <v>1.56</v>
      </c>
      <c r="W232" s="287">
        <f>ROUNDUP(MBQ[[#This Row],[HEIGHT (mm)]]/450*MBQ[[#This Row],[QTY]]*2,0)+ROUNDUP(MBQ[[#This Row],[WIDTH (mm)]]/450*MBQ[[#This Row],[QTY]]*2,0)</f>
        <v>12</v>
      </c>
    </row>
    <row r="233" spans="1:23" hidden="1">
      <c r="A233" s="258">
        <v>1</v>
      </c>
      <c r="B233" s="286" t="s">
        <v>535</v>
      </c>
      <c r="C233" s="278" t="s">
        <v>544</v>
      </c>
      <c r="D233" s="277" t="s">
        <v>550</v>
      </c>
      <c r="E233" s="277" t="s">
        <v>537</v>
      </c>
      <c r="F233" s="261"/>
      <c r="G233" s="262"/>
      <c r="H233" s="262"/>
      <c r="I233" s="260" t="s">
        <v>442</v>
      </c>
      <c r="J233" s="278" t="s">
        <v>443</v>
      </c>
      <c r="K233" s="285" t="s">
        <v>580</v>
      </c>
      <c r="L233" s="277" t="s">
        <v>541</v>
      </c>
      <c r="M233" s="263"/>
      <c r="N233" s="263"/>
      <c r="O233" s="264">
        <v>1700</v>
      </c>
      <c r="P233" s="264">
        <v>1200</v>
      </c>
      <c r="Q233" s="265">
        <v>1</v>
      </c>
      <c r="R233" s="30">
        <f>MBQ[[#This Row],[HEIGHT (mm)]]*MBQ[[#This Row],[QTY TOTAL]]/1000</f>
        <v>1.7</v>
      </c>
      <c r="S233" s="30">
        <f>MBQ[[#This Row],[WIDTH (mm)]]*MBQ[[#This Row],[QTY TOTAL]]/1000</f>
        <v>1.2</v>
      </c>
      <c r="T233" s="9">
        <f>(MBQ[[#This Row],[HEIGHT (mm)]]+MBQ[[#This Row],[WIDTH (mm)]])/1000*2*MBQ[[#This Row],[QTY TOTAL]]</f>
        <v>5.8</v>
      </c>
      <c r="U233" s="266">
        <f>MBQ[[#This Row],[MULTIPLIER]]*MBQ[[#This Row],[QTY]]</f>
        <v>1</v>
      </c>
      <c r="V233" s="9">
        <f>MBQ[[#This Row],[HEIGHT (mm)]]/1000*MBQ[[#This Row],[WIDTH (mm)]]/1000*MBQ[[#This Row],[QTY TOTAL]]</f>
        <v>2.04</v>
      </c>
      <c r="W233" s="287">
        <f>ROUNDUP(MBQ[[#This Row],[HEIGHT (mm)]]/450*MBQ[[#This Row],[QTY]]*2,0)+ROUNDUP(MBQ[[#This Row],[WIDTH (mm)]]/450*MBQ[[#This Row],[QTY]]*2,0)</f>
        <v>14</v>
      </c>
    </row>
    <row r="234" spans="1:23" hidden="1">
      <c r="A234" s="258">
        <v>1</v>
      </c>
      <c r="B234" s="286" t="s">
        <v>535</v>
      </c>
      <c r="C234" s="278" t="s">
        <v>544</v>
      </c>
      <c r="D234" s="277" t="s">
        <v>550</v>
      </c>
      <c r="E234" s="277" t="s">
        <v>537</v>
      </c>
      <c r="F234" s="261"/>
      <c r="G234" s="262"/>
      <c r="H234" s="262"/>
      <c r="I234" s="260" t="s">
        <v>442</v>
      </c>
      <c r="J234" s="278" t="s">
        <v>443</v>
      </c>
      <c r="K234" s="285" t="s">
        <v>580</v>
      </c>
      <c r="L234" s="277" t="s">
        <v>540</v>
      </c>
      <c r="M234" s="263"/>
      <c r="N234" s="263"/>
      <c r="O234" s="264">
        <v>1000</v>
      </c>
      <c r="P234" s="264">
        <v>1200</v>
      </c>
      <c r="Q234" s="265">
        <v>1</v>
      </c>
      <c r="R234" s="30">
        <f>MBQ[[#This Row],[HEIGHT (mm)]]*MBQ[[#This Row],[QTY TOTAL]]/1000</f>
        <v>1</v>
      </c>
      <c r="S234" s="30">
        <f>MBQ[[#This Row],[WIDTH (mm)]]*MBQ[[#This Row],[QTY TOTAL]]/1000</f>
        <v>1.2</v>
      </c>
      <c r="T234" s="9">
        <f>(MBQ[[#This Row],[HEIGHT (mm)]]+MBQ[[#This Row],[WIDTH (mm)]])/1000*2*MBQ[[#This Row],[QTY TOTAL]]</f>
        <v>4.4000000000000004</v>
      </c>
      <c r="U234" s="266">
        <f>MBQ[[#This Row],[MULTIPLIER]]*MBQ[[#This Row],[QTY]]</f>
        <v>1</v>
      </c>
      <c r="V234" s="9">
        <f>MBQ[[#This Row],[HEIGHT (mm)]]/1000*MBQ[[#This Row],[WIDTH (mm)]]/1000*MBQ[[#This Row],[QTY TOTAL]]</f>
        <v>1.2</v>
      </c>
      <c r="W234" s="287">
        <f>ROUNDUP(MBQ[[#This Row],[HEIGHT (mm)]]/450*MBQ[[#This Row],[QTY]]*2,0)+ROUNDUP(MBQ[[#This Row],[WIDTH (mm)]]/450*MBQ[[#This Row],[QTY]]*2,0)</f>
        <v>11</v>
      </c>
    </row>
    <row r="235" spans="1:23" hidden="1">
      <c r="A235" s="258">
        <v>1</v>
      </c>
      <c r="B235" s="286" t="s">
        <v>535</v>
      </c>
      <c r="C235" s="278" t="s">
        <v>544</v>
      </c>
      <c r="D235" s="277" t="s">
        <v>550</v>
      </c>
      <c r="E235" s="277" t="s">
        <v>537</v>
      </c>
      <c r="F235" s="261"/>
      <c r="G235" s="262"/>
      <c r="H235" s="262"/>
      <c r="I235" s="260" t="s">
        <v>442</v>
      </c>
      <c r="J235" s="278" t="s">
        <v>443</v>
      </c>
      <c r="K235" s="285" t="s">
        <v>580</v>
      </c>
      <c r="L235" s="277" t="s">
        <v>540</v>
      </c>
      <c r="M235" s="263"/>
      <c r="N235" s="263"/>
      <c r="O235" s="264">
        <v>1300</v>
      </c>
      <c r="P235" s="264">
        <v>1200</v>
      </c>
      <c r="Q235" s="265">
        <v>1</v>
      </c>
      <c r="R235" s="30">
        <f>MBQ[[#This Row],[HEIGHT (mm)]]*MBQ[[#This Row],[QTY TOTAL]]/1000</f>
        <v>1.3</v>
      </c>
      <c r="S235" s="30">
        <f>MBQ[[#This Row],[WIDTH (mm)]]*MBQ[[#This Row],[QTY TOTAL]]/1000</f>
        <v>1.2</v>
      </c>
      <c r="T235" s="9">
        <f>(MBQ[[#This Row],[HEIGHT (mm)]]+MBQ[[#This Row],[WIDTH (mm)]])/1000*2*MBQ[[#This Row],[QTY TOTAL]]</f>
        <v>5</v>
      </c>
      <c r="U235" s="266">
        <f>MBQ[[#This Row],[MULTIPLIER]]*MBQ[[#This Row],[QTY]]</f>
        <v>1</v>
      </c>
      <c r="V235" s="9">
        <f>MBQ[[#This Row],[HEIGHT (mm)]]/1000*MBQ[[#This Row],[WIDTH (mm)]]/1000*MBQ[[#This Row],[QTY TOTAL]]</f>
        <v>1.56</v>
      </c>
      <c r="W235" s="287">
        <f>ROUNDUP(MBQ[[#This Row],[HEIGHT (mm)]]/450*MBQ[[#This Row],[QTY]]*2,0)+ROUNDUP(MBQ[[#This Row],[WIDTH (mm)]]/450*MBQ[[#This Row],[QTY]]*2,0)</f>
        <v>12</v>
      </c>
    </row>
    <row r="236" spans="1:23" hidden="1">
      <c r="A236" s="258">
        <v>1</v>
      </c>
      <c r="B236" s="286" t="s">
        <v>535</v>
      </c>
      <c r="C236" s="278" t="s">
        <v>544</v>
      </c>
      <c r="D236" s="277" t="s">
        <v>550</v>
      </c>
      <c r="E236" s="277" t="s">
        <v>537</v>
      </c>
      <c r="F236" s="261"/>
      <c r="G236" s="262"/>
      <c r="H236" s="262"/>
      <c r="I236" s="260" t="s">
        <v>442</v>
      </c>
      <c r="J236" s="278" t="s">
        <v>443</v>
      </c>
      <c r="K236" s="285" t="s">
        <v>580</v>
      </c>
      <c r="L236" s="277" t="s">
        <v>541</v>
      </c>
      <c r="M236" s="263"/>
      <c r="N236" s="263"/>
      <c r="O236" s="264">
        <v>1700</v>
      </c>
      <c r="P236" s="264">
        <v>1200</v>
      </c>
      <c r="Q236" s="265">
        <v>1</v>
      </c>
      <c r="R236" s="30">
        <f>MBQ[[#This Row],[HEIGHT (mm)]]*MBQ[[#This Row],[QTY TOTAL]]/1000</f>
        <v>1.7</v>
      </c>
      <c r="S236" s="30">
        <f>MBQ[[#This Row],[WIDTH (mm)]]*MBQ[[#This Row],[QTY TOTAL]]/1000</f>
        <v>1.2</v>
      </c>
      <c r="T236" s="9">
        <f>(MBQ[[#This Row],[HEIGHT (mm)]]+MBQ[[#This Row],[WIDTH (mm)]])/1000*2*MBQ[[#This Row],[QTY TOTAL]]</f>
        <v>5.8</v>
      </c>
      <c r="U236" s="266">
        <f>MBQ[[#This Row],[MULTIPLIER]]*MBQ[[#This Row],[QTY]]</f>
        <v>1</v>
      </c>
      <c r="V236" s="9">
        <f>MBQ[[#This Row],[HEIGHT (mm)]]/1000*MBQ[[#This Row],[WIDTH (mm)]]/1000*MBQ[[#This Row],[QTY TOTAL]]</f>
        <v>2.04</v>
      </c>
      <c r="W236" s="287">
        <f>ROUNDUP(MBQ[[#This Row],[HEIGHT (mm)]]/450*MBQ[[#This Row],[QTY]]*2,0)+ROUNDUP(MBQ[[#This Row],[WIDTH (mm)]]/450*MBQ[[#This Row],[QTY]]*2,0)</f>
        <v>14</v>
      </c>
    </row>
    <row r="237" spans="1:23" hidden="1">
      <c r="A237" s="258">
        <v>1</v>
      </c>
      <c r="B237" s="286" t="s">
        <v>535</v>
      </c>
      <c r="C237" s="278" t="s">
        <v>544</v>
      </c>
      <c r="D237" s="277" t="s">
        <v>550</v>
      </c>
      <c r="E237" s="277" t="s">
        <v>537</v>
      </c>
      <c r="F237" s="261"/>
      <c r="G237" s="262"/>
      <c r="H237" s="262"/>
      <c r="I237" s="260" t="s">
        <v>442</v>
      </c>
      <c r="J237" s="278" t="s">
        <v>443</v>
      </c>
      <c r="K237" s="285" t="s">
        <v>580</v>
      </c>
      <c r="L237" s="277" t="s">
        <v>540</v>
      </c>
      <c r="M237" s="263"/>
      <c r="N237" s="263"/>
      <c r="O237" s="264">
        <v>1000</v>
      </c>
      <c r="P237" s="264">
        <v>1200</v>
      </c>
      <c r="Q237" s="265">
        <v>1</v>
      </c>
      <c r="R237" s="30">
        <f>MBQ[[#This Row],[HEIGHT (mm)]]*MBQ[[#This Row],[QTY TOTAL]]/1000</f>
        <v>1</v>
      </c>
      <c r="S237" s="30">
        <f>MBQ[[#This Row],[WIDTH (mm)]]*MBQ[[#This Row],[QTY TOTAL]]/1000</f>
        <v>1.2</v>
      </c>
      <c r="T237" s="9">
        <f>(MBQ[[#This Row],[HEIGHT (mm)]]+MBQ[[#This Row],[WIDTH (mm)]])/1000*2*MBQ[[#This Row],[QTY TOTAL]]</f>
        <v>4.4000000000000004</v>
      </c>
      <c r="U237" s="266">
        <f>MBQ[[#This Row],[MULTIPLIER]]*MBQ[[#This Row],[QTY]]</f>
        <v>1</v>
      </c>
      <c r="V237" s="9">
        <f>MBQ[[#This Row],[HEIGHT (mm)]]/1000*MBQ[[#This Row],[WIDTH (mm)]]/1000*MBQ[[#This Row],[QTY TOTAL]]</f>
        <v>1.2</v>
      </c>
      <c r="W237" s="287">
        <f>ROUNDUP(MBQ[[#This Row],[HEIGHT (mm)]]/450*MBQ[[#This Row],[QTY]]*2,0)+ROUNDUP(MBQ[[#This Row],[WIDTH (mm)]]/450*MBQ[[#This Row],[QTY]]*2,0)</f>
        <v>11</v>
      </c>
    </row>
    <row r="238" spans="1:23" hidden="1">
      <c r="A238" s="258">
        <v>1</v>
      </c>
      <c r="B238" s="286" t="s">
        <v>535</v>
      </c>
      <c r="C238" s="278" t="s">
        <v>544</v>
      </c>
      <c r="D238" s="277" t="s">
        <v>550</v>
      </c>
      <c r="E238" s="277" t="s">
        <v>537</v>
      </c>
      <c r="F238" s="261"/>
      <c r="G238" s="262"/>
      <c r="H238" s="262"/>
      <c r="I238" s="260" t="s">
        <v>442</v>
      </c>
      <c r="J238" s="278" t="s">
        <v>443</v>
      </c>
      <c r="K238" s="285" t="s">
        <v>580</v>
      </c>
      <c r="L238" s="277" t="s">
        <v>540</v>
      </c>
      <c r="M238" s="263"/>
      <c r="N238" s="263"/>
      <c r="O238" s="264">
        <v>1300</v>
      </c>
      <c r="P238" s="264">
        <v>1200</v>
      </c>
      <c r="Q238" s="265">
        <v>1</v>
      </c>
      <c r="R238" s="30">
        <f>MBQ[[#This Row],[HEIGHT (mm)]]*MBQ[[#This Row],[QTY TOTAL]]/1000</f>
        <v>1.3</v>
      </c>
      <c r="S238" s="30">
        <f>MBQ[[#This Row],[WIDTH (mm)]]*MBQ[[#This Row],[QTY TOTAL]]/1000</f>
        <v>1.2</v>
      </c>
      <c r="T238" s="9">
        <f>(MBQ[[#This Row],[HEIGHT (mm)]]+MBQ[[#This Row],[WIDTH (mm)]])/1000*2*MBQ[[#This Row],[QTY TOTAL]]</f>
        <v>5</v>
      </c>
      <c r="U238" s="266">
        <f>MBQ[[#This Row],[MULTIPLIER]]*MBQ[[#This Row],[QTY]]</f>
        <v>1</v>
      </c>
      <c r="V238" s="9">
        <f>MBQ[[#This Row],[HEIGHT (mm)]]/1000*MBQ[[#This Row],[WIDTH (mm)]]/1000*MBQ[[#This Row],[QTY TOTAL]]</f>
        <v>1.56</v>
      </c>
      <c r="W238" s="287">
        <f>ROUNDUP(MBQ[[#This Row],[HEIGHT (mm)]]/450*MBQ[[#This Row],[QTY]]*2,0)+ROUNDUP(MBQ[[#This Row],[WIDTH (mm)]]/450*MBQ[[#This Row],[QTY]]*2,0)</f>
        <v>12</v>
      </c>
    </row>
    <row r="239" spans="1:23" hidden="1">
      <c r="A239" s="258">
        <v>1</v>
      </c>
      <c r="B239" s="286" t="s">
        <v>535</v>
      </c>
      <c r="C239" s="278" t="s">
        <v>544</v>
      </c>
      <c r="D239" s="277" t="s">
        <v>550</v>
      </c>
      <c r="E239" s="277" t="s">
        <v>537</v>
      </c>
      <c r="F239" s="261"/>
      <c r="G239" s="262"/>
      <c r="H239" s="262"/>
      <c r="I239" s="260" t="s">
        <v>442</v>
      </c>
      <c r="J239" s="278" t="s">
        <v>443</v>
      </c>
      <c r="K239" s="285" t="s">
        <v>580</v>
      </c>
      <c r="L239" s="277" t="s">
        <v>541</v>
      </c>
      <c r="M239" s="263"/>
      <c r="N239" s="263"/>
      <c r="O239" s="264">
        <v>1700</v>
      </c>
      <c r="P239" s="264">
        <v>1200</v>
      </c>
      <c r="Q239" s="265">
        <v>1</v>
      </c>
      <c r="R239" s="30">
        <f>MBQ[[#This Row],[HEIGHT (mm)]]*MBQ[[#This Row],[QTY TOTAL]]/1000</f>
        <v>1.7</v>
      </c>
      <c r="S239" s="30">
        <f>MBQ[[#This Row],[WIDTH (mm)]]*MBQ[[#This Row],[QTY TOTAL]]/1000</f>
        <v>1.2</v>
      </c>
      <c r="T239" s="9">
        <f>(MBQ[[#This Row],[HEIGHT (mm)]]+MBQ[[#This Row],[WIDTH (mm)]])/1000*2*MBQ[[#This Row],[QTY TOTAL]]</f>
        <v>5.8</v>
      </c>
      <c r="U239" s="266">
        <f>MBQ[[#This Row],[MULTIPLIER]]*MBQ[[#This Row],[QTY]]</f>
        <v>1</v>
      </c>
      <c r="V239" s="9">
        <f>MBQ[[#This Row],[HEIGHT (mm)]]/1000*MBQ[[#This Row],[WIDTH (mm)]]/1000*MBQ[[#This Row],[QTY TOTAL]]</f>
        <v>2.04</v>
      </c>
      <c r="W239" s="287">
        <f>ROUNDUP(MBQ[[#This Row],[HEIGHT (mm)]]/450*MBQ[[#This Row],[QTY]]*2,0)+ROUNDUP(MBQ[[#This Row],[WIDTH (mm)]]/450*MBQ[[#This Row],[QTY]]*2,0)</f>
        <v>14</v>
      </c>
    </row>
    <row r="240" spans="1:23" hidden="1">
      <c r="A240" s="258">
        <v>1</v>
      </c>
      <c r="B240" s="286" t="s">
        <v>535</v>
      </c>
      <c r="C240" s="278" t="s">
        <v>544</v>
      </c>
      <c r="D240" s="277" t="s">
        <v>550</v>
      </c>
      <c r="E240" s="277" t="s">
        <v>537</v>
      </c>
      <c r="F240" s="261"/>
      <c r="G240" s="262"/>
      <c r="H240" s="262"/>
      <c r="I240" s="260" t="s">
        <v>442</v>
      </c>
      <c r="J240" s="278" t="s">
        <v>443</v>
      </c>
      <c r="K240" s="285" t="s">
        <v>580</v>
      </c>
      <c r="L240" s="277" t="s">
        <v>540</v>
      </c>
      <c r="M240" s="263"/>
      <c r="N240" s="263"/>
      <c r="O240" s="264">
        <v>1000</v>
      </c>
      <c r="P240" s="264">
        <v>1200</v>
      </c>
      <c r="Q240" s="265">
        <v>1</v>
      </c>
      <c r="R240" s="30">
        <f>MBQ[[#This Row],[HEIGHT (mm)]]*MBQ[[#This Row],[QTY TOTAL]]/1000</f>
        <v>1</v>
      </c>
      <c r="S240" s="30">
        <f>MBQ[[#This Row],[WIDTH (mm)]]*MBQ[[#This Row],[QTY TOTAL]]/1000</f>
        <v>1.2</v>
      </c>
      <c r="T240" s="9">
        <f>(MBQ[[#This Row],[HEIGHT (mm)]]+MBQ[[#This Row],[WIDTH (mm)]])/1000*2*MBQ[[#This Row],[QTY TOTAL]]</f>
        <v>4.4000000000000004</v>
      </c>
      <c r="U240" s="266">
        <f>MBQ[[#This Row],[MULTIPLIER]]*MBQ[[#This Row],[QTY]]</f>
        <v>1</v>
      </c>
      <c r="V240" s="9">
        <f>MBQ[[#This Row],[HEIGHT (mm)]]/1000*MBQ[[#This Row],[WIDTH (mm)]]/1000*MBQ[[#This Row],[QTY TOTAL]]</f>
        <v>1.2</v>
      </c>
      <c r="W240" s="287">
        <f>ROUNDUP(MBQ[[#This Row],[HEIGHT (mm)]]/450*MBQ[[#This Row],[QTY]]*2,0)+ROUNDUP(MBQ[[#This Row],[WIDTH (mm)]]/450*MBQ[[#This Row],[QTY]]*2,0)</f>
        <v>11</v>
      </c>
    </row>
    <row r="241" spans="1:23" hidden="1">
      <c r="A241" s="258">
        <v>1</v>
      </c>
      <c r="B241" s="286" t="s">
        <v>535</v>
      </c>
      <c r="C241" s="278" t="s">
        <v>544</v>
      </c>
      <c r="D241" s="277" t="s">
        <v>550</v>
      </c>
      <c r="E241" s="277" t="s">
        <v>537</v>
      </c>
      <c r="F241" s="261"/>
      <c r="G241" s="262"/>
      <c r="H241" s="262"/>
      <c r="I241" s="260" t="s">
        <v>442</v>
      </c>
      <c r="J241" s="278" t="s">
        <v>443</v>
      </c>
      <c r="K241" s="285" t="s">
        <v>580</v>
      </c>
      <c r="L241" s="277" t="s">
        <v>540</v>
      </c>
      <c r="M241" s="263"/>
      <c r="N241" s="263"/>
      <c r="O241" s="264">
        <v>1300</v>
      </c>
      <c r="P241" s="264">
        <v>1200</v>
      </c>
      <c r="Q241" s="265">
        <v>1</v>
      </c>
      <c r="R241" s="30">
        <f>MBQ[[#This Row],[HEIGHT (mm)]]*MBQ[[#This Row],[QTY TOTAL]]/1000</f>
        <v>1.3</v>
      </c>
      <c r="S241" s="30">
        <f>MBQ[[#This Row],[WIDTH (mm)]]*MBQ[[#This Row],[QTY TOTAL]]/1000</f>
        <v>1.2</v>
      </c>
      <c r="T241" s="9">
        <f>(MBQ[[#This Row],[HEIGHT (mm)]]+MBQ[[#This Row],[WIDTH (mm)]])/1000*2*MBQ[[#This Row],[QTY TOTAL]]</f>
        <v>5</v>
      </c>
      <c r="U241" s="266">
        <f>MBQ[[#This Row],[MULTIPLIER]]*MBQ[[#This Row],[QTY]]</f>
        <v>1</v>
      </c>
      <c r="V241" s="9">
        <f>MBQ[[#This Row],[HEIGHT (mm)]]/1000*MBQ[[#This Row],[WIDTH (mm)]]/1000*MBQ[[#This Row],[QTY TOTAL]]</f>
        <v>1.56</v>
      </c>
      <c r="W241" s="287">
        <f>ROUNDUP(MBQ[[#This Row],[HEIGHT (mm)]]/450*MBQ[[#This Row],[QTY]]*2,0)+ROUNDUP(MBQ[[#This Row],[WIDTH (mm)]]/450*MBQ[[#This Row],[QTY]]*2,0)</f>
        <v>12</v>
      </c>
    </row>
    <row r="242" spans="1:23" hidden="1">
      <c r="A242" s="258">
        <v>1</v>
      </c>
      <c r="B242" s="286" t="s">
        <v>535</v>
      </c>
      <c r="C242" s="278" t="s">
        <v>544</v>
      </c>
      <c r="D242" s="277" t="s">
        <v>550</v>
      </c>
      <c r="E242" s="277" t="s">
        <v>537</v>
      </c>
      <c r="F242" s="261"/>
      <c r="G242" s="262"/>
      <c r="H242" s="262"/>
      <c r="I242" s="260" t="s">
        <v>442</v>
      </c>
      <c r="J242" s="278" t="s">
        <v>443</v>
      </c>
      <c r="K242" s="285" t="s">
        <v>580</v>
      </c>
      <c r="L242" s="277" t="s">
        <v>541</v>
      </c>
      <c r="M242" s="263"/>
      <c r="N242" s="263"/>
      <c r="O242" s="264">
        <v>1700</v>
      </c>
      <c r="P242" s="264">
        <v>1200</v>
      </c>
      <c r="Q242" s="265">
        <v>1</v>
      </c>
      <c r="R242" s="30">
        <f>MBQ[[#This Row],[HEIGHT (mm)]]*MBQ[[#This Row],[QTY TOTAL]]/1000</f>
        <v>1.7</v>
      </c>
      <c r="S242" s="30">
        <f>MBQ[[#This Row],[WIDTH (mm)]]*MBQ[[#This Row],[QTY TOTAL]]/1000</f>
        <v>1.2</v>
      </c>
      <c r="T242" s="9">
        <f>(MBQ[[#This Row],[HEIGHT (mm)]]+MBQ[[#This Row],[WIDTH (mm)]])/1000*2*MBQ[[#This Row],[QTY TOTAL]]</f>
        <v>5.8</v>
      </c>
      <c r="U242" s="266">
        <f>MBQ[[#This Row],[MULTIPLIER]]*MBQ[[#This Row],[QTY]]</f>
        <v>1</v>
      </c>
      <c r="V242" s="9">
        <f>MBQ[[#This Row],[HEIGHT (mm)]]/1000*MBQ[[#This Row],[WIDTH (mm)]]/1000*MBQ[[#This Row],[QTY TOTAL]]</f>
        <v>2.04</v>
      </c>
      <c r="W242" s="287">
        <f>ROUNDUP(MBQ[[#This Row],[HEIGHT (mm)]]/450*MBQ[[#This Row],[QTY]]*2,0)+ROUNDUP(MBQ[[#This Row],[WIDTH (mm)]]/450*MBQ[[#This Row],[QTY]]*2,0)</f>
        <v>14</v>
      </c>
    </row>
    <row r="243" spans="1:23" hidden="1">
      <c r="A243" s="258">
        <v>1</v>
      </c>
      <c r="B243" s="286" t="s">
        <v>535</v>
      </c>
      <c r="C243" s="278" t="s">
        <v>544</v>
      </c>
      <c r="D243" s="277" t="s">
        <v>550</v>
      </c>
      <c r="E243" s="277" t="s">
        <v>537</v>
      </c>
      <c r="F243" s="261"/>
      <c r="G243" s="262"/>
      <c r="H243" s="262"/>
      <c r="I243" s="260" t="s">
        <v>442</v>
      </c>
      <c r="J243" s="278" t="s">
        <v>443</v>
      </c>
      <c r="K243" s="285" t="s">
        <v>580</v>
      </c>
      <c r="L243" s="277" t="s">
        <v>540</v>
      </c>
      <c r="M243" s="263"/>
      <c r="N243" s="263"/>
      <c r="O243" s="264">
        <v>1000</v>
      </c>
      <c r="P243" s="264">
        <v>1200</v>
      </c>
      <c r="Q243" s="265">
        <v>1</v>
      </c>
      <c r="R243" s="30">
        <f>MBQ[[#This Row],[HEIGHT (mm)]]*MBQ[[#This Row],[QTY TOTAL]]/1000</f>
        <v>1</v>
      </c>
      <c r="S243" s="30">
        <f>MBQ[[#This Row],[WIDTH (mm)]]*MBQ[[#This Row],[QTY TOTAL]]/1000</f>
        <v>1.2</v>
      </c>
      <c r="T243" s="9">
        <f>(MBQ[[#This Row],[HEIGHT (mm)]]+MBQ[[#This Row],[WIDTH (mm)]])/1000*2*MBQ[[#This Row],[QTY TOTAL]]</f>
        <v>4.4000000000000004</v>
      </c>
      <c r="U243" s="266">
        <f>MBQ[[#This Row],[MULTIPLIER]]*MBQ[[#This Row],[QTY]]</f>
        <v>1</v>
      </c>
      <c r="V243" s="9">
        <f>MBQ[[#This Row],[HEIGHT (mm)]]/1000*MBQ[[#This Row],[WIDTH (mm)]]/1000*MBQ[[#This Row],[QTY TOTAL]]</f>
        <v>1.2</v>
      </c>
      <c r="W243" s="287">
        <f>ROUNDUP(MBQ[[#This Row],[HEIGHT (mm)]]/450*MBQ[[#This Row],[QTY]]*2,0)+ROUNDUP(MBQ[[#This Row],[WIDTH (mm)]]/450*MBQ[[#This Row],[QTY]]*2,0)</f>
        <v>11</v>
      </c>
    </row>
    <row r="244" spans="1:23" hidden="1">
      <c r="A244" s="258">
        <v>1</v>
      </c>
      <c r="B244" s="286" t="s">
        <v>535</v>
      </c>
      <c r="C244" s="278" t="s">
        <v>544</v>
      </c>
      <c r="D244" s="277" t="s">
        <v>550</v>
      </c>
      <c r="E244" s="277" t="s">
        <v>537</v>
      </c>
      <c r="F244" s="261"/>
      <c r="G244" s="262"/>
      <c r="H244" s="262"/>
      <c r="I244" s="260" t="s">
        <v>442</v>
      </c>
      <c r="J244" s="278" t="s">
        <v>443</v>
      </c>
      <c r="K244" s="285" t="s">
        <v>580</v>
      </c>
      <c r="L244" s="277" t="s">
        <v>540</v>
      </c>
      <c r="M244" s="263"/>
      <c r="N244" s="263"/>
      <c r="O244" s="264">
        <v>1300</v>
      </c>
      <c r="P244" s="264">
        <v>1200</v>
      </c>
      <c r="Q244" s="265">
        <v>1</v>
      </c>
      <c r="R244" s="30">
        <f>MBQ[[#This Row],[HEIGHT (mm)]]*MBQ[[#This Row],[QTY TOTAL]]/1000</f>
        <v>1.3</v>
      </c>
      <c r="S244" s="30">
        <f>MBQ[[#This Row],[WIDTH (mm)]]*MBQ[[#This Row],[QTY TOTAL]]/1000</f>
        <v>1.2</v>
      </c>
      <c r="T244" s="9">
        <f>(MBQ[[#This Row],[HEIGHT (mm)]]+MBQ[[#This Row],[WIDTH (mm)]])/1000*2*MBQ[[#This Row],[QTY TOTAL]]</f>
        <v>5</v>
      </c>
      <c r="U244" s="266">
        <f>MBQ[[#This Row],[MULTIPLIER]]*MBQ[[#This Row],[QTY]]</f>
        <v>1</v>
      </c>
      <c r="V244" s="9">
        <f>MBQ[[#This Row],[HEIGHT (mm)]]/1000*MBQ[[#This Row],[WIDTH (mm)]]/1000*MBQ[[#This Row],[QTY TOTAL]]</f>
        <v>1.56</v>
      </c>
      <c r="W244" s="287">
        <f>ROUNDUP(MBQ[[#This Row],[HEIGHT (mm)]]/450*MBQ[[#This Row],[QTY]]*2,0)+ROUNDUP(MBQ[[#This Row],[WIDTH (mm)]]/450*MBQ[[#This Row],[QTY]]*2,0)</f>
        <v>12</v>
      </c>
    </row>
    <row r="245" spans="1:23" hidden="1">
      <c r="A245" s="258">
        <v>1</v>
      </c>
      <c r="B245" s="286" t="s">
        <v>535</v>
      </c>
      <c r="C245" s="278" t="s">
        <v>544</v>
      </c>
      <c r="D245" s="277" t="s">
        <v>550</v>
      </c>
      <c r="E245" s="277" t="s">
        <v>537</v>
      </c>
      <c r="F245" s="261"/>
      <c r="G245" s="262"/>
      <c r="H245" s="262"/>
      <c r="I245" s="260" t="s">
        <v>442</v>
      </c>
      <c r="J245" s="278" t="s">
        <v>443</v>
      </c>
      <c r="K245" s="285" t="s">
        <v>580</v>
      </c>
      <c r="L245" s="277" t="s">
        <v>541</v>
      </c>
      <c r="M245" s="263"/>
      <c r="N245" s="263"/>
      <c r="O245" s="264">
        <v>1700</v>
      </c>
      <c r="P245" s="264">
        <v>1200</v>
      </c>
      <c r="Q245" s="265">
        <v>1</v>
      </c>
      <c r="R245" s="30">
        <f>MBQ[[#This Row],[HEIGHT (mm)]]*MBQ[[#This Row],[QTY TOTAL]]/1000</f>
        <v>1.7</v>
      </c>
      <c r="S245" s="30">
        <f>MBQ[[#This Row],[WIDTH (mm)]]*MBQ[[#This Row],[QTY TOTAL]]/1000</f>
        <v>1.2</v>
      </c>
      <c r="T245" s="9">
        <f>(MBQ[[#This Row],[HEIGHT (mm)]]+MBQ[[#This Row],[WIDTH (mm)]])/1000*2*MBQ[[#This Row],[QTY TOTAL]]</f>
        <v>5.8</v>
      </c>
      <c r="U245" s="266">
        <f>MBQ[[#This Row],[MULTIPLIER]]*MBQ[[#This Row],[QTY]]</f>
        <v>1</v>
      </c>
      <c r="V245" s="9">
        <f>MBQ[[#This Row],[HEIGHT (mm)]]/1000*MBQ[[#This Row],[WIDTH (mm)]]/1000*MBQ[[#This Row],[QTY TOTAL]]</f>
        <v>2.04</v>
      </c>
      <c r="W245" s="287">
        <f>ROUNDUP(MBQ[[#This Row],[HEIGHT (mm)]]/450*MBQ[[#This Row],[QTY]]*2,0)+ROUNDUP(MBQ[[#This Row],[WIDTH (mm)]]/450*MBQ[[#This Row],[QTY]]*2,0)</f>
        <v>14</v>
      </c>
    </row>
    <row r="246" spans="1:23" hidden="1">
      <c r="A246" s="258">
        <v>1</v>
      </c>
      <c r="B246" s="286" t="s">
        <v>535</v>
      </c>
      <c r="C246" s="278" t="s">
        <v>544</v>
      </c>
      <c r="D246" s="277" t="s">
        <v>550</v>
      </c>
      <c r="E246" s="277" t="s">
        <v>537</v>
      </c>
      <c r="F246" s="261"/>
      <c r="G246" s="262"/>
      <c r="H246" s="262"/>
      <c r="I246" s="260" t="s">
        <v>442</v>
      </c>
      <c r="J246" s="278" t="s">
        <v>443</v>
      </c>
      <c r="K246" s="285" t="s">
        <v>580</v>
      </c>
      <c r="L246" s="277" t="s">
        <v>540</v>
      </c>
      <c r="M246" s="263"/>
      <c r="N246" s="263"/>
      <c r="O246" s="264">
        <v>1000</v>
      </c>
      <c r="P246" s="264">
        <v>1200</v>
      </c>
      <c r="Q246" s="265">
        <v>1</v>
      </c>
      <c r="R246" s="30">
        <f>MBQ[[#This Row],[HEIGHT (mm)]]*MBQ[[#This Row],[QTY TOTAL]]/1000</f>
        <v>1</v>
      </c>
      <c r="S246" s="30">
        <f>MBQ[[#This Row],[WIDTH (mm)]]*MBQ[[#This Row],[QTY TOTAL]]/1000</f>
        <v>1.2</v>
      </c>
      <c r="T246" s="9">
        <f>(MBQ[[#This Row],[HEIGHT (mm)]]+MBQ[[#This Row],[WIDTH (mm)]])/1000*2*MBQ[[#This Row],[QTY TOTAL]]</f>
        <v>4.4000000000000004</v>
      </c>
      <c r="U246" s="266">
        <f>MBQ[[#This Row],[MULTIPLIER]]*MBQ[[#This Row],[QTY]]</f>
        <v>1</v>
      </c>
      <c r="V246" s="9">
        <f>MBQ[[#This Row],[HEIGHT (mm)]]/1000*MBQ[[#This Row],[WIDTH (mm)]]/1000*MBQ[[#This Row],[QTY TOTAL]]</f>
        <v>1.2</v>
      </c>
      <c r="W246" s="287">
        <f>ROUNDUP(MBQ[[#This Row],[HEIGHT (mm)]]/450*MBQ[[#This Row],[QTY]]*2,0)+ROUNDUP(MBQ[[#This Row],[WIDTH (mm)]]/450*MBQ[[#This Row],[QTY]]*2,0)</f>
        <v>11</v>
      </c>
    </row>
    <row r="247" spans="1:23" hidden="1">
      <c r="A247" s="258">
        <v>1</v>
      </c>
      <c r="B247" s="286" t="s">
        <v>535</v>
      </c>
      <c r="C247" s="278" t="s">
        <v>544</v>
      </c>
      <c r="D247" s="277" t="s">
        <v>550</v>
      </c>
      <c r="E247" s="277" t="s">
        <v>537</v>
      </c>
      <c r="F247" s="261"/>
      <c r="G247" s="262"/>
      <c r="H247" s="262"/>
      <c r="I247" s="260" t="s">
        <v>442</v>
      </c>
      <c r="J247" s="278" t="s">
        <v>443</v>
      </c>
      <c r="K247" s="285" t="s">
        <v>580</v>
      </c>
      <c r="L247" s="277" t="s">
        <v>540</v>
      </c>
      <c r="M247" s="263"/>
      <c r="N247" s="263"/>
      <c r="O247" s="264">
        <v>1300</v>
      </c>
      <c r="P247" s="264">
        <v>1200</v>
      </c>
      <c r="Q247" s="265">
        <v>1</v>
      </c>
      <c r="R247" s="30">
        <f>MBQ[[#This Row],[HEIGHT (mm)]]*MBQ[[#This Row],[QTY TOTAL]]/1000</f>
        <v>1.3</v>
      </c>
      <c r="S247" s="30">
        <f>MBQ[[#This Row],[WIDTH (mm)]]*MBQ[[#This Row],[QTY TOTAL]]/1000</f>
        <v>1.2</v>
      </c>
      <c r="T247" s="9">
        <f>(MBQ[[#This Row],[HEIGHT (mm)]]+MBQ[[#This Row],[WIDTH (mm)]])/1000*2*MBQ[[#This Row],[QTY TOTAL]]</f>
        <v>5</v>
      </c>
      <c r="U247" s="266">
        <f>MBQ[[#This Row],[MULTIPLIER]]*MBQ[[#This Row],[QTY]]</f>
        <v>1</v>
      </c>
      <c r="V247" s="9">
        <f>MBQ[[#This Row],[HEIGHT (mm)]]/1000*MBQ[[#This Row],[WIDTH (mm)]]/1000*MBQ[[#This Row],[QTY TOTAL]]</f>
        <v>1.56</v>
      </c>
      <c r="W247" s="287">
        <f>ROUNDUP(MBQ[[#This Row],[HEIGHT (mm)]]/450*MBQ[[#This Row],[QTY]]*2,0)+ROUNDUP(MBQ[[#This Row],[WIDTH (mm)]]/450*MBQ[[#This Row],[QTY]]*2,0)</f>
        <v>12</v>
      </c>
    </row>
    <row r="248" spans="1:23" hidden="1">
      <c r="A248" s="258">
        <v>1</v>
      </c>
      <c r="B248" s="286" t="s">
        <v>535</v>
      </c>
      <c r="C248" s="278" t="s">
        <v>544</v>
      </c>
      <c r="D248" s="277" t="s">
        <v>550</v>
      </c>
      <c r="E248" s="277" t="s">
        <v>537</v>
      </c>
      <c r="F248" s="261"/>
      <c r="G248" s="262"/>
      <c r="H248" s="262"/>
      <c r="I248" s="260" t="s">
        <v>442</v>
      </c>
      <c r="J248" s="278" t="s">
        <v>443</v>
      </c>
      <c r="K248" s="285" t="s">
        <v>580</v>
      </c>
      <c r="L248" s="277" t="s">
        <v>541</v>
      </c>
      <c r="M248" s="263"/>
      <c r="N248" s="263"/>
      <c r="O248" s="264">
        <v>1700</v>
      </c>
      <c r="P248" s="264">
        <v>1200</v>
      </c>
      <c r="Q248" s="265">
        <v>1</v>
      </c>
      <c r="R248" s="30">
        <f>MBQ[[#This Row],[HEIGHT (mm)]]*MBQ[[#This Row],[QTY TOTAL]]/1000</f>
        <v>1.7</v>
      </c>
      <c r="S248" s="30">
        <f>MBQ[[#This Row],[WIDTH (mm)]]*MBQ[[#This Row],[QTY TOTAL]]/1000</f>
        <v>1.2</v>
      </c>
      <c r="T248" s="9">
        <f>(MBQ[[#This Row],[HEIGHT (mm)]]+MBQ[[#This Row],[WIDTH (mm)]])/1000*2*MBQ[[#This Row],[QTY TOTAL]]</f>
        <v>5.8</v>
      </c>
      <c r="U248" s="266">
        <f>MBQ[[#This Row],[MULTIPLIER]]*MBQ[[#This Row],[QTY]]</f>
        <v>1</v>
      </c>
      <c r="V248" s="9">
        <f>MBQ[[#This Row],[HEIGHT (mm)]]/1000*MBQ[[#This Row],[WIDTH (mm)]]/1000*MBQ[[#This Row],[QTY TOTAL]]</f>
        <v>2.04</v>
      </c>
      <c r="W248" s="287">
        <f>ROUNDUP(MBQ[[#This Row],[HEIGHT (mm)]]/450*MBQ[[#This Row],[QTY]]*2,0)+ROUNDUP(MBQ[[#This Row],[WIDTH (mm)]]/450*MBQ[[#This Row],[QTY]]*2,0)</f>
        <v>14</v>
      </c>
    </row>
    <row r="249" spans="1:23" hidden="1">
      <c r="A249" s="258">
        <v>1</v>
      </c>
      <c r="B249" s="286" t="s">
        <v>535</v>
      </c>
      <c r="C249" s="278" t="s">
        <v>544</v>
      </c>
      <c r="D249" s="277" t="s">
        <v>550</v>
      </c>
      <c r="E249" s="277" t="s">
        <v>537</v>
      </c>
      <c r="F249" s="261"/>
      <c r="G249" s="262"/>
      <c r="H249" s="262"/>
      <c r="I249" s="260" t="s">
        <v>442</v>
      </c>
      <c r="J249" s="278" t="s">
        <v>443</v>
      </c>
      <c r="K249" s="285" t="s">
        <v>580</v>
      </c>
      <c r="L249" s="277" t="s">
        <v>540</v>
      </c>
      <c r="M249" s="263"/>
      <c r="N249" s="263"/>
      <c r="O249" s="264">
        <v>1000</v>
      </c>
      <c r="P249" s="264">
        <v>1200</v>
      </c>
      <c r="Q249" s="265">
        <v>1</v>
      </c>
      <c r="R249" s="30">
        <f>MBQ[[#This Row],[HEIGHT (mm)]]*MBQ[[#This Row],[QTY TOTAL]]/1000</f>
        <v>1</v>
      </c>
      <c r="S249" s="30">
        <f>MBQ[[#This Row],[WIDTH (mm)]]*MBQ[[#This Row],[QTY TOTAL]]/1000</f>
        <v>1.2</v>
      </c>
      <c r="T249" s="9">
        <f>(MBQ[[#This Row],[HEIGHT (mm)]]+MBQ[[#This Row],[WIDTH (mm)]])/1000*2*MBQ[[#This Row],[QTY TOTAL]]</f>
        <v>4.4000000000000004</v>
      </c>
      <c r="U249" s="266">
        <f>MBQ[[#This Row],[MULTIPLIER]]*MBQ[[#This Row],[QTY]]</f>
        <v>1</v>
      </c>
      <c r="V249" s="9">
        <f>MBQ[[#This Row],[HEIGHT (mm)]]/1000*MBQ[[#This Row],[WIDTH (mm)]]/1000*MBQ[[#This Row],[QTY TOTAL]]</f>
        <v>1.2</v>
      </c>
      <c r="W249" s="287">
        <f>ROUNDUP(MBQ[[#This Row],[HEIGHT (mm)]]/450*MBQ[[#This Row],[QTY]]*2,0)+ROUNDUP(MBQ[[#This Row],[WIDTH (mm)]]/450*MBQ[[#This Row],[QTY]]*2,0)</f>
        <v>11</v>
      </c>
    </row>
    <row r="250" spans="1:23" hidden="1">
      <c r="A250" s="258">
        <v>1</v>
      </c>
      <c r="B250" s="286" t="s">
        <v>535</v>
      </c>
      <c r="C250" s="278" t="s">
        <v>544</v>
      </c>
      <c r="D250" s="277" t="s">
        <v>550</v>
      </c>
      <c r="E250" s="277" t="s">
        <v>537</v>
      </c>
      <c r="F250" s="261"/>
      <c r="G250" s="262"/>
      <c r="H250" s="262"/>
      <c r="I250" s="260" t="s">
        <v>442</v>
      </c>
      <c r="J250" s="278" t="s">
        <v>443</v>
      </c>
      <c r="K250" s="285" t="s">
        <v>580</v>
      </c>
      <c r="L250" s="277" t="s">
        <v>540</v>
      </c>
      <c r="M250" s="263"/>
      <c r="N250" s="263"/>
      <c r="O250" s="264">
        <v>1300</v>
      </c>
      <c r="P250" s="264">
        <v>1200</v>
      </c>
      <c r="Q250" s="265">
        <v>1</v>
      </c>
      <c r="R250" s="30">
        <f>MBQ[[#This Row],[HEIGHT (mm)]]*MBQ[[#This Row],[QTY TOTAL]]/1000</f>
        <v>1.3</v>
      </c>
      <c r="S250" s="30">
        <f>MBQ[[#This Row],[WIDTH (mm)]]*MBQ[[#This Row],[QTY TOTAL]]/1000</f>
        <v>1.2</v>
      </c>
      <c r="T250" s="9">
        <f>(MBQ[[#This Row],[HEIGHT (mm)]]+MBQ[[#This Row],[WIDTH (mm)]])/1000*2*MBQ[[#This Row],[QTY TOTAL]]</f>
        <v>5</v>
      </c>
      <c r="U250" s="266">
        <f>MBQ[[#This Row],[MULTIPLIER]]*MBQ[[#This Row],[QTY]]</f>
        <v>1</v>
      </c>
      <c r="V250" s="9">
        <f>MBQ[[#This Row],[HEIGHT (mm)]]/1000*MBQ[[#This Row],[WIDTH (mm)]]/1000*MBQ[[#This Row],[QTY TOTAL]]</f>
        <v>1.56</v>
      </c>
      <c r="W250" s="287">
        <f>ROUNDUP(MBQ[[#This Row],[HEIGHT (mm)]]/450*MBQ[[#This Row],[QTY]]*2,0)+ROUNDUP(MBQ[[#This Row],[WIDTH (mm)]]/450*MBQ[[#This Row],[QTY]]*2,0)</f>
        <v>12</v>
      </c>
    </row>
    <row r="251" spans="1:23" hidden="1">
      <c r="A251" s="258">
        <v>1</v>
      </c>
      <c r="B251" s="286" t="s">
        <v>535</v>
      </c>
      <c r="C251" s="278" t="s">
        <v>544</v>
      </c>
      <c r="D251" s="277" t="s">
        <v>550</v>
      </c>
      <c r="E251" s="277" t="s">
        <v>537</v>
      </c>
      <c r="F251" s="261"/>
      <c r="G251" s="262"/>
      <c r="H251" s="262"/>
      <c r="I251" s="260" t="s">
        <v>442</v>
      </c>
      <c r="J251" s="278" t="s">
        <v>443</v>
      </c>
      <c r="K251" s="285" t="s">
        <v>580</v>
      </c>
      <c r="L251" s="277" t="s">
        <v>541</v>
      </c>
      <c r="M251" s="263"/>
      <c r="N251" s="263"/>
      <c r="O251" s="264">
        <v>1700</v>
      </c>
      <c r="P251" s="264">
        <v>1200</v>
      </c>
      <c r="Q251" s="265">
        <v>1</v>
      </c>
      <c r="R251" s="30">
        <f>MBQ[[#This Row],[HEIGHT (mm)]]*MBQ[[#This Row],[QTY TOTAL]]/1000</f>
        <v>1.7</v>
      </c>
      <c r="S251" s="30">
        <f>MBQ[[#This Row],[WIDTH (mm)]]*MBQ[[#This Row],[QTY TOTAL]]/1000</f>
        <v>1.2</v>
      </c>
      <c r="T251" s="9">
        <f>(MBQ[[#This Row],[HEIGHT (mm)]]+MBQ[[#This Row],[WIDTH (mm)]])/1000*2*MBQ[[#This Row],[QTY TOTAL]]</f>
        <v>5.8</v>
      </c>
      <c r="U251" s="266">
        <f>MBQ[[#This Row],[MULTIPLIER]]*MBQ[[#This Row],[QTY]]</f>
        <v>1</v>
      </c>
      <c r="V251" s="9">
        <f>MBQ[[#This Row],[HEIGHT (mm)]]/1000*MBQ[[#This Row],[WIDTH (mm)]]/1000*MBQ[[#This Row],[QTY TOTAL]]</f>
        <v>2.04</v>
      </c>
      <c r="W251" s="287">
        <f>ROUNDUP(MBQ[[#This Row],[HEIGHT (mm)]]/450*MBQ[[#This Row],[QTY]]*2,0)+ROUNDUP(MBQ[[#This Row],[WIDTH (mm)]]/450*MBQ[[#This Row],[QTY]]*2,0)</f>
        <v>14</v>
      </c>
    </row>
    <row r="252" spans="1:23" hidden="1">
      <c r="A252" s="258">
        <v>1</v>
      </c>
      <c r="B252" s="286" t="s">
        <v>535</v>
      </c>
      <c r="C252" s="278" t="s">
        <v>544</v>
      </c>
      <c r="D252" s="277" t="s">
        <v>550</v>
      </c>
      <c r="E252" s="277" t="s">
        <v>537</v>
      </c>
      <c r="F252" s="261"/>
      <c r="G252" s="262"/>
      <c r="H252" s="262"/>
      <c r="I252" s="260" t="s">
        <v>442</v>
      </c>
      <c r="J252" s="278" t="s">
        <v>443</v>
      </c>
      <c r="K252" s="285" t="s">
        <v>580</v>
      </c>
      <c r="L252" s="277" t="s">
        <v>540</v>
      </c>
      <c r="M252" s="263"/>
      <c r="N252" s="263"/>
      <c r="O252" s="264">
        <v>1000</v>
      </c>
      <c r="P252" s="264">
        <v>1200</v>
      </c>
      <c r="Q252" s="265">
        <v>1</v>
      </c>
      <c r="R252" s="30">
        <f>MBQ[[#This Row],[HEIGHT (mm)]]*MBQ[[#This Row],[QTY TOTAL]]/1000</f>
        <v>1</v>
      </c>
      <c r="S252" s="30">
        <f>MBQ[[#This Row],[WIDTH (mm)]]*MBQ[[#This Row],[QTY TOTAL]]/1000</f>
        <v>1.2</v>
      </c>
      <c r="T252" s="9">
        <f>(MBQ[[#This Row],[HEIGHT (mm)]]+MBQ[[#This Row],[WIDTH (mm)]])/1000*2*MBQ[[#This Row],[QTY TOTAL]]</f>
        <v>4.4000000000000004</v>
      </c>
      <c r="U252" s="266">
        <f>MBQ[[#This Row],[MULTIPLIER]]*MBQ[[#This Row],[QTY]]</f>
        <v>1</v>
      </c>
      <c r="V252" s="9">
        <f>MBQ[[#This Row],[HEIGHT (mm)]]/1000*MBQ[[#This Row],[WIDTH (mm)]]/1000*MBQ[[#This Row],[QTY TOTAL]]</f>
        <v>1.2</v>
      </c>
      <c r="W252" s="287">
        <f>ROUNDUP(MBQ[[#This Row],[HEIGHT (mm)]]/450*MBQ[[#This Row],[QTY]]*2,0)+ROUNDUP(MBQ[[#This Row],[WIDTH (mm)]]/450*MBQ[[#This Row],[QTY]]*2,0)</f>
        <v>11</v>
      </c>
    </row>
    <row r="253" spans="1:23" hidden="1">
      <c r="A253" s="258">
        <v>1</v>
      </c>
      <c r="B253" s="286" t="s">
        <v>535</v>
      </c>
      <c r="C253" s="278" t="s">
        <v>544</v>
      </c>
      <c r="D253" s="277" t="s">
        <v>550</v>
      </c>
      <c r="E253" s="277" t="s">
        <v>537</v>
      </c>
      <c r="F253" s="261"/>
      <c r="G253" s="262"/>
      <c r="H253" s="262"/>
      <c r="I253" s="260" t="s">
        <v>442</v>
      </c>
      <c r="J253" s="278" t="s">
        <v>443</v>
      </c>
      <c r="K253" s="285" t="s">
        <v>580</v>
      </c>
      <c r="L253" s="277" t="s">
        <v>540</v>
      </c>
      <c r="M253" s="263"/>
      <c r="N253" s="263"/>
      <c r="O253" s="264">
        <v>1300</v>
      </c>
      <c r="P253" s="264">
        <v>1200</v>
      </c>
      <c r="Q253" s="265">
        <v>1</v>
      </c>
      <c r="R253" s="30">
        <f>MBQ[[#This Row],[HEIGHT (mm)]]*MBQ[[#This Row],[QTY TOTAL]]/1000</f>
        <v>1.3</v>
      </c>
      <c r="S253" s="30">
        <f>MBQ[[#This Row],[WIDTH (mm)]]*MBQ[[#This Row],[QTY TOTAL]]/1000</f>
        <v>1.2</v>
      </c>
      <c r="T253" s="9">
        <f>(MBQ[[#This Row],[HEIGHT (mm)]]+MBQ[[#This Row],[WIDTH (mm)]])/1000*2*MBQ[[#This Row],[QTY TOTAL]]</f>
        <v>5</v>
      </c>
      <c r="U253" s="266">
        <f>MBQ[[#This Row],[MULTIPLIER]]*MBQ[[#This Row],[QTY]]</f>
        <v>1</v>
      </c>
      <c r="V253" s="9">
        <f>MBQ[[#This Row],[HEIGHT (mm)]]/1000*MBQ[[#This Row],[WIDTH (mm)]]/1000*MBQ[[#This Row],[QTY TOTAL]]</f>
        <v>1.56</v>
      </c>
      <c r="W253" s="287">
        <f>ROUNDUP(MBQ[[#This Row],[HEIGHT (mm)]]/450*MBQ[[#This Row],[QTY]]*2,0)+ROUNDUP(MBQ[[#This Row],[WIDTH (mm)]]/450*MBQ[[#This Row],[QTY]]*2,0)</f>
        <v>12</v>
      </c>
    </row>
    <row r="254" spans="1:23" hidden="1">
      <c r="A254" s="258">
        <v>1</v>
      </c>
      <c r="B254" s="286" t="s">
        <v>535</v>
      </c>
      <c r="C254" s="278" t="s">
        <v>544</v>
      </c>
      <c r="D254" s="277" t="s">
        <v>550</v>
      </c>
      <c r="E254" s="277" t="s">
        <v>537</v>
      </c>
      <c r="F254" s="261"/>
      <c r="G254" s="262"/>
      <c r="H254" s="262"/>
      <c r="I254" s="260" t="s">
        <v>442</v>
      </c>
      <c r="J254" s="278" t="s">
        <v>443</v>
      </c>
      <c r="K254" s="285" t="s">
        <v>580</v>
      </c>
      <c r="L254" s="277" t="s">
        <v>541</v>
      </c>
      <c r="M254" s="263"/>
      <c r="N254" s="263"/>
      <c r="O254" s="264">
        <v>1700</v>
      </c>
      <c r="P254" s="264">
        <v>1200</v>
      </c>
      <c r="Q254" s="265">
        <v>1</v>
      </c>
      <c r="R254" s="30">
        <f>MBQ[[#This Row],[HEIGHT (mm)]]*MBQ[[#This Row],[QTY TOTAL]]/1000</f>
        <v>1.7</v>
      </c>
      <c r="S254" s="30">
        <f>MBQ[[#This Row],[WIDTH (mm)]]*MBQ[[#This Row],[QTY TOTAL]]/1000</f>
        <v>1.2</v>
      </c>
      <c r="T254" s="9">
        <f>(MBQ[[#This Row],[HEIGHT (mm)]]+MBQ[[#This Row],[WIDTH (mm)]])/1000*2*MBQ[[#This Row],[QTY TOTAL]]</f>
        <v>5.8</v>
      </c>
      <c r="U254" s="266">
        <f>MBQ[[#This Row],[MULTIPLIER]]*MBQ[[#This Row],[QTY]]</f>
        <v>1</v>
      </c>
      <c r="V254" s="9">
        <f>MBQ[[#This Row],[HEIGHT (mm)]]/1000*MBQ[[#This Row],[WIDTH (mm)]]/1000*MBQ[[#This Row],[QTY TOTAL]]</f>
        <v>2.04</v>
      </c>
      <c r="W254" s="287">
        <f>ROUNDUP(MBQ[[#This Row],[HEIGHT (mm)]]/450*MBQ[[#This Row],[QTY]]*2,0)+ROUNDUP(MBQ[[#This Row],[WIDTH (mm)]]/450*MBQ[[#This Row],[QTY]]*2,0)</f>
        <v>14</v>
      </c>
    </row>
    <row r="255" spans="1:23" hidden="1">
      <c r="A255" s="258">
        <v>1</v>
      </c>
      <c r="B255" s="286" t="s">
        <v>535</v>
      </c>
      <c r="C255" s="278" t="s">
        <v>544</v>
      </c>
      <c r="D255" s="277" t="s">
        <v>550</v>
      </c>
      <c r="E255" s="277" t="s">
        <v>537</v>
      </c>
      <c r="F255" s="261"/>
      <c r="G255" s="262"/>
      <c r="H255" s="262"/>
      <c r="I255" s="260" t="s">
        <v>442</v>
      </c>
      <c r="J255" s="278" t="s">
        <v>443</v>
      </c>
      <c r="K255" s="285" t="s">
        <v>580</v>
      </c>
      <c r="L255" s="277" t="s">
        <v>540</v>
      </c>
      <c r="M255" s="263"/>
      <c r="N255" s="263"/>
      <c r="O255" s="264">
        <v>1000</v>
      </c>
      <c r="P255" s="264">
        <v>1200</v>
      </c>
      <c r="Q255" s="265">
        <v>1</v>
      </c>
      <c r="R255" s="30">
        <f>MBQ[[#This Row],[HEIGHT (mm)]]*MBQ[[#This Row],[QTY TOTAL]]/1000</f>
        <v>1</v>
      </c>
      <c r="S255" s="30">
        <f>MBQ[[#This Row],[WIDTH (mm)]]*MBQ[[#This Row],[QTY TOTAL]]/1000</f>
        <v>1.2</v>
      </c>
      <c r="T255" s="9">
        <f>(MBQ[[#This Row],[HEIGHT (mm)]]+MBQ[[#This Row],[WIDTH (mm)]])/1000*2*MBQ[[#This Row],[QTY TOTAL]]</f>
        <v>4.4000000000000004</v>
      </c>
      <c r="U255" s="266">
        <f>MBQ[[#This Row],[MULTIPLIER]]*MBQ[[#This Row],[QTY]]</f>
        <v>1</v>
      </c>
      <c r="V255" s="9">
        <f>MBQ[[#This Row],[HEIGHT (mm)]]/1000*MBQ[[#This Row],[WIDTH (mm)]]/1000*MBQ[[#This Row],[QTY TOTAL]]</f>
        <v>1.2</v>
      </c>
      <c r="W255" s="287">
        <f>ROUNDUP(MBQ[[#This Row],[HEIGHT (mm)]]/450*MBQ[[#This Row],[QTY]]*2,0)+ROUNDUP(MBQ[[#This Row],[WIDTH (mm)]]/450*MBQ[[#This Row],[QTY]]*2,0)</f>
        <v>11</v>
      </c>
    </row>
    <row r="256" spans="1:23" hidden="1">
      <c r="A256" s="258">
        <v>1</v>
      </c>
      <c r="B256" s="286" t="s">
        <v>535</v>
      </c>
      <c r="C256" s="278" t="s">
        <v>544</v>
      </c>
      <c r="D256" s="277" t="s">
        <v>550</v>
      </c>
      <c r="E256" s="277" t="s">
        <v>537</v>
      </c>
      <c r="F256" s="261"/>
      <c r="G256" s="262"/>
      <c r="H256" s="262"/>
      <c r="I256" s="260" t="s">
        <v>442</v>
      </c>
      <c r="J256" s="278" t="s">
        <v>443</v>
      </c>
      <c r="K256" s="285" t="s">
        <v>580</v>
      </c>
      <c r="L256" s="277" t="s">
        <v>540</v>
      </c>
      <c r="M256" s="263"/>
      <c r="N256" s="263"/>
      <c r="O256" s="264">
        <v>1300</v>
      </c>
      <c r="P256" s="264">
        <v>1200</v>
      </c>
      <c r="Q256" s="265">
        <v>1</v>
      </c>
      <c r="R256" s="30">
        <f>MBQ[[#This Row],[HEIGHT (mm)]]*MBQ[[#This Row],[QTY TOTAL]]/1000</f>
        <v>1.3</v>
      </c>
      <c r="S256" s="30">
        <f>MBQ[[#This Row],[WIDTH (mm)]]*MBQ[[#This Row],[QTY TOTAL]]/1000</f>
        <v>1.2</v>
      </c>
      <c r="T256" s="9">
        <f>(MBQ[[#This Row],[HEIGHT (mm)]]+MBQ[[#This Row],[WIDTH (mm)]])/1000*2*MBQ[[#This Row],[QTY TOTAL]]</f>
        <v>5</v>
      </c>
      <c r="U256" s="266">
        <f>MBQ[[#This Row],[MULTIPLIER]]*MBQ[[#This Row],[QTY]]</f>
        <v>1</v>
      </c>
      <c r="V256" s="9">
        <f>MBQ[[#This Row],[HEIGHT (mm)]]/1000*MBQ[[#This Row],[WIDTH (mm)]]/1000*MBQ[[#This Row],[QTY TOTAL]]</f>
        <v>1.56</v>
      </c>
      <c r="W256" s="287">
        <f>ROUNDUP(MBQ[[#This Row],[HEIGHT (mm)]]/450*MBQ[[#This Row],[QTY]]*2,0)+ROUNDUP(MBQ[[#This Row],[WIDTH (mm)]]/450*MBQ[[#This Row],[QTY]]*2,0)</f>
        <v>12</v>
      </c>
    </row>
    <row r="257" spans="1:23" hidden="1">
      <c r="A257" s="258">
        <v>1</v>
      </c>
      <c r="B257" s="286" t="s">
        <v>535</v>
      </c>
      <c r="C257" s="278" t="s">
        <v>544</v>
      </c>
      <c r="D257" s="277" t="s">
        <v>550</v>
      </c>
      <c r="E257" s="277" t="s">
        <v>537</v>
      </c>
      <c r="F257" s="261"/>
      <c r="G257" s="262"/>
      <c r="H257" s="262"/>
      <c r="I257" s="260" t="s">
        <v>442</v>
      </c>
      <c r="J257" s="278" t="s">
        <v>443</v>
      </c>
      <c r="K257" s="285" t="s">
        <v>580</v>
      </c>
      <c r="L257" s="277" t="s">
        <v>541</v>
      </c>
      <c r="M257" s="263"/>
      <c r="N257" s="263"/>
      <c r="O257" s="264">
        <v>1700</v>
      </c>
      <c r="P257" s="264">
        <v>1200</v>
      </c>
      <c r="Q257" s="265">
        <v>1</v>
      </c>
      <c r="R257" s="30">
        <f>MBQ[[#This Row],[HEIGHT (mm)]]*MBQ[[#This Row],[QTY TOTAL]]/1000</f>
        <v>1.7</v>
      </c>
      <c r="S257" s="30">
        <f>MBQ[[#This Row],[WIDTH (mm)]]*MBQ[[#This Row],[QTY TOTAL]]/1000</f>
        <v>1.2</v>
      </c>
      <c r="T257" s="9">
        <f>(MBQ[[#This Row],[HEIGHT (mm)]]+MBQ[[#This Row],[WIDTH (mm)]])/1000*2*MBQ[[#This Row],[QTY TOTAL]]</f>
        <v>5.8</v>
      </c>
      <c r="U257" s="266">
        <f>MBQ[[#This Row],[MULTIPLIER]]*MBQ[[#This Row],[QTY]]</f>
        <v>1</v>
      </c>
      <c r="V257" s="9">
        <f>MBQ[[#This Row],[HEIGHT (mm)]]/1000*MBQ[[#This Row],[WIDTH (mm)]]/1000*MBQ[[#This Row],[QTY TOTAL]]</f>
        <v>2.04</v>
      </c>
      <c r="W257" s="287">
        <f>ROUNDUP(MBQ[[#This Row],[HEIGHT (mm)]]/450*MBQ[[#This Row],[QTY]]*2,0)+ROUNDUP(MBQ[[#This Row],[WIDTH (mm)]]/450*MBQ[[#This Row],[QTY]]*2,0)</f>
        <v>14</v>
      </c>
    </row>
    <row r="258" spans="1:23" hidden="1">
      <c r="A258" s="258">
        <v>1</v>
      </c>
      <c r="B258" s="286" t="s">
        <v>535</v>
      </c>
      <c r="C258" s="278" t="s">
        <v>544</v>
      </c>
      <c r="D258" s="277" t="s">
        <v>550</v>
      </c>
      <c r="E258" s="277" t="s">
        <v>537</v>
      </c>
      <c r="F258" s="261"/>
      <c r="G258" s="262"/>
      <c r="H258" s="262"/>
      <c r="I258" s="260" t="s">
        <v>442</v>
      </c>
      <c r="J258" s="278" t="s">
        <v>443</v>
      </c>
      <c r="K258" s="285" t="s">
        <v>580</v>
      </c>
      <c r="L258" s="277" t="s">
        <v>540</v>
      </c>
      <c r="M258" s="263"/>
      <c r="N258" s="263"/>
      <c r="O258" s="264">
        <v>1000</v>
      </c>
      <c r="P258" s="264">
        <v>1200</v>
      </c>
      <c r="Q258" s="265">
        <v>1</v>
      </c>
      <c r="R258" s="30">
        <f>MBQ[[#This Row],[HEIGHT (mm)]]*MBQ[[#This Row],[QTY TOTAL]]/1000</f>
        <v>1</v>
      </c>
      <c r="S258" s="30">
        <f>MBQ[[#This Row],[WIDTH (mm)]]*MBQ[[#This Row],[QTY TOTAL]]/1000</f>
        <v>1.2</v>
      </c>
      <c r="T258" s="9">
        <f>(MBQ[[#This Row],[HEIGHT (mm)]]+MBQ[[#This Row],[WIDTH (mm)]])/1000*2*MBQ[[#This Row],[QTY TOTAL]]</f>
        <v>4.4000000000000004</v>
      </c>
      <c r="U258" s="266">
        <f>MBQ[[#This Row],[MULTIPLIER]]*MBQ[[#This Row],[QTY]]</f>
        <v>1</v>
      </c>
      <c r="V258" s="9">
        <f>MBQ[[#This Row],[HEIGHT (mm)]]/1000*MBQ[[#This Row],[WIDTH (mm)]]/1000*MBQ[[#This Row],[QTY TOTAL]]</f>
        <v>1.2</v>
      </c>
      <c r="W258" s="287">
        <f>ROUNDUP(MBQ[[#This Row],[HEIGHT (mm)]]/450*MBQ[[#This Row],[QTY]]*2,0)+ROUNDUP(MBQ[[#This Row],[WIDTH (mm)]]/450*MBQ[[#This Row],[QTY]]*2,0)</f>
        <v>11</v>
      </c>
    </row>
    <row r="259" spans="1:23" hidden="1">
      <c r="A259" s="258">
        <v>1</v>
      </c>
      <c r="B259" s="276" t="s">
        <v>536</v>
      </c>
      <c r="C259" s="278" t="s">
        <v>544</v>
      </c>
      <c r="D259" s="277" t="s">
        <v>550</v>
      </c>
      <c r="E259" s="277" t="s">
        <v>537</v>
      </c>
      <c r="F259" s="261"/>
      <c r="G259" s="262"/>
      <c r="H259" s="262"/>
      <c r="I259" s="260" t="s">
        <v>442</v>
      </c>
      <c r="J259" s="278" t="s">
        <v>443</v>
      </c>
      <c r="K259" s="285" t="s">
        <v>580</v>
      </c>
      <c r="L259" s="277" t="s">
        <v>540</v>
      </c>
      <c r="M259" s="263"/>
      <c r="N259" s="263"/>
      <c r="O259" s="264">
        <v>1300</v>
      </c>
      <c r="P259" s="264">
        <v>1200</v>
      </c>
      <c r="Q259" s="265">
        <v>1</v>
      </c>
      <c r="R259" s="30">
        <f>MBQ[[#This Row],[HEIGHT (mm)]]*MBQ[[#This Row],[QTY TOTAL]]/1000</f>
        <v>1.3</v>
      </c>
      <c r="S259" s="30">
        <f>MBQ[[#This Row],[WIDTH (mm)]]*MBQ[[#This Row],[QTY TOTAL]]/1000</f>
        <v>1.2</v>
      </c>
      <c r="T259" s="9">
        <f>(MBQ[[#This Row],[HEIGHT (mm)]]+MBQ[[#This Row],[WIDTH (mm)]])/1000*2*MBQ[[#This Row],[QTY TOTAL]]</f>
        <v>5</v>
      </c>
      <c r="U259" s="266">
        <f>MBQ[[#This Row],[MULTIPLIER]]*MBQ[[#This Row],[QTY]]</f>
        <v>1</v>
      </c>
      <c r="V259" s="9">
        <f>MBQ[[#This Row],[HEIGHT (mm)]]/1000*MBQ[[#This Row],[WIDTH (mm)]]/1000*MBQ[[#This Row],[QTY TOTAL]]</f>
        <v>1.56</v>
      </c>
      <c r="W259" s="287">
        <f>ROUNDUP(MBQ[[#This Row],[HEIGHT (mm)]]/450*MBQ[[#This Row],[QTY]]*2,0)+ROUNDUP(MBQ[[#This Row],[WIDTH (mm)]]/450*MBQ[[#This Row],[QTY]]*2,0)</f>
        <v>12</v>
      </c>
    </row>
    <row r="260" spans="1:23" hidden="1">
      <c r="A260" s="258">
        <v>1</v>
      </c>
      <c r="B260" s="276" t="s">
        <v>536</v>
      </c>
      <c r="C260" s="278" t="s">
        <v>544</v>
      </c>
      <c r="D260" s="277" t="s">
        <v>550</v>
      </c>
      <c r="E260" s="277" t="s">
        <v>537</v>
      </c>
      <c r="F260" s="261"/>
      <c r="G260" s="262"/>
      <c r="H260" s="262"/>
      <c r="I260" s="260" t="s">
        <v>442</v>
      </c>
      <c r="J260" s="278" t="s">
        <v>443</v>
      </c>
      <c r="K260" s="285" t="s">
        <v>580</v>
      </c>
      <c r="L260" s="277" t="s">
        <v>541</v>
      </c>
      <c r="M260" s="263"/>
      <c r="N260" s="263"/>
      <c r="O260" s="264">
        <v>1700</v>
      </c>
      <c r="P260" s="264">
        <v>1200</v>
      </c>
      <c r="Q260" s="265">
        <v>1</v>
      </c>
      <c r="R260" s="30">
        <f>MBQ[[#This Row],[HEIGHT (mm)]]*MBQ[[#This Row],[QTY TOTAL]]/1000</f>
        <v>1.7</v>
      </c>
      <c r="S260" s="30">
        <f>MBQ[[#This Row],[WIDTH (mm)]]*MBQ[[#This Row],[QTY TOTAL]]/1000</f>
        <v>1.2</v>
      </c>
      <c r="T260" s="9">
        <f>(MBQ[[#This Row],[HEIGHT (mm)]]+MBQ[[#This Row],[WIDTH (mm)]])/1000*2*MBQ[[#This Row],[QTY TOTAL]]</f>
        <v>5.8</v>
      </c>
      <c r="U260" s="266">
        <f>MBQ[[#This Row],[MULTIPLIER]]*MBQ[[#This Row],[QTY]]</f>
        <v>1</v>
      </c>
      <c r="V260" s="9">
        <f>MBQ[[#This Row],[HEIGHT (mm)]]/1000*MBQ[[#This Row],[WIDTH (mm)]]/1000*MBQ[[#This Row],[QTY TOTAL]]</f>
        <v>2.04</v>
      </c>
      <c r="W260" s="287">
        <f>ROUNDUP(MBQ[[#This Row],[HEIGHT (mm)]]/450*MBQ[[#This Row],[QTY]]*2,0)+ROUNDUP(MBQ[[#This Row],[WIDTH (mm)]]/450*MBQ[[#This Row],[QTY]]*2,0)</f>
        <v>14</v>
      </c>
    </row>
    <row r="261" spans="1:23" hidden="1">
      <c r="A261" s="258">
        <v>1</v>
      </c>
      <c r="B261" s="276" t="s">
        <v>536</v>
      </c>
      <c r="C261" s="278" t="s">
        <v>544</v>
      </c>
      <c r="D261" s="277" t="s">
        <v>550</v>
      </c>
      <c r="E261" s="277" t="s">
        <v>537</v>
      </c>
      <c r="F261" s="261"/>
      <c r="G261" s="262"/>
      <c r="H261" s="262"/>
      <c r="I261" s="260" t="s">
        <v>442</v>
      </c>
      <c r="J261" s="278" t="s">
        <v>443</v>
      </c>
      <c r="K261" s="285" t="s">
        <v>580</v>
      </c>
      <c r="L261" s="277" t="s">
        <v>540</v>
      </c>
      <c r="M261" s="263"/>
      <c r="N261" s="263"/>
      <c r="O261" s="264">
        <v>1000</v>
      </c>
      <c r="P261" s="264">
        <v>1200</v>
      </c>
      <c r="Q261" s="265">
        <v>1</v>
      </c>
      <c r="R261" s="30">
        <f>MBQ[[#This Row],[HEIGHT (mm)]]*MBQ[[#This Row],[QTY TOTAL]]/1000</f>
        <v>1</v>
      </c>
      <c r="S261" s="30">
        <f>MBQ[[#This Row],[WIDTH (mm)]]*MBQ[[#This Row],[QTY TOTAL]]/1000</f>
        <v>1.2</v>
      </c>
      <c r="T261" s="9">
        <f>(MBQ[[#This Row],[HEIGHT (mm)]]+MBQ[[#This Row],[WIDTH (mm)]])/1000*2*MBQ[[#This Row],[QTY TOTAL]]</f>
        <v>4.4000000000000004</v>
      </c>
      <c r="U261" s="266">
        <f>MBQ[[#This Row],[MULTIPLIER]]*MBQ[[#This Row],[QTY]]</f>
        <v>1</v>
      </c>
      <c r="V261" s="9">
        <f>MBQ[[#This Row],[HEIGHT (mm)]]/1000*MBQ[[#This Row],[WIDTH (mm)]]/1000*MBQ[[#This Row],[QTY TOTAL]]</f>
        <v>1.2</v>
      </c>
      <c r="W261" s="287">
        <f>ROUNDUP(MBQ[[#This Row],[HEIGHT (mm)]]/450*MBQ[[#This Row],[QTY]]*2,0)+ROUNDUP(MBQ[[#This Row],[WIDTH (mm)]]/450*MBQ[[#This Row],[QTY]]*2,0)</f>
        <v>11</v>
      </c>
    </row>
    <row r="262" spans="1:23" hidden="1">
      <c r="A262" s="258">
        <v>1</v>
      </c>
      <c r="B262" s="276" t="s">
        <v>536</v>
      </c>
      <c r="C262" s="278" t="s">
        <v>544</v>
      </c>
      <c r="D262" s="277" t="s">
        <v>550</v>
      </c>
      <c r="E262" s="277" t="s">
        <v>537</v>
      </c>
      <c r="F262" s="261"/>
      <c r="G262" s="262"/>
      <c r="H262" s="262"/>
      <c r="I262" s="260" t="s">
        <v>442</v>
      </c>
      <c r="J262" s="278" t="s">
        <v>443</v>
      </c>
      <c r="K262" s="285" t="s">
        <v>580</v>
      </c>
      <c r="L262" s="277" t="s">
        <v>540</v>
      </c>
      <c r="M262" s="263"/>
      <c r="N262" s="263"/>
      <c r="O262" s="264">
        <v>1300</v>
      </c>
      <c r="P262" s="264">
        <v>1200</v>
      </c>
      <c r="Q262" s="265">
        <v>1</v>
      </c>
      <c r="R262" s="30">
        <f>MBQ[[#This Row],[HEIGHT (mm)]]*MBQ[[#This Row],[QTY TOTAL]]/1000</f>
        <v>1.3</v>
      </c>
      <c r="S262" s="30">
        <f>MBQ[[#This Row],[WIDTH (mm)]]*MBQ[[#This Row],[QTY TOTAL]]/1000</f>
        <v>1.2</v>
      </c>
      <c r="T262" s="9">
        <f>(MBQ[[#This Row],[HEIGHT (mm)]]+MBQ[[#This Row],[WIDTH (mm)]])/1000*2*MBQ[[#This Row],[QTY TOTAL]]</f>
        <v>5</v>
      </c>
      <c r="U262" s="266">
        <f>MBQ[[#This Row],[MULTIPLIER]]*MBQ[[#This Row],[QTY]]</f>
        <v>1</v>
      </c>
      <c r="V262" s="9">
        <f>MBQ[[#This Row],[HEIGHT (mm)]]/1000*MBQ[[#This Row],[WIDTH (mm)]]/1000*MBQ[[#This Row],[QTY TOTAL]]</f>
        <v>1.56</v>
      </c>
      <c r="W262" s="287">
        <f>ROUNDUP(MBQ[[#This Row],[HEIGHT (mm)]]/450*MBQ[[#This Row],[QTY]]*2,0)+ROUNDUP(MBQ[[#This Row],[WIDTH (mm)]]/450*MBQ[[#This Row],[QTY]]*2,0)</f>
        <v>12</v>
      </c>
    </row>
    <row r="263" spans="1:23" hidden="1">
      <c r="A263" s="258">
        <v>1</v>
      </c>
      <c r="B263" s="276" t="s">
        <v>536</v>
      </c>
      <c r="C263" s="278" t="s">
        <v>544</v>
      </c>
      <c r="D263" s="277" t="s">
        <v>550</v>
      </c>
      <c r="E263" s="277" t="s">
        <v>537</v>
      </c>
      <c r="F263" s="261"/>
      <c r="G263" s="262"/>
      <c r="H263" s="262"/>
      <c r="I263" s="260" t="s">
        <v>442</v>
      </c>
      <c r="J263" s="278" t="s">
        <v>443</v>
      </c>
      <c r="K263" s="285" t="s">
        <v>580</v>
      </c>
      <c r="L263" s="277" t="s">
        <v>541</v>
      </c>
      <c r="M263" s="263"/>
      <c r="N263" s="263"/>
      <c r="O263" s="264">
        <v>1700</v>
      </c>
      <c r="P263" s="264">
        <v>1200</v>
      </c>
      <c r="Q263" s="265">
        <v>1</v>
      </c>
      <c r="R263" s="30">
        <f>MBQ[[#This Row],[HEIGHT (mm)]]*MBQ[[#This Row],[QTY TOTAL]]/1000</f>
        <v>1.7</v>
      </c>
      <c r="S263" s="30">
        <f>MBQ[[#This Row],[WIDTH (mm)]]*MBQ[[#This Row],[QTY TOTAL]]/1000</f>
        <v>1.2</v>
      </c>
      <c r="T263" s="9">
        <f>(MBQ[[#This Row],[HEIGHT (mm)]]+MBQ[[#This Row],[WIDTH (mm)]])/1000*2*MBQ[[#This Row],[QTY TOTAL]]</f>
        <v>5.8</v>
      </c>
      <c r="U263" s="266">
        <f>MBQ[[#This Row],[MULTIPLIER]]*MBQ[[#This Row],[QTY]]</f>
        <v>1</v>
      </c>
      <c r="V263" s="9">
        <f>MBQ[[#This Row],[HEIGHT (mm)]]/1000*MBQ[[#This Row],[WIDTH (mm)]]/1000*MBQ[[#This Row],[QTY TOTAL]]</f>
        <v>2.04</v>
      </c>
      <c r="W263" s="287">
        <f>ROUNDUP(MBQ[[#This Row],[HEIGHT (mm)]]/450*MBQ[[#This Row],[QTY]]*2,0)+ROUNDUP(MBQ[[#This Row],[WIDTH (mm)]]/450*MBQ[[#This Row],[QTY]]*2,0)</f>
        <v>14</v>
      </c>
    </row>
    <row r="264" spans="1:23" hidden="1">
      <c r="A264" s="258">
        <v>1</v>
      </c>
      <c r="B264" s="276" t="s">
        <v>536</v>
      </c>
      <c r="C264" s="278" t="s">
        <v>544</v>
      </c>
      <c r="D264" s="277" t="s">
        <v>550</v>
      </c>
      <c r="E264" s="277" t="s">
        <v>537</v>
      </c>
      <c r="F264" s="261"/>
      <c r="G264" s="262"/>
      <c r="H264" s="262"/>
      <c r="I264" s="260" t="s">
        <v>442</v>
      </c>
      <c r="J264" s="278" t="s">
        <v>443</v>
      </c>
      <c r="K264" s="285" t="s">
        <v>580</v>
      </c>
      <c r="L264" s="277" t="s">
        <v>540</v>
      </c>
      <c r="M264" s="263"/>
      <c r="N264" s="263"/>
      <c r="O264" s="264">
        <v>1000</v>
      </c>
      <c r="P264" s="264">
        <v>1200</v>
      </c>
      <c r="Q264" s="265">
        <v>1</v>
      </c>
      <c r="R264" s="30">
        <f>MBQ[[#This Row],[HEIGHT (mm)]]*MBQ[[#This Row],[QTY TOTAL]]/1000</f>
        <v>1</v>
      </c>
      <c r="S264" s="30">
        <f>MBQ[[#This Row],[WIDTH (mm)]]*MBQ[[#This Row],[QTY TOTAL]]/1000</f>
        <v>1.2</v>
      </c>
      <c r="T264" s="9">
        <f>(MBQ[[#This Row],[HEIGHT (mm)]]+MBQ[[#This Row],[WIDTH (mm)]])/1000*2*MBQ[[#This Row],[QTY TOTAL]]</f>
        <v>4.4000000000000004</v>
      </c>
      <c r="U264" s="266">
        <f>MBQ[[#This Row],[MULTIPLIER]]*MBQ[[#This Row],[QTY]]</f>
        <v>1</v>
      </c>
      <c r="V264" s="9">
        <f>MBQ[[#This Row],[HEIGHT (mm)]]/1000*MBQ[[#This Row],[WIDTH (mm)]]/1000*MBQ[[#This Row],[QTY TOTAL]]</f>
        <v>1.2</v>
      </c>
      <c r="W264" s="287">
        <f>ROUNDUP(MBQ[[#This Row],[HEIGHT (mm)]]/450*MBQ[[#This Row],[QTY]]*2,0)+ROUNDUP(MBQ[[#This Row],[WIDTH (mm)]]/450*MBQ[[#This Row],[QTY]]*2,0)</f>
        <v>11</v>
      </c>
    </row>
    <row r="265" spans="1:23" hidden="1">
      <c r="A265" s="258">
        <v>1</v>
      </c>
      <c r="B265" s="276" t="s">
        <v>536</v>
      </c>
      <c r="C265" s="278" t="s">
        <v>544</v>
      </c>
      <c r="D265" s="277" t="s">
        <v>550</v>
      </c>
      <c r="E265" s="277" t="s">
        <v>537</v>
      </c>
      <c r="F265" s="261"/>
      <c r="G265" s="262"/>
      <c r="H265" s="262"/>
      <c r="I265" s="260" t="s">
        <v>442</v>
      </c>
      <c r="J265" s="278" t="s">
        <v>443</v>
      </c>
      <c r="K265" s="285" t="s">
        <v>580</v>
      </c>
      <c r="L265" s="277" t="s">
        <v>540</v>
      </c>
      <c r="M265" s="263"/>
      <c r="N265" s="263"/>
      <c r="O265" s="264">
        <v>1300</v>
      </c>
      <c r="P265" s="264">
        <v>1200</v>
      </c>
      <c r="Q265" s="265">
        <v>1</v>
      </c>
      <c r="R265" s="30">
        <f>MBQ[[#This Row],[HEIGHT (mm)]]*MBQ[[#This Row],[QTY TOTAL]]/1000</f>
        <v>1.3</v>
      </c>
      <c r="S265" s="30">
        <f>MBQ[[#This Row],[WIDTH (mm)]]*MBQ[[#This Row],[QTY TOTAL]]/1000</f>
        <v>1.2</v>
      </c>
      <c r="T265" s="9">
        <f>(MBQ[[#This Row],[HEIGHT (mm)]]+MBQ[[#This Row],[WIDTH (mm)]])/1000*2*MBQ[[#This Row],[QTY TOTAL]]</f>
        <v>5</v>
      </c>
      <c r="U265" s="266">
        <f>MBQ[[#This Row],[MULTIPLIER]]*MBQ[[#This Row],[QTY]]</f>
        <v>1</v>
      </c>
      <c r="V265" s="9">
        <f>MBQ[[#This Row],[HEIGHT (mm)]]/1000*MBQ[[#This Row],[WIDTH (mm)]]/1000*MBQ[[#This Row],[QTY TOTAL]]</f>
        <v>1.56</v>
      </c>
      <c r="W265" s="287">
        <f>ROUNDUP(MBQ[[#This Row],[HEIGHT (mm)]]/450*MBQ[[#This Row],[QTY]]*2,0)+ROUNDUP(MBQ[[#This Row],[WIDTH (mm)]]/450*MBQ[[#This Row],[QTY]]*2,0)</f>
        <v>12</v>
      </c>
    </row>
    <row r="266" spans="1:23" hidden="1">
      <c r="A266" s="258">
        <v>1</v>
      </c>
      <c r="B266" s="276" t="s">
        <v>536</v>
      </c>
      <c r="C266" s="278" t="s">
        <v>544</v>
      </c>
      <c r="D266" s="277" t="s">
        <v>550</v>
      </c>
      <c r="E266" s="277" t="s">
        <v>537</v>
      </c>
      <c r="F266" s="261"/>
      <c r="G266" s="262"/>
      <c r="H266" s="262"/>
      <c r="I266" s="260" t="s">
        <v>442</v>
      </c>
      <c r="J266" s="278" t="s">
        <v>443</v>
      </c>
      <c r="K266" s="285" t="s">
        <v>580</v>
      </c>
      <c r="L266" s="277" t="s">
        <v>541</v>
      </c>
      <c r="M266" s="263"/>
      <c r="N266" s="263"/>
      <c r="O266" s="264">
        <v>1700</v>
      </c>
      <c r="P266" s="264">
        <v>1200</v>
      </c>
      <c r="Q266" s="265">
        <v>1</v>
      </c>
      <c r="R266" s="30">
        <f>MBQ[[#This Row],[HEIGHT (mm)]]*MBQ[[#This Row],[QTY TOTAL]]/1000</f>
        <v>1.7</v>
      </c>
      <c r="S266" s="30">
        <f>MBQ[[#This Row],[WIDTH (mm)]]*MBQ[[#This Row],[QTY TOTAL]]/1000</f>
        <v>1.2</v>
      </c>
      <c r="T266" s="9">
        <f>(MBQ[[#This Row],[HEIGHT (mm)]]+MBQ[[#This Row],[WIDTH (mm)]])/1000*2*MBQ[[#This Row],[QTY TOTAL]]</f>
        <v>5.8</v>
      </c>
      <c r="U266" s="266">
        <f>MBQ[[#This Row],[MULTIPLIER]]*MBQ[[#This Row],[QTY]]</f>
        <v>1</v>
      </c>
      <c r="V266" s="9">
        <f>MBQ[[#This Row],[HEIGHT (mm)]]/1000*MBQ[[#This Row],[WIDTH (mm)]]/1000*MBQ[[#This Row],[QTY TOTAL]]</f>
        <v>2.04</v>
      </c>
      <c r="W266" s="287">
        <f>ROUNDUP(MBQ[[#This Row],[HEIGHT (mm)]]/450*MBQ[[#This Row],[QTY]]*2,0)+ROUNDUP(MBQ[[#This Row],[WIDTH (mm)]]/450*MBQ[[#This Row],[QTY]]*2,0)</f>
        <v>14</v>
      </c>
    </row>
    <row r="267" spans="1:23" hidden="1">
      <c r="A267" s="258">
        <v>1</v>
      </c>
      <c r="B267" s="276" t="s">
        <v>536</v>
      </c>
      <c r="C267" s="278" t="s">
        <v>544</v>
      </c>
      <c r="D267" s="277" t="s">
        <v>550</v>
      </c>
      <c r="E267" s="277" t="s">
        <v>537</v>
      </c>
      <c r="F267" s="261"/>
      <c r="G267" s="262"/>
      <c r="H267" s="262"/>
      <c r="I267" s="260" t="s">
        <v>442</v>
      </c>
      <c r="J267" s="278" t="s">
        <v>443</v>
      </c>
      <c r="K267" s="285" t="s">
        <v>580</v>
      </c>
      <c r="L267" s="277" t="s">
        <v>540</v>
      </c>
      <c r="M267" s="263"/>
      <c r="N267" s="263"/>
      <c r="O267" s="264">
        <v>1000</v>
      </c>
      <c r="P267" s="264">
        <v>1200</v>
      </c>
      <c r="Q267" s="265">
        <v>1</v>
      </c>
      <c r="R267" s="30">
        <f>MBQ[[#This Row],[HEIGHT (mm)]]*MBQ[[#This Row],[QTY TOTAL]]/1000</f>
        <v>1</v>
      </c>
      <c r="S267" s="30">
        <f>MBQ[[#This Row],[WIDTH (mm)]]*MBQ[[#This Row],[QTY TOTAL]]/1000</f>
        <v>1.2</v>
      </c>
      <c r="T267" s="9">
        <f>(MBQ[[#This Row],[HEIGHT (mm)]]+MBQ[[#This Row],[WIDTH (mm)]])/1000*2*MBQ[[#This Row],[QTY TOTAL]]</f>
        <v>4.4000000000000004</v>
      </c>
      <c r="U267" s="266">
        <f>MBQ[[#This Row],[MULTIPLIER]]*MBQ[[#This Row],[QTY]]</f>
        <v>1</v>
      </c>
      <c r="V267" s="9">
        <f>MBQ[[#This Row],[HEIGHT (mm)]]/1000*MBQ[[#This Row],[WIDTH (mm)]]/1000*MBQ[[#This Row],[QTY TOTAL]]</f>
        <v>1.2</v>
      </c>
      <c r="W267" s="287">
        <f>ROUNDUP(MBQ[[#This Row],[HEIGHT (mm)]]/450*MBQ[[#This Row],[QTY]]*2,0)+ROUNDUP(MBQ[[#This Row],[WIDTH (mm)]]/450*MBQ[[#This Row],[QTY]]*2,0)</f>
        <v>11</v>
      </c>
    </row>
    <row r="268" spans="1:23" hidden="1">
      <c r="A268" s="258">
        <v>1</v>
      </c>
      <c r="B268" s="276" t="s">
        <v>536</v>
      </c>
      <c r="C268" s="278" t="s">
        <v>544</v>
      </c>
      <c r="D268" s="277" t="s">
        <v>550</v>
      </c>
      <c r="E268" s="277" t="s">
        <v>537</v>
      </c>
      <c r="F268" s="261"/>
      <c r="G268" s="262"/>
      <c r="H268" s="262"/>
      <c r="I268" s="260" t="s">
        <v>442</v>
      </c>
      <c r="J268" s="278" t="s">
        <v>443</v>
      </c>
      <c r="K268" s="285" t="s">
        <v>580</v>
      </c>
      <c r="L268" s="277" t="s">
        <v>540</v>
      </c>
      <c r="M268" s="263"/>
      <c r="N268" s="263"/>
      <c r="O268" s="264">
        <v>1300</v>
      </c>
      <c r="P268" s="264">
        <v>1200</v>
      </c>
      <c r="Q268" s="265">
        <v>1</v>
      </c>
      <c r="R268" s="30">
        <f>MBQ[[#This Row],[HEIGHT (mm)]]*MBQ[[#This Row],[QTY TOTAL]]/1000</f>
        <v>1.3</v>
      </c>
      <c r="S268" s="30">
        <f>MBQ[[#This Row],[WIDTH (mm)]]*MBQ[[#This Row],[QTY TOTAL]]/1000</f>
        <v>1.2</v>
      </c>
      <c r="T268" s="9">
        <f>(MBQ[[#This Row],[HEIGHT (mm)]]+MBQ[[#This Row],[WIDTH (mm)]])/1000*2*MBQ[[#This Row],[QTY TOTAL]]</f>
        <v>5</v>
      </c>
      <c r="U268" s="266">
        <f>MBQ[[#This Row],[MULTIPLIER]]*MBQ[[#This Row],[QTY]]</f>
        <v>1</v>
      </c>
      <c r="V268" s="9">
        <f>MBQ[[#This Row],[HEIGHT (mm)]]/1000*MBQ[[#This Row],[WIDTH (mm)]]/1000*MBQ[[#This Row],[QTY TOTAL]]</f>
        <v>1.56</v>
      </c>
      <c r="W268" s="287">
        <f>ROUNDUP(MBQ[[#This Row],[HEIGHT (mm)]]/450*MBQ[[#This Row],[QTY]]*2,0)+ROUNDUP(MBQ[[#This Row],[WIDTH (mm)]]/450*MBQ[[#This Row],[QTY]]*2,0)</f>
        <v>12</v>
      </c>
    </row>
    <row r="269" spans="1:23" ht="14.45" hidden="1" customHeight="1">
      <c r="A269" s="258">
        <v>1</v>
      </c>
      <c r="B269" s="276" t="s">
        <v>536</v>
      </c>
      <c r="C269" s="278" t="s">
        <v>544</v>
      </c>
      <c r="D269" s="277" t="s">
        <v>550</v>
      </c>
      <c r="E269" s="277" t="s">
        <v>537</v>
      </c>
      <c r="F269" s="261"/>
      <c r="G269" s="262"/>
      <c r="H269" s="262"/>
      <c r="I269" s="260" t="s">
        <v>442</v>
      </c>
      <c r="J269" s="278" t="s">
        <v>443</v>
      </c>
      <c r="K269" s="285" t="s">
        <v>580</v>
      </c>
      <c r="L269" s="277" t="s">
        <v>541</v>
      </c>
      <c r="M269" s="263"/>
      <c r="N269" s="263"/>
      <c r="O269" s="264">
        <v>1700</v>
      </c>
      <c r="P269" s="264">
        <v>1200</v>
      </c>
      <c r="Q269" s="265">
        <v>1</v>
      </c>
      <c r="R269" s="30">
        <f>MBQ[[#This Row],[HEIGHT (mm)]]*MBQ[[#This Row],[QTY TOTAL]]/1000</f>
        <v>1.7</v>
      </c>
      <c r="S269" s="30">
        <f>MBQ[[#This Row],[WIDTH (mm)]]*MBQ[[#This Row],[QTY TOTAL]]/1000</f>
        <v>1.2</v>
      </c>
      <c r="T269" s="9">
        <f>(MBQ[[#This Row],[HEIGHT (mm)]]+MBQ[[#This Row],[WIDTH (mm)]])/1000*2*MBQ[[#This Row],[QTY TOTAL]]</f>
        <v>5.8</v>
      </c>
      <c r="U269" s="266">
        <f>MBQ[[#This Row],[MULTIPLIER]]*MBQ[[#This Row],[QTY]]</f>
        <v>1</v>
      </c>
      <c r="V269" s="9">
        <f>MBQ[[#This Row],[HEIGHT (mm)]]/1000*MBQ[[#This Row],[WIDTH (mm)]]/1000*MBQ[[#This Row],[QTY TOTAL]]</f>
        <v>2.04</v>
      </c>
      <c r="W269" s="287">
        <f>ROUNDUP(MBQ[[#This Row],[HEIGHT (mm)]]/450*MBQ[[#This Row],[QTY]]*2,0)+ROUNDUP(MBQ[[#This Row],[WIDTH (mm)]]/450*MBQ[[#This Row],[QTY]]*2,0)</f>
        <v>14</v>
      </c>
    </row>
    <row r="270" spans="1:23" ht="14.45" hidden="1" customHeight="1">
      <c r="A270" s="258">
        <v>1</v>
      </c>
      <c r="B270" s="276" t="s">
        <v>536</v>
      </c>
      <c r="C270" s="278" t="s">
        <v>544</v>
      </c>
      <c r="D270" s="277" t="s">
        <v>550</v>
      </c>
      <c r="E270" s="277" t="s">
        <v>537</v>
      </c>
      <c r="F270" s="261"/>
      <c r="G270" s="262"/>
      <c r="H270" s="262"/>
      <c r="I270" s="260" t="s">
        <v>442</v>
      </c>
      <c r="J270" s="278" t="s">
        <v>443</v>
      </c>
      <c r="K270" s="285" t="s">
        <v>580</v>
      </c>
      <c r="L270" s="277" t="s">
        <v>540</v>
      </c>
      <c r="M270" s="263"/>
      <c r="N270" s="263"/>
      <c r="O270" s="264">
        <v>1000</v>
      </c>
      <c r="P270" s="264">
        <v>1200</v>
      </c>
      <c r="Q270" s="265">
        <v>1</v>
      </c>
      <c r="R270" s="30">
        <f>MBQ[[#This Row],[HEIGHT (mm)]]*MBQ[[#This Row],[QTY TOTAL]]/1000</f>
        <v>1</v>
      </c>
      <c r="S270" s="30">
        <f>MBQ[[#This Row],[WIDTH (mm)]]*MBQ[[#This Row],[QTY TOTAL]]/1000</f>
        <v>1.2</v>
      </c>
      <c r="T270" s="9">
        <f>(MBQ[[#This Row],[HEIGHT (mm)]]+MBQ[[#This Row],[WIDTH (mm)]])/1000*2*MBQ[[#This Row],[QTY TOTAL]]</f>
        <v>4.4000000000000004</v>
      </c>
      <c r="U270" s="266">
        <f>MBQ[[#This Row],[MULTIPLIER]]*MBQ[[#This Row],[QTY]]</f>
        <v>1</v>
      </c>
      <c r="V270" s="9">
        <f>MBQ[[#This Row],[HEIGHT (mm)]]/1000*MBQ[[#This Row],[WIDTH (mm)]]/1000*MBQ[[#This Row],[QTY TOTAL]]</f>
        <v>1.2</v>
      </c>
      <c r="W270" s="287">
        <f>ROUNDUP(MBQ[[#This Row],[HEIGHT (mm)]]/450*MBQ[[#This Row],[QTY]]*2,0)+ROUNDUP(MBQ[[#This Row],[WIDTH (mm)]]/450*MBQ[[#This Row],[QTY]]*2,0)</f>
        <v>11</v>
      </c>
    </row>
    <row r="271" spans="1:23" hidden="1">
      <c r="A271" s="258">
        <v>1</v>
      </c>
      <c r="B271" s="276" t="s">
        <v>536</v>
      </c>
      <c r="C271" s="278" t="s">
        <v>544</v>
      </c>
      <c r="D271" s="277" t="s">
        <v>550</v>
      </c>
      <c r="E271" s="277" t="s">
        <v>537</v>
      </c>
      <c r="F271" s="261"/>
      <c r="G271" s="262"/>
      <c r="H271" s="262"/>
      <c r="I271" s="260" t="s">
        <v>442</v>
      </c>
      <c r="J271" s="278" t="s">
        <v>443</v>
      </c>
      <c r="K271" s="285" t="s">
        <v>580</v>
      </c>
      <c r="L271" s="277" t="s">
        <v>540</v>
      </c>
      <c r="M271" s="263"/>
      <c r="N271" s="263"/>
      <c r="O271" s="264">
        <v>1300</v>
      </c>
      <c r="P271" s="264">
        <v>1200</v>
      </c>
      <c r="Q271" s="265">
        <v>1</v>
      </c>
      <c r="R271" s="30">
        <f>MBQ[[#This Row],[HEIGHT (mm)]]*MBQ[[#This Row],[QTY TOTAL]]/1000</f>
        <v>1.3</v>
      </c>
      <c r="S271" s="30">
        <f>MBQ[[#This Row],[WIDTH (mm)]]*MBQ[[#This Row],[QTY TOTAL]]/1000</f>
        <v>1.2</v>
      </c>
      <c r="T271" s="9">
        <f>(MBQ[[#This Row],[HEIGHT (mm)]]+MBQ[[#This Row],[WIDTH (mm)]])/1000*2*MBQ[[#This Row],[QTY TOTAL]]</f>
        <v>5</v>
      </c>
      <c r="U271" s="266">
        <f>MBQ[[#This Row],[MULTIPLIER]]*MBQ[[#This Row],[QTY]]</f>
        <v>1</v>
      </c>
      <c r="V271" s="9">
        <f>MBQ[[#This Row],[HEIGHT (mm)]]/1000*MBQ[[#This Row],[WIDTH (mm)]]/1000*MBQ[[#This Row],[QTY TOTAL]]</f>
        <v>1.56</v>
      </c>
      <c r="W271" s="287">
        <f>ROUNDUP(MBQ[[#This Row],[HEIGHT (mm)]]/450*MBQ[[#This Row],[QTY]]*2,0)+ROUNDUP(MBQ[[#This Row],[WIDTH (mm)]]/450*MBQ[[#This Row],[QTY]]*2,0)</f>
        <v>12</v>
      </c>
    </row>
    <row r="272" spans="1:23" ht="14.45" hidden="1" customHeight="1">
      <c r="A272" s="258">
        <v>1</v>
      </c>
      <c r="B272" s="276" t="s">
        <v>536</v>
      </c>
      <c r="C272" s="278" t="s">
        <v>544</v>
      </c>
      <c r="D272" s="277" t="s">
        <v>550</v>
      </c>
      <c r="E272" s="277" t="s">
        <v>537</v>
      </c>
      <c r="F272" s="261"/>
      <c r="G272" s="262"/>
      <c r="H272" s="262"/>
      <c r="I272" s="260" t="s">
        <v>442</v>
      </c>
      <c r="J272" s="278" t="s">
        <v>443</v>
      </c>
      <c r="K272" s="285" t="s">
        <v>580</v>
      </c>
      <c r="L272" s="277" t="s">
        <v>541</v>
      </c>
      <c r="M272" s="263"/>
      <c r="N272" s="263"/>
      <c r="O272" s="264">
        <v>1700</v>
      </c>
      <c r="P272" s="264">
        <v>1200</v>
      </c>
      <c r="Q272" s="265">
        <v>1</v>
      </c>
      <c r="R272" s="30">
        <f>MBQ[[#This Row],[HEIGHT (mm)]]*MBQ[[#This Row],[QTY TOTAL]]/1000</f>
        <v>1.7</v>
      </c>
      <c r="S272" s="30">
        <f>MBQ[[#This Row],[WIDTH (mm)]]*MBQ[[#This Row],[QTY TOTAL]]/1000</f>
        <v>1.2</v>
      </c>
      <c r="T272" s="9">
        <f>(MBQ[[#This Row],[HEIGHT (mm)]]+MBQ[[#This Row],[WIDTH (mm)]])/1000*2*MBQ[[#This Row],[QTY TOTAL]]</f>
        <v>5.8</v>
      </c>
      <c r="U272" s="266">
        <f>MBQ[[#This Row],[MULTIPLIER]]*MBQ[[#This Row],[QTY]]</f>
        <v>1</v>
      </c>
      <c r="V272" s="9">
        <f>MBQ[[#This Row],[HEIGHT (mm)]]/1000*MBQ[[#This Row],[WIDTH (mm)]]/1000*MBQ[[#This Row],[QTY TOTAL]]</f>
        <v>2.04</v>
      </c>
      <c r="W272" s="287">
        <f>ROUNDUP(MBQ[[#This Row],[HEIGHT (mm)]]/450*MBQ[[#This Row],[QTY]]*2,0)+ROUNDUP(MBQ[[#This Row],[WIDTH (mm)]]/450*MBQ[[#This Row],[QTY]]*2,0)</f>
        <v>14</v>
      </c>
    </row>
    <row r="273" spans="1:23" ht="14.45" hidden="1" customHeight="1">
      <c r="A273" s="258">
        <v>1</v>
      </c>
      <c r="B273" s="276" t="s">
        <v>536</v>
      </c>
      <c r="C273" s="278" t="s">
        <v>544</v>
      </c>
      <c r="D273" s="277" t="s">
        <v>550</v>
      </c>
      <c r="E273" s="277" t="s">
        <v>537</v>
      </c>
      <c r="F273" s="261"/>
      <c r="G273" s="262"/>
      <c r="H273" s="262"/>
      <c r="I273" s="260" t="s">
        <v>442</v>
      </c>
      <c r="J273" s="278" t="s">
        <v>443</v>
      </c>
      <c r="K273" s="285" t="s">
        <v>580</v>
      </c>
      <c r="L273" s="277" t="s">
        <v>540</v>
      </c>
      <c r="M273" s="263"/>
      <c r="N273" s="263"/>
      <c r="O273" s="264">
        <v>1000</v>
      </c>
      <c r="P273" s="264">
        <v>1200</v>
      </c>
      <c r="Q273" s="265">
        <v>1</v>
      </c>
      <c r="R273" s="30">
        <f>MBQ[[#This Row],[HEIGHT (mm)]]*MBQ[[#This Row],[QTY TOTAL]]/1000</f>
        <v>1</v>
      </c>
      <c r="S273" s="30">
        <f>MBQ[[#This Row],[WIDTH (mm)]]*MBQ[[#This Row],[QTY TOTAL]]/1000</f>
        <v>1.2</v>
      </c>
      <c r="T273" s="9">
        <f>(MBQ[[#This Row],[HEIGHT (mm)]]+MBQ[[#This Row],[WIDTH (mm)]])/1000*2*MBQ[[#This Row],[QTY TOTAL]]</f>
        <v>4.4000000000000004</v>
      </c>
      <c r="U273" s="266">
        <f>MBQ[[#This Row],[MULTIPLIER]]*MBQ[[#This Row],[QTY]]</f>
        <v>1</v>
      </c>
      <c r="V273" s="9">
        <f>MBQ[[#This Row],[HEIGHT (mm)]]/1000*MBQ[[#This Row],[WIDTH (mm)]]/1000*MBQ[[#This Row],[QTY TOTAL]]</f>
        <v>1.2</v>
      </c>
      <c r="W273" s="287">
        <f>ROUNDUP(MBQ[[#This Row],[HEIGHT (mm)]]/450*MBQ[[#This Row],[QTY]]*2,0)+ROUNDUP(MBQ[[#This Row],[WIDTH (mm)]]/450*MBQ[[#This Row],[QTY]]*2,0)</f>
        <v>11</v>
      </c>
    </row>
    <row r="274" spans="1:23" hidden="1">
      <c r="A274" s="258">
        <v>1</v>
      </c>
      <c r="B274" s="276" t="s">
        <v>536</v>
      </c>
      <c r="C274" s="278" t="s">
        <v>544</v>
      </c>
      <c r="D274" s="277" t="s">
        <v>550</v>
      </c>
      <c r="E274" s="277" t="s">
        <v>537</v>
      </c>
      <c r="F274" s="261"/>
      <c r="G274" s="262"/>
      <c r="H274" s="262"/>
      <c r="I274" s="260" t="s">
        <v>442</v>
      </c>
      <c r="J274" s="278" t="s">
        <v>443</v>
      </c>
      <c r="K274" s="285" t="s">
        <v>580</v>
      </c>
      <c r="L274" s="277" t="s">
        <v>540</v>
      </c>
      <c r="M274" s="263"/>
      <c r="N274" s="263"/>
      <c r="O274" s="264">
        <v>1300</v>
      </c>
      <c r="P274" s="264">
        <v>1200</v>
      </c>
      <c r="Q274" s="265">
        <v>1</v>
      </c>
      <c r="R274" s="30">
        <f>MBQ[[#This Row],[HEIGHT (mm)]]*MBQ[[#This Row],[QTY TOTAL]]/1000</f>
        <v>1.3</v>
      </c>
      <c r="S274" s="30">
        <f>MBQ[[#This Row],[WIDTH (mm)]]*MBQ[[#This Row],[QTY TOTAL]]/1000</f>
        <v>1.2</v>
      </c>
      <c r="T274" s="9">
        <f>(MBQ[[#This Row],[HEIGHT (mm)]]+MBQ[[#This Row],[WIDTH (mm)]])/1000*2*MBQ[[#This Row],[QTY TOTAL]]</f>
        <v>5</v>
      </c>
      <c r="U274" s="266">
        <f>MBQ[[#This Row],[MULTIPLIER]]*MBQ[[#This Row],[QTY]]</f>
        <v>1</v>
      </c>
      <c r="V274" s="9">
        <f>MBQ[[#This Row],[HEIGHT (mm)]]/1000*MBQ[[#This Row],[WIDTH (mm)]]/1000*MBQ[[#This Row],[QTY TOTAL]]</f>
        <v>1.56</v>
      </c>
      <c r="W274" s="287">
        <f>ROUNDUP(MBQ[[#This Row],[HEIGHT (mm)]]/450*MBQ[[#This Row],[QTY]]*2,0)+ROUNDUP(MBQ[[#This Row],[WIDTH (mm)]]/450*MBQ[[#This Row],[QTY]]*2,0)</f>
        <v>12</v>
      </c>
    </row>
    <row r="275" spans="1:23" ht="14.45" hidden="1" customHeight="1">
      <c r="A275" s="258">
        <v>1</v>
      </c>
      <c r="B275" s="276" t="s">
        <v>536</v>
      </c>
      <c r="C275" s="278" t="s">
        <v>544</v>
      </c>
      <c r="D275" s="277" t="s">
        <v>550</v>
      </c>
      <c r="E275" s="277" t="s">
        <v>537</v>
      </c>
      <c r="F275" s="261"/>
      <c r="G275" s="262"/>
      <c r="H275" s="262"/>
      <c r="I275" s="260" t="s">
        <v>442</v>
      </c>
      <c r="J275" s="278" t="s">
        <v>443</v>
      </c>
      <c r="K275" s="285" t="s">
        <v>580</v>
      </c>
      <c r="L275" s="277" t="s">
        <v>541</v>
      </c>
      <c r="M275" s="263"/>
      <c r="N275" s="263"/>
      <c r="O275" s="264">
        <v>1700</v>
      </c>
      <c r="P275" s="264">
        <v>1200</v>
      </c>
      <c r="Q275" s="265">
        <v>1</v>
      </c>
      <c r="R275" s="30">
        <f>MBQ[[#This Row],[HEIGHT (mm)]]*MBQ[[#This Row],[QTY TOTAL]]/1000</f>
        <v>1.7</v>
      </c>
      <c r="S275" s="30">
        <f>MBQ[[#This Row],[WIDTH (mm)]]*MBQ[[#This Row],[QTY TOTAL]]/1000</f>
        <v>1.2</v>
      </c>
      <c r="T275" s="9">
        <f>(MBQ[[#This Row],[HEIGHT (mm)]]+MBQ[[#This Row],[WIDTH (mm)]])/1000*2*MBQ[[#This Row],[QTY TOTAL]]</f>
        <v>5.8</v>
      </c>
      <c r="U275" s="266">
        <f>MBQ[[#This Row],[MULTIPLIER]]*MBQ[[#This Row],[QTY]]</f>
        <v>1</v>
      </c>
      <c r="V275" s="9">
        <f>MBQ[[#This Row],[HEIGHT (mm)]]/1000*MBQ[[#This Row],[WIDTH (mm)]]/1000*MBQ[[#This Row],[QTY TOTAL]]</f>
        <v>2.04</v>
      </c>
      <c r="W275" s="287">
        <f>ROUNDUP(MBQ[[#This Row],[HEIGHT (mm)]]/450*MBQ[[#This Row],[QTY]]*2,0)+ROUNDUP(MBQ[[#This Row],[WIDTH (mm)]]/450*MBQ[[#This Row],[QTY]]*2,0)</f>
        <v>14</v>
      </c>
    </row>
    <row r="276" spans="1:23" ht="14.45" hidden="1" customHeight="1">
      <c r="A276" s="258">
        <v>1</v>
      </c>
      <c r="B276" s="276" t="s">
        <v>536</v>
      </c>
      <c r="C276" s="278" t="s">
        <v>544</v>
      </c>
      <c r="D276" s="277" t="s">
        <v>550</v>
      </c>
      <c r="E276" s="277" t="s">
        <v>537</v>
      </c>
      <c r="F276" s="261"/>
      <c r="G276" s="262"/>
      <c r="H276" s="262"/>
      <c r="I276" s="260" t="s">
        <v>442</v>
      </c>
      <c r="J276" s="278" t="s">
        <v>443</v>
      </c>
      <c r="K276" s="285" t="s">
        <v>580</v>
      </c>
      <c r="L276" s="277" t="s">
        <v>540</v>
      </c>
      <c r="M276" s="263"/>
      <c r="N276" s="263"/>
      <c r="O276" s="264">
        <v>1000</v>
      </c>
      <c r="P276" s="264">
        <v>1200</v>
      </c>
      <c r="Q276" s="265">
        <v>1</v>
      </c>
      <c r="R276" s="30">
        <f>MBQ[[#This Row],[HEIGHT (mm)]]*MBQ[[#This Row],[QTY TOTAL]]/1000</f>
        <v>1</v>
      </c>
      <c r="S276" s="30">
        <f>MBQ[[#This Row],[WIDTH (mm)]]*MBQ[[#This Row],[QTY TOTAL]]/1000</f>
        <v>1.2</v>
      </c>
      <c r="T276" s="9">
        <f>(MBQ[[#This Row],[HEIGHT (mm)]]+MBQ[[#This Row],[WIDTH (mm)]])/1000*2*MBQ[[#This Row],[QTY TOTAL]]</f>
        <v>4.4000000000000004</v>
      </c>
      <c r="U276" s="266">
        <f>MBQ[[#This Row],[MULTIPLIER]]*MBQ[[#This Row],[QTY]]</f>
        <v>1</v>
      </c>
      <c r="V276" s="9">
        <f>MBQ[[#This Row],[HEIGHT (mm)]]/1000*MBQ[[#This Row],[WIDTH (mm)]]/1000*MBQ[[#This Row],[QTY TOTAL]]</f>
        <v>1.2</v>
      </c>
      <c r="W276" s="287">
        <f>ROUNDUP(MBQ[[#This Row],[HEIGHT (mm)]]/450*MBQ[[#This Row],[QTY]]*2,0)+ROUNDUP(MBQ[[#This Row],[WIDTH (mm)]]/450*MBQ[[#This Row],[QTY]]*2,0)</f>
        <v>11</v>
      </c>
    </row>
    <row r="277" spans="1:23" hidden="1">
      <c r="A277" s="258">
        <v>1</v>
      </c>
      <c r="B277" s="276" t="s">
        <v>536</v>
      </c>
      <c r="C277" s="278" t="s">
        <v>544</v>
      </c>
      <c r="D277" s="277" t="s">
        <v>550</v>
      </c>
      <c r="E277" s="277" t="s">
        <v>537</v>
      </c>
      <c r="F277" s="261"/>
      <c r="G277" s="262"/>
      <c r="H277" s="262"/>
      <c r="I277" s="260" t="s">
        <v>442</v>
      </c>
      <c r="J277" s="278" t="s">
        <v>443</v>
      </c>
      <c r="K277" s="285" t="s">
        <v>580</v>
      </c>
      <c r="L277" s="277" t="s">
        <v>540</v>
      </c>
      <c r="M277" s="263"/>
      <c r="N277" s="263"/>
      <c r="O277" s="264">
        <v>1300</v>
      </c>
      <c r="P277" s="264">
        <v>1200</v>
      </c>
      <c r="Q277" s="265">
        <v>1</v>
      </c>
      <c r="R277" s="30">
        <f>MBQ[[#This Row],[HEIGHT (mm)]]*MBQ[[#This Row],[QTY TOTAL]]/1000</f>
        <v>1.3</v>
      </c>
      <c r="S277" s="30">
        <f>MBQ[[#This Row],[WIDTH (mm)]]*MBQ[[#This Row],[QTY TOTAL]]/1000</f>
        <v>1.2</v>
      </c>
      <c r="T277" s="9">
        <f>(MBQ[[#This Row],[HEIGHT (mm)]]+MBQ[[#This Row],[WIDTH (mm)]])/1000*2*MBQ[[#This Row],[QTY TOTAL]]</f>
        <v>5</v>
      </c>
      <c r="U277" s="266">
        <f>MBQ[[#This Row],[MULTIPLIER]]*MBQ[[#This Row],[QTY]]</f>
        <v>1</v>
      </c>
      <c r="V277" s="9">
        <f>MBQ[[#This Row],[HEIGHT (mm)]]/1000*MBQ[[#This Row],[WIDTH (mm)]]/1000*MBQ[[#This Row],[QTY TOTAL]]</f>
        <v>1.56</v>
      </c>
      <c r="W277" s="287">
        <f>ROUNDUP(MBQ[[#This Row],[HEIGHT (mm)]]/450*MBQ[[#This Row],[QTY]]*2,0)+ROUNDUP(MBQ[[#This Row],[WIDTH (mm)]]/450*MBQ[[#This Row],[QTY]]*2,0)</f>
        <v>12</v>
      </c>
    </row>
    <row r="278" spans="1:23" ht="14.45" hidden="1" customHeight="1">
      <c r="A278" s="258">
        <v>1</v>
      </c>
      <c r="B278" s="276" t="s">
        <v>536</v>
      </c>
      <c r="C278" s="278" t="s">
        <v>544</v>
      </c>
      <c r="D278" s="277" t="s">
        <v>550</v>
      </c>
      <c r="E278" s="277" t="s">
        <v>537</v>
      </c>
      <c r="F278" s="261"/>
      <c r="G278" s="262"/>
      <c r="H278" s="262"/>
      <c r="I278" s="260" t="s">
        <v>442</v>
      </c>
      <c r="J278" s="278" t="s">
        <v>443</v>
      </c>
      <c r="K278" s="285" t="s">
        <v>580</v>
      </c>
      <c r="L278" s="277" t="s">
        <v>541</v>
      </c>
      <c r="M278" s="263"/>
      <c r="N278" s="263"/>
      <c r="O278" s="264">
        <v>1700</v>
      </c>
      <c r="P278" s="264">
        <v>1200</v>
      </c>
      <c r="Q278" s="265">
        <v>1</v>
      </c>
      <c r="R278" s="30">
        <f>MBQ[[#This Row],[HEIGHT (mm)]]*MBQ[[#This Row],[QTY TOTAL]]/1000</f>
        <v>1.7</v>
      </c>
      <c r="S278" s="30">
        <f>MBQ[[#This Row],[WIDTH (mm)]]*MBQ[[#This Row],[QTY TOTAL]]/1000</f>
        <v>1.2</v>
      </c>
      <c r="T278" s="9">
        <f>(MBQ[[#This Row],[HEIGHT (mm)]]+MBQ[[#This Row],[WIDTH (mm)]])/1000*2*MBQ[[#This Row],[QTY TOTAL]]</f>
        <v>5.8</v>
      </c>
      <c r="U278" s="266">
        <f>MBQ[[#This Row],[MULTIPLIER]]*MBQ[[#This Row],[QTY]]</f>
        <v>1</v>
      </c>
      <c r="V278" s="9">
        <f>MBQ[[#This Row],[HEIGHT (mm)]]/1000*MBQ[[#This Row],[WIDTH (mm)]]/1000*MBQ[[#This Row],[QTY TOTAL]]</f>
        <v>2.04</v>
      </c>
      <c r="W278" s="287">
        <f>ROUNDUP(MBQ[[#This Row],[HEIGHT (mm)]]/450*MBQ[[#This Row],[QTY]]*2,0)+ROUNDUP(MBQ[[#This Row],[WIDTH (mm)]]/450*MBQ[[#This Row],[QTY]]*2,0)</f>
        <v>14</v>
      </c>
    </row>
    <row r="279" spans="1:23" ht="14.45" hidden="1" customHeight="1">
      <c r="A279" s="258">
        <v>1</v>
      </c>
      <c r="B279" s="276" t="s">
        <v>536</v>
      </c>
      <c r="C279" s="278" t="s">
        <v>544</v>
      </c>
      <c r="D279" s="277" t="s">
        <v>550</v>
      </c>
      <c r="E279" s="277" t="s">
        <v>537</v>
      </c>
      <c r="F279" s="261"/>
      <c r="G279" s="262"/>
      <c r="H279" s="262"/>
      <c r="I279" s="260" t="s">
        <v>442</v>
      </c>
      <c r="J279" s="278" t="s">
        <v>443</v>
      </c>
      <c r="K279" s="285" t="s">
        <v>580</v>
      </c>
      <c r="L279" s="277" t="s">
        <v>540</v>
      </c>
      <c r="M279" s="263"/>
      <c r="N279" s="263"/>
      <c r="O279" s="264">
        <v>1000</v>
      </c>
      <c r="P279" s="264">
        <v>1200</v>
      </c>
      <c r="Q279" s="265">
        <v>1</v>
      </c>
      <c r="R279" s="30">
        <f>MBQ[[#This Row],[HEIGHT (mm)]]*MBQ[[#This Row],[QTY TOTAL]]/1000</f>
        <v>1</v>
      </c>
      <c r="S279" s="30">
        <f>MBQ[[#This Row],[WIDTH (mm)]]*MBQ[[#This Row],[QTY TOTAL]]/1000</f>
        <v>1.2</v>
      </c>
      <c r="T279" s="9">
        <f>(MBQ[[#This Row],[HEIGHT (mm)]]+MBQ[[#This Row],[WIDTH (mm)]])/1000*2*MBQ[[#This Row],[QTY TOTAL]]</f>
        <v>4.4000000000000004</v>
      </c>
      <c r="U279" s="266">
        <f>MBQ[[#This Row],[MULTIPLIER]]*MBQ[[#This Row],[QTY]]</f>
        <v>1</v>
      </c>
      <c r="V279" s="9">
        <f>MBQ[[#This Row],[HEIGHT (mm)]]/1000*MBQ[[#This Row],[WIDTH (mm)]]/1000*MBQ[[#This Row],[QTY TOTAL]]</f>
        <v>1.2</v>
      </c>
      <c r="W279" s="287">
        <f>ROUNDUP(MBQ[[#This Row],[HEIGHT (mm)]]/450*MBQ[[#This Row],[QTY]]*2,0)+ROUNDUP(MBQ[[#This Row],[WIDTH (mm)]]/450*MBQ[[#This Row],[QTY]]*2,0)</f>
        <v>11</v>
      </c>
    </row>
    <row r="280" spans="1:23" hidden="1">
      <c r="A280" s="258">
        <v>1</v>
      </c>
      <c r="B280" s="276" t="s">
        <v>536</v>
      </c>
      <c r="C280" s="278" t="s">
        <v>544</v>
      </c>
      <c r="D280" s="277" t="s">
        <v>550</v>
      </c>
      <c r="E280" s="277" t="s">
        <v>537</v>
      </c>
      <c r="F280" s="261"/>
      <c r="G280" s="262"/>
      <c r="H280" s="262"/>
      <c r="I280" s="260" t="s">
        <v>442</v>
      </c>
      <c r="J280" s="278" t="s">
        <v>443</v>
      </c>
      <c r="K280" s="285" t="s">
        <v>580</v>
      </c>
      <c r="L280" s="277" t="s">
        <v>540</v>
      </c>
      <c r="M280" s="263"/>
      <c r="N280" s="263"/>
      <c r="O280" s="264">
        <v>1300</v>
      </c>
      <c r="P280" s="264">
        <v>1200</v>
      </c>
      <c r="Q280" s="265">
        <v>1</v>
      </c>
      <c r="R280" s="30">
        <f>MBQ[[#This Row],[HEIGHT (mm)]]*MBQ[[#This Row],[QTY TOTAL]]/1000</f>
        <v>1.3</v>
      </c>
      <c r="S280" s="30">
        <f>MBQ[[#This Row],[WIDTH (mm)]]*MBQ[[#This Row],[QTY TOTAL]]/1000</f>
        <v>1.2</v>
      </c>
      <c r="T280" s="9">
        <f>(MBQ[[#This Row],[HEIGHT (mm)]]+MBQ[[#This Row],[WIDTH (mm)]])/1000*2*MBQ[[#This Row],[QTY TOTAL]]</f>
        <v>5</v>
      </c>
      <c r="U280" s="266">
        <f>MBQ[[#This Row],[MULTIPLIER]]*MBQ[[#This Row],[QTY]]</f>
        <v>1</v>
      </c>
      <c r="V280" s="9">
        <f>MBQ[[#This Row],[HEIGHT (mm)]]/1000*MBQ[[#This Row],[WIDTH (mm)]]/1000*MBQ[[#This Row],[QTY TOTAL]]</f>
        <v>1.56</v>
      </c>
      <c r="W280" s="287">
        <f>ROUNDUP(MBQ[[#This Row],[HEIGHT (mm)]]/450*MBQ[[#This Row],[QTY]]*2,0)+ROUNDUP(MBQ[[#This Row],[WIDTH (mm)]]/450*MBQ[[#This Row],[QTY]]*2,0)</f>
        <v>12</v>
      </c>
    </row>
    <row r="281" spans="1:23" ht="14.45" hidden="1" customHeight="1">
      <c r="A281" s="258">
        <v>1</v>
      </c>
      <c r="B281" s="276" t="s">
        <v>536</v>
      </c>
      <c r="C281" s="278" t="s">
        <v>544</v>
      </c>
      <c r="D281" s="277" t="s">
        <v>550</v>
      </c>
      <c r="E281" s="277" t="s">
        <v>537</v>
      </c>
      <c r="F281" s="261"/>
      <c r="G281" s="262"/>
      <c r="H281" s="262"/>
      <c r="I281" s="260" t="s">
        <v>442</v>
      </c>
      <c r="J281" s="278" t="s">
        <v>443</v>
      </c>
      <c r="K281" s="285" t="s">
        <v>580</v>
      </c>
      <c r="L281" s="277" t="s">
        <v>541</v>
      </c>
      <c r="M281" s="263"/>
      <c r="N281" s="263"/>
      <c r="O281" s="264">
        <v>1700</v>
      </c>
      <c r="P281" s="264">
        <v>1200</v>
      </c>
      <c r="Q281" s="265">
        <v>1</v>
      </c>
      <c r="R281" s="30">
        <f>MBQ[[#This Row],[HEIGHT (mm)]]*MBQ[[#This Row],[QTY TOTAL]]/1000</f>
        <v>1.7</v>
      </c>
      <c r="S281" s="30">
        <f>MBQ[[#This Row],[WIDTH (mm)]]*MBQ[[#This Row],[QTY TOTAL]]/1000</f>
        <v>1.2</v>
      </c>
      <c r="T281" s="9">
        <f>(MBQ[[#This Row],[HEIGHT (mm)]]+MBQ[[#This Row],[WIDTH (mm)]])/1000*2*MBQ[[#This Row],[QTY TOTAL]]</f>
        <v>5.8</v>
      </c>
      <c r="U281" s="266">
        <f>MBQ[[#This Row],[MULTIPLIER]]*MBQ[[#This Row],[QTY]]</f>
        <v>1</v>
      </c>
      <c r="V281" s="9">
        <f>MBQ[[#This Row],[HEIGHT (mm)]]/1000*MBQ[[#This Row],[WIDTH (mm)]]/1000*MBQ[[#This Row],[QTY TOTAL]]</f>
        <v>2.04</v>
      </c>
      <c r="W281" s="287">
        <f>ROUNDUP(MBQ[[#This Row],[HEIGHT (mm)]]/450*MBQ[[#This Row],[QTY]]*2,0)+ROUNDUP(MBQ[[#This Row],[WIDTH (mm)]]/450*MBQ[[#This Row],[QTY]]*2,0)</f>
        <v>14</v>
      </c>
    </row>
    <row r="282" spans="1:23" ht="14.45" hidden="1" customHeight="1">
      <c r="A282" s="258">
        <v>1</v>
      </c>
      <c r="B282" s="276" t="s">
        <v>536</v>
      </c>
      <c r="C282" s="278" t="s">
        <v>544</v>
      </c>
      <c r="D282" s="277" t="s">
        <v>550</v>
      </c>
      <c r="E282" s="277" t="s">
        <v>537</v>
      </c>
      <c r="F282" s="261"/>
      <c r="G282" s="262"/>
      <c r="H282" s="262"/>
      <c r="I282" s="260" t="s">
        <v>442</v>
      </c>
      <c r="J282" s="278" t="s">
        <v>443</v>
      </c>
      <c r="K282" s="285" t="s">
        <v>580</v>
      </c>
      <c r="L282" s="277" t="s">
        <v>540</v>
      </c>
      <c r="M282" s="263"/>
      <c r="N282" s="263"/>
      <c r="O282" s="264">
        <v>1000</v>
      </c>
      <c r="P282" s="264">
        <v>1200</v>
      </c>
      <c r="Q282" s="265">
        <v>1</v>
      </c>
      <c r="R282" s="30">
        <f>MBQ[[#This Row],[HEIGHT (mm)]]*MBQ[[#This Row],[QTY TOTAL]]/1000</f>
        <v>1</v>
      </c>
      <c r="S282" s="30">
        <f>MBQ[[#This Row],[WIDTH (mm)]]*MBQ[[#This Row],[QTY TOTAL]]/1000</f>
        <v>1.2</v>
      </c>
      <c r="T282" s="9">
        <f>(MBQ[[#This Row],[HEIGHT (mm)]]+MBQ[[#This Row],[WIDTH (mm)]])/1000*2*MBQ[[#This Row],[QTY TOTAL]]</f>
        <v>4.4000000000000004</v>
      </c>
      <c r="U282" s="266">
        <f>MBQ[[#This Row],[MULTIPLIER]]*MBQ[[#This Row],[QTY]]</f>
        <v>1</v>
      </c>
      <c r="V282" s="9">
        <f>MBQ[[#This Row],[HEIGHT (mm)]]/1000*MBQ[[#This Row],[WIDTH (mm)]]/1000*MBQ[[#This Row],[QTY TOTAL]]</f>
        <v>1.2</v>
      </c>
      <c r="W282" s="287">
        <f>ROUNDUP(MBQ[[#This Row],[HEIGHT (mm)]]/450*MBQ[[#This Row],[QTY]]*2,0)+ROUNDUP(MBQ[[#This Row],[WIDTH (mm)]]/450*MBQ[[#This Row],[QTY]]*2,0)</f>
        <v>11</v>
      </c>
    </row>
    <row r="283" spans="1:23" hidden="1">
      <c r="A283" s="258">
        <v>1</v>
      </c>
      <c r="B283" s="276" t="s">
        <v>536</v>
      </c>
      <c r="C283" s="278" t="s">
        <v>544</v>
      </c>
      <c r="D283" s="277" t="s">
        <v>550</v>
      </c>
      <c r="E283" s="277" t="s">
        <v>537</v>
      </c>
      <c r="F283" s="261"/>
      <c r="G283" s="262"/>
      <c r="H283" s="262"/>
      <c r="I283" s="260" t="s">
        <v>442</v>
      </c>
      <c r="J283" s="278" t="s">
        <v>443</v>
      </c>
      <c r="K283" s="285" t="s">
        <v>580</v>
      </c>
      <c r="L283" s="277" t="s">
        <v>540</v>
      </c>
      <c r="M283" s="263"/>
      <c r="N283" s="263"/>
      <c r="O283" s="264">
        <v>1300</v>
      </c>
      <c r="P283" s="264">
        <v>1200</v>
      </c>
      <c r="Q283" s="265">
        <v>1</v>
      </c>
      <c r="R283" s="30">
        <f>MBQ[[#This Row],[HEIGHT (mm)]]*MBQ[[#This Row],[QTY TOTAL]]/1000</f>
        <v>1.3</v>
      </c>
      <c r="S283" s="30">
        <f>MBQ[[#This Row],[WIDTH (mm)]]*MBQ[[#This Row],[QTY TOTAL]]/1000</f>
        <v>1.2</v>
      </c>
      <c r="T283" s="9">
        <f>(MBQ[[#This Row],[HEIGHT (mm)]]+MBQ[[#This Row],[WIDTH (mm)]])/1000*2*MBQ[[#This Row],[QTY TOTAL]]</f>
        <v>5</v>
      </c>
      <c r="U283" s="266">
        <f>MBQ[[#This Row],[MULTIPLIER]]*MBQ[[#This Row],[QTY]]</f>
        <v>1</v>
      </c>
      <c r="V283" s="9">
        <f>MBQ[[#This Row],[HEIGHT (mm)]]/1000*MBQ[[#This Row],[WIDTH (mm)]]/1000*MBQ[[#This Row],[QTY TOTAL]]</f>
        <v>1.56</v>
      </c>
      <c r="W283" s="287">
        <f>ROUNDUP(MBQ[[#This Row],[HEIGHT (mm)]]/450*MBQ[[#This Row],[QTY]]*2,0)+ROUNDUP(MBQ[[#This Row],[WIDTH (mm)]]/450*MBQ[[#This Row],[QTY]]*2,0)</f>
        <v>12</v>
      </c>
    </row>
    <row r="284" spans="1:23" ht="14.45" hidden="1" customHeight="1">
      <c r="A284" s="258">
        <v>1</v>
      </c>
      <c r="B284" s="276" t="s">
        <v>536</v>
      </c>
      <c r="C284" s="278" t="s">
        <v>544</v>
      </c>
      <c r="D284" s="277" t="s">
        <v>550</v>
      </c>
      <c r="E284" s="277" t="s">
        <v>537</v>
      </c>
      <c r="F284" s="261"/>
      <c r="G284" s="262"/>
      <c r="H284" s="262"/>
      <c r="I284" s="260" t="s">
        <v>442</v>
      </c>
      <c r="J284" s="278" t="s">
        <v>443</v>
      </c>
      <c r="K284" s="285" t="s">
        <v>580</v>
      </c>
      <c r="L284" s="277" t="s">
        <v>541</v>
      </c>
      <c r="M284" s="263"/>
      <c r="N284" s="263"/>
      <c r="O284" s="264">
        <v>1700</v>
      </c>
      <c r="P284" s="264">
        <v>1200</v>
      </c>
      <c r="Q284" s="265">
        <v>1</v>
      </c>
      <c r="R284" s="30">
        <f>MBQ[[#This Row],[HEIGHT (mm)]]*MBQ[[#This Row],[QTY TOTAL]]/1000</f>
        <v>1.7</v>
      </c>
      <c r="S284" s="30">
        <f>MBQ[[#This Row],[WIDTH (mm)]]*MBQ[[#This Row],[QTY TOTAL]]/1000</f>
        <v>1.2</v>
      </c>
      <c r="T284" s="9">
        <f>(MBQ[[#This Row],[HEIGHT (mm)]]+MBQ[[#This Row],[WIDTH (mm)]])/1000*2*MBQ[[#This Row],[QTY TOTAL]]</f>
        <v>5.8</v>
      </c>
      <c r="U284" s="266">
        <f>MBQ[[#This Row],[MULTIPLIER]]*MBQ[[#This Row],[QTY]]</f>
        <v>1</v>
      </c>
      <c r="V284" s="9">
        <f>MBQ[[#This Row],[HEIGHT (mm)]]/1000*MBQ[[#This Row],[WIDTH (mm)]]/1000*MBQ[[#This Row],[QTY TOTAL]]</f>
        <v>2.04</v>
      </c>
      <c r="W284" s="287">
        <f>ROUNDUP(MBQ[[#This Row],[HEIGHT (mm)]]/450*MBQ[[#This Row],[QTY]]*2,0)+ROUNDUP(MBQ[[#This Row],[WIDTH (mm)]]/450*MBQ[[#This Row],[QTY]]*2,0)</f>
        <v>14</v>
      </c>
    </row>
    <row r="285" spans="1:23" ht="14.45" hidden="1" customHeight="1">
      <c r="A285" s="258">
        <v>1</v>
      </c>
      <c r="B285" s="276" t="s">
        <v>536</v>
      </c>
      <c r="C285" s="278" t="s">
        <v>544</v>
      </c>
      <c r="D285" s="277" t="s">
        <v>550</v>
      </c>
      <c r="E285" s="277" t="s">
        <v>537</v>
      </c>
      <c r="F285" s="261"/>
      <c r="G285" s="262"/>
      <c r="H285" s="262"/>
      <c r="I285" s="260" t="s">
        <v>442</v>
      </c>
      <c r="J285" s="278" t="s">
        <v>443</v>
      </c>
      <c r="K285" s="285" t="s">
        <v>580</v>
      </c>
      <c r="L285" s="277" t="s">
        <v>540</v>
      </c>
      <c r="M285" s="263"/>
      <c r="N285" s="263"/>
      <c r="O285" s="264">
        <v>1000</v>
      </c>
      <c r="P285" s="264">
        <v>1200</v>
      </c>
      <c r="Q285" s="265">
        <v>1</v>
      </c>
      <c r="R285" s="30">
        <f>MBQ[[#This Row],[HEIGHT (mm)]]*MBQ[[#This Row],[QTY TOTAL]]/1000</f>
        <v>1</v>
      </c>
      <c r="S285" s="30">
        <f>MBQ[[#This Row],[WIDTH (mm)]]*MBQ[[#This Row],[QTY TOTAL]]/1000</f>
        <v>1.2</v>
      </c>
      <c r="T285" s="9">
        <f>(MBQ[[#This Row],[HEIGHT (mm)]]+MBQ[[#This Row],[WIDTH (mm)]])/1000*2*MBQ[[#This Row],[QTY TOTAL]]</f>
        <v>4.4000000000000004</v>
      </c>
      <c r="U285" s="266">
        <f>MBQ[[#This Row],[MULTIPLIER]]*MBQ[[#This Row],[QTY]]</f>
        <v>1</v>
      </c>
      <c r="V285" s="9">
        <f>MBQ[[#This Row],[HEIGHT (mm)]]/1000*MBQ[[#This Row],[WIDTH (mm)]]/1000*MBQ[[#This Row],[QTY TOTAL]]</f>
        <v>1.2</v>
      </c>
      <c r="W285" s="287">
        <f>ROUNDUP(MBQ[[#This Row],[HEIGHT (mm)]]/450*MBQ[[#This Row],[QTY]]*2,0)+ROUNDUP(MBQ[[#This Row],[WIDTH (mm)]]/450*MBQ[[#This Row],[QTY]]*2,0)</f>
        <v>11</v>
      </c>
    </row>
    <row r="286" spans="1:23" hidden="1">
      <c r="A286" s="258">
        <v>1</v>
      </c>
      <c r="B286" s="276" t="s">
        <v>536</v>
      </c>
      <c r="C286" s="278" t="s">
        <v>544</v>
      </c>
      <c r="D286" s="277" t="s">
        <v>550</v>
      </c>
      <c r="E286" s="277" t="s">
        <v>537</v>
      </c>
      <c r="F286" s="261"/>
      <c r="G286" s="262"/>
      <c r="H286" s="262"/>
      <c r="I286" s="260" t="s">
        <v>442</v>
      </c>
      <c r="J286" s="278" t="s">
        <v>443</v>
      </c>
      <c r="K286" s="285" t="s">
        <v>580</v>
      </c>
      <c r="L286" s="277" t="s">
        <v>540</v>
      </c>
      <c r="M286" s="263"/>
      <c r="N286" s="263"/>
      <c r="O286" s="264">
        <v>1300</v>
      </c>
      <c r="P286" s="264">
        <v>1200</v>
      </c>
      <c r="Q286" s="265">
        <v>1</v>
      </c>
      <c r="R286" s="30">
        <f>MBQ[[#This Row],[HEIGHT (mm)]]*MBQ[[#This Row],[QTY TOTAL]]/1000</f>
        <v>1.3</v>
      </c>
      <c r="S286" s="30">
        <f>MBQ[[#This Row],[WIDTH (mm)]]*MBQ[[#This Row],[QTY TOTAL]]/1000</f>
        <v>1.2</v>
      </c>
      <c r="T286" s="9">
        <f>(MBQ[[#This Row],[HEIGHT (mm)]]+MBQ[[#This Row],[WIDTH (mm)]])/1000*2*MBQ[[#This Row],[QTY TOTAL]]</f>
        <v>5</v>
      </c>
      <c r="U286" s="266">
        <f>MBQ[[#This Row],[MULTIPLIER]]*MBQ[[#This Row],[QTY]]</f>
        <v>1</v>
      </c>
      <c r="V286" s="9">
        <f>MBQ[[#This Row],[HEIGHT (mm)]]/1000*MBQ[[#This Row],[WIDTH (mm)]]/1000*MBQ[[#This Row],[QTY TOTAL]]</f>
        <v>1.56</v>
      </c>
      <c r="W286" s="287">
        <f>ROUNDUP(MBQ[[#This Row],[HEIGHT (mm)]]/450*MBQ[[#This Row],[QTY]]*2,0)+ROUNDUP(MBQ[[#This Row],[WIDTH (mm)]]/450*MBQ[[#This Row],[QTY]]*2,0)</f>
        <v>12</v>
      </c>
    </row>
    <row r="287" spans="1:23" ht="14.45" hidden="1" customHeight="1">
      <c r="A287" s="258">
        <v>1</v>
      </c>
      <c r="B287" s="276" t="s">
        <v>536</v>
      </c>
      <c r="C287" s="278" t="s">
        <v>544</v>
      </c>
      <c r="D287" s="277" t="s">
        <v>550</v>
      </c>
      <c r="E287" s="277" t="s">
        <v>537</v>
      </c>
      <c r="F287" s="261"/>
      <c r="G287" s="262"/>
      <c r="H287" s="262"/>
      <c r="I287" s="260" t="s">
        <v>442</v>
      </c>
      <c r="J287" s="278" t="s">
        <v>443</v>
      </c>
      <c r="K287" s="285" t="s">
        <v>580</v>
      </c>
      <c r="L287" s="277" t="s">
        <v>541</v>
      </c>
      <c r="M287" s="263"/>
      <c r="N287" s="263"/>
      <c r="O287" s="264">
        <v>1700</v>
      </c>
      <c r="P287" s="264">
        <v>1200</v>
      </c>
      <c r="Q287" s="265">
        <v>1</v>
      </c>
      <c r="R287" s="30">
        <f>MBQ[[#This Row],[HEIGHT (mm)]]*MBQ[[#This Row],[QTY TOTAL]]/1000</f>
        <v>1.7</v>
      </c>
      <c r="S287" s="30">
        <f>MBQ[[#This Row],[WIDTH (mm)]]*MBQ[[#This Row],[QTY TOTAL]]/1000</f>
        <v>1.2</v>
      </c>
      <c r="T287" s="9">
        <f>(MBQ[[#This Row],[HEIGHT (mm)]]+MBQ[[#This Row],[WIDTH (mm)]])/1000*2*MBQ[[#This Row],[QTY TOTAL]]</f>
        <v>5.8</v>
      </c>
      <c r="U287" s="266">
        <f>MBQ[[#This Row],[MULTIPLIER]]*MBQ[[#This Row],[QTY]]</f>
        <v>1</v>
      </c>
      <c r="V287" s="9">
        <f>MBQ[[#This Row],[HEIGHT (mm)]]/1000*MBQ[[#This Row],[WIDTH (mm)]]/1000*MBQ[[#This Row],[QTY TOTAL]]</f>
        <v>2.04</v>
      </c>
      <c r="W287" s="287">
        <f>ROUNDUP(MBQ[[#This Row],[HEIGHT (mm)]]/450*MBQ[[#This Row],[QTY]]*2,0)+ROUNDUP(MBQ[[#This Row],[WIDTH (mm)]]/450*MBQ[[#This Row],[QTY]]*2,0)</f>
        <v>14</v>
      </c>
    </row>
    <row r="288" spans="1:23" ht="14.45" hidden="1" customHeight="1">
      <c r="A288" s="258">
        <v>1</v>
      </c>
      <c r="B288" s="276" t="s">
        <v>536</v>
      </c>
      <c r="C288" s="278" t="s">
        <v>544</v>
      </c>
      <c r="D288" s="277" t="s">
        <v>550</v>
      </c>
      <c r="E288" s="277" t="s">
        <v>537</v>
      </c>
      <c r="F288" s="261"/>
      <c r="G288" s="262"/>
      <c r="H288" s="262"/>
      <c r="I288" s="260" t="s">
        <v>442</v>
      </c>
      <c r="J288" s="278" t="s">
        <v>443</v>
      </c>
      <c r="K288" s="285" t="s">
        <v>580</v>
      </c>
      <c r="L288" s="277" t="s">
        <v>540</v>
      </c>
      <c r="M288" s="263"/>
      <c r="N288" s="263"/>
      <c r="O288" s="264">
        <v>1000</v>
      </c>
      <c r="P288" s="264">
        <v>1200</v>
      </c>
      <c r="Q288" s="265">
        <v>1</v>
      </c>
      <c r="R288" s="30">
        <f>MBQ[[#This Row],[HEIGHT (mm)]]*MBQ[[#This Row],[QTY TOTAL]]/1000</f>
        <v>1</v>
      </c>
      <c r="S288" s="30">
        <f>MBQ[[#This Row],[WIDTH (mm)]]*MBQ[[#This Row],[QTY TOTAL]]/1000</f>
        <v>1.2</v>
      </c>
      <c r="T288" s="9">
        <f>(MBQ[[#This Row],[HEIGHT (mm)]]+MBQ[[#This Row],[WIDTH (mm)]])/1000*2*MBQ[[#This Row],[QTY TOTAL]]</f>
        <v>4.4000000000000004</v>
      </c>
      <c r="U288" s="266">
        <f>MBQ[[#This Row],[MULTIPLIER]]*MBQ[[#This Row],[QTY]]</f>
        <v>1</v>
      </c>
      <c r="V288" s="9">
        <f>MBQ[[#This Row],[HEIGHT (mm)]]/1000*MBQ[[#This Row],[WIDTH (mm)]]/1000*MBQ[[#This Row],[QTY TOTAL]]</f>
        <v>1.2</v>
      </c>
      <c r="W288" s="287">
        <f>ROUNDUP(MBQ[[#This Row],[HEIGHT (mm)]]/450*MBQ[[#This Row],[QTY]]*2,0)+ROUNDUP(MBQ[[#This Row],[WIDTH (mm)]]/450*MBQ[[#This Row],[QTY]]*2,0)</f>
        <v>11</v>
      </c>
    </row>
    <row r="289" spans="1:23" hidden="1">
      <c r="A289" s="258">
        <v>1</v>
      </c>
      <c r="B289" s="276" t="s">
        <v>536</v>
      </c>
      <c r="C289" s="278" t="s">
        <v>544</v>
      </c>
      <c r="D289" s="277" t="s">
        <v>550</v>
      </c>
      <c r="E289" s="277" t="s">
        <v>537</v>
      </c>
      <c r="F289" s="261"/>
      <c r="G289" s="262"/>
      <c r="H289" s="262"/>
      <c r="I289" s="260" t="s">
        <v>442</v>
      </c>
      <c r="J289" s="278" t="s">
        <v>443</v>
      </c>
      <c r="K289" s="285" t="s">
        <v>580</v>
      </c>
      <c r="L289" s="277" t="s">
        <v>540</v>
      </c>
      <c r="M289" s="263"/>
      <c r="N289" s="263"/>
      <c r="O289" s="264">
        <v>1300</v>
      </c>
      <c r="P289" s="264">
        <v>1200</v>
      </c>
      <c r="Q289" s="265">
        <v>1</v>
      </c>
      <c r="R289" s="30">
        <f>MBQ[[#This Row],[HEIGHT (mm)]]*MBQ[[#This Row],[QTY TOTAL]]/1000</f>
        <v>1.3</v>
      </c>
      <c r="S289" s="30">
        <f>MBQ[[#This Row],[WIDTH (mm)]]*MBQ[[#This Row],[QTY TOTAL]]/1000</f>
        <v>1.2</v>
      </c>
      <c r="T289" s="9">
        <f>(MBQ[[#This Row],[HEIGHT (mm)]]+MBQ[[#This Row],[WIDTH (mm)]])/1000*2*MBQ[[#This Row],[QTY TOTAL]]</f>
        <v>5</v>
      </c>
      <c r="U289" s="266">
        <f>MBQ[[#This Row],[MULTIPLIER]]*MBQ[[#This Row],[QTY]]</f>
        <v>1</v>
      </c>
      <c r="V289" s="9">
        <f>MBQ[[#This Row],[HEIGHT (mm)]]/1000*MBQ[[#This Row],[WIDTH (mm)]]/1000*MBQ[[#This Row],[QTY TOTAL]]</f>
        <v>1.56</v>
      </c>
      <c r="W289" s="287">
        <f>ROUNDUP(MBQ[[#This Row],[HEIGHT (mm)]]/450*MBQ[[#This Row],[QTY]]*2,0)+ROUNDUP(MBQ[[#This Row],[WIDTH (mm)]]/450*MBQ[[#This Row],[QTY]]*2,0)</f>
        <v>12</v>
      </c>
    </row>
    <row r="290" spans="1:23" ht="14.45" hidden="1" customHeight="1">
      <c r="A290" s="258">
        <v>1</v>
      </c>
      <c r="B290" s="276" t="s">
        <v>536</v>
      </c>
      <c r="C290" s="278" t="s">
        <v>544</v>
      </c>
      <c r="D290" s="277" t="s">
        <v>550</v>
      </c>
      <c r="E290" s="277" t="s">
        <v>537</v>
      </c>
      <c r="F290" s="261"/>
      <c r="G290" s="262"/>
      <c r="H290" s="262"/>
      <c r="I290" s="260" t="s">
        <v>442</v>
      </c>
      <c r="J290" s="278" t="s">
        <v>443</v>
      </c>
      <c r="K290" s="285" t="s">
        <v>580</v>
      </c>
      <c r="L290" s="277" t="s">
        <v>541</v>
      </c>
      <c r="M290" s="263"/>
      <c r="N290" s="263"/>
      <c r="O290" s="264">
        <v>1700</v>
      </c>
      <c r="P290" s="264">
        <v>1200</v>
      </c>
      <c r="Q290" s="265">
        <v>1</v>
      </c>
      <c r="R290" s="30">
        <f>MBQ[[#This Row],[HEIGHT (mm)]]*MBQ[[#This Row],[QTY TOTAL]]/1000</f>
        <v>1.7</v>
      </c>
      <c r="S290" s="30">
        <f>MBQ[[#This Row],[WIDTH (mm)]]*MBQ[[#This Row],[QTY TOTAL]]/1000</f>
        <v>1.2</v>
      </c>
      <c r="T290" s="9">
        <f>(MBQ[[#This Row],[HEIGHT (mm)]]+MBQ[[#This Row],[WIDTH (mm)]])/1000*2*MBQ[[#This Row],[QTY TOTAL]]</f>
        <v>5.8</v>
      </c>
      <c r="U290" s="266">
        <f>MBQ[[#This Row],[MULTIPLIER]]*MBQ[[#This Row],[QTY]]</f>
        <v>1</v>
      </c>
      <c r="V290" s="9">
        <f>MBQ[[#This Row],[HEIGHT (mm)]]/1000*MBQ[[#This Row],[WIDTH (mm)]]/1000*MBQ[[#This Row],[QTY TOTAL]]</f>
        <v>2.04</v>
      </c>
      <c r="W290" s="287">
        <f>ROUNDUP(MBQ[[#This Row],[HEIGHT (mm)]]/450*MBQ[[#This Row],[QTY]]*2,0)+ROUNDUP(MBQ[[#This Row],[WIDTH (mm)]]/450*MBQ[[#This Row],[QTY]]*2,0)</f>
        <v>14</v>
      </c>
    </row>
    <row r="291" spans="1:23" ht="14.45" hidden="1" customHeight="1">
      <c r="A291" s="258">
        <v>1</v>
      </c>
      <c r="B291" s="276" t="s">
        <v>536</v>
      </c>
      <c r="C291" s="278" t="s">
        <v>544</v>
      </c>
      <c r="D291" s="277" t="s">
        <v>550</v>
      </c>
      <c r="E291" s="277" t="s">
        <v>537</v>
      </c>
      <c r="F291" s="261"/>
      <c r="G291" s="262"/>
      <c r="H291" s="262"/>
      <c r="I291" s="260" t="s">
        <v>442</v>
      </c>
      <c r="J291" s="278" t="s">
        <v>443</v>
      </c>
      <c r="K291" s="285" t="s">
        <v>580</v>
      </c>
      <c r="L291" s="277" t="s">
        <v>540</v>
      </c>
      <c r="M291" s="263"/>
      <c r="N291" s="263"/>
      <c r="O291" s="264">
        <v>1000</v>
      </c>
      <c r="P291" s="264">
        <v>1200</v>
      </c>
      <c r="Q291" s="265">
        <v>1</v>
      </c>
      <c r="R291" s="30">
        <f>MBQ[[#This Row],[HEIGHT (mm)]]*MBQ[[#This Row],[QTY TOTAL]]/1000</f>
        <v>1</v>
      </c>
      <c r="S291" s="30">
        <f>MBQ[[#This Row],[WIDTH (mm)]]*MBQ[[#This Row],[QTY TOTAL]]/1000</f>
        <v>1.2</v>
      </c>
      <c r="T291" s="9">
        <f>(MBQ[[#This Row],[HEIGHT (mm)]]+MBQ[[#This Row],[WIDTH (mm)]])/1000*2*MBQ[[#This Row],[QTY TOTAL]]</f>
        <v>4.4000000000000004</v>
      </c>
      <c r="U291" s="266">
        <f>MBQ[[#This Row],[MULTIPLIER]]*MBQ[[#This Row],[QTY]]</f>
        <v>1</v>
      </c>
      <c r="V291" s="9">
        <f>MBQ[[#This Row],[HEIGHT (mm)]]/1000*MBQ[[#This Row],[WIDTH (mm)]]/1000*MBQ[[#This Row],[QTY TOTAL]]</f>
        <v>1.2</v>
      </c>
      <c r="W291" s="287">
        <f>ROUNDUP(MBQ[[#This Row],[HEIGHT (mm)]]/450*MBQ[[#This Row],[QTY]]*2,0)+ROUNDUP(MBQ[[#This Row],[WIDTH (mm)]]/450*MBQ[[#This Row],[QTY]]*2,0)</f>
        <v>11</v>
      </c>
    </row>
    <row r="292" spans="1:23" hidden="1">
      <c r="A292" s="258">
        <v>1</v>
      </c>
      <c r="B292" s="276" t="s">
        <v>536</v>
      </c>
      <c r="C292" s="278" t="s">
        <v>544</v>
      </c>
      <c r="D292" s="277" t="s">
        <v>550</v>
      </c>
      <c r="E292" s="277" t="s">
        <v>537</v>
      </c>
      <c r="F292" s="261"/>
      <c r="G292" s="262"/>
      <c r="H292" s="262"/>
      <c r="I292" s="260" t="s">
        <v>442</v>
      </c>
      <c r="J292" s="278" t="s">
        <v>443</v>
      </c>
      <c r="K292" s="285" t="s">
        <v>580</v>
      </c>
      <c r="L292" s="277" t="s">
        <v>540</v>
      </c>
      <c r="M292" s="263"/>
      <c r="N292" s="263"/>
      <c r="O292" s="264">
        <v>1300</v>
      </c>
      <c r="P292" s="264">
        <v>1200</v>
      </c>
      <c r="Q292" s="265">
        <v>1</v>
      </c>
      <c r="R292" s="30">
        <f>MBQ[[#This Row],[HEIGHT (mm)]]*MBQ[[#This Row],[QTY TOTAL]]/1000</f>
        <v>1.3</v>
      </c>
      <c r="S292" s="30">
        <f>MBQ[[#This Row],[WIDTH (mm)]]*MBQ[[#This Row],[QTY TOTAL]]/1000</f>
        <v>1.2</v>
      </c>
      <c r="T292" s="9">
        <f>(MBQ[[#This Row],[HEIGHT (mm)]]+MBQ[[#This Row],[WIDTH (mm)]])/1000*2*MBQ[[#This Row],[QTY TOTAL]]</f>
        <v>5</v>
      </c>
      <c r="U292" s="266">
        <f>MBQ[[#This Row],[MULTIPLIER]]*MBQ[[#This Row],[QTY]]</f>
        <v>1</v>
      </c>
      <c r="V292" s="9">
        <f>MBQ[[#This Row],[HEIGHT (mm)]]/1000*MBQ[[#This Row],[WIDTH (mm)]]/1000*MBQ[[#This Row],[QTY TOTAL]]</f>
        <v>1.56</v>
      </c>
      <c r="W292" s="287">
        <f>ROUNDUP(MBQ[[#This Row],[HEIGHT (mm)]]/450*MBQ[[#This Row],[QTY]]*2,0)+ROUNDUP(MBQ[[#This Row],[WIDTH (mm)]]/450*MBQ[[#This Row],[QTY]]*2,0)</f>
        <v>12</v>
      </c>
    </row>
    <row r="293" spans="1:23" ht="14.45" hidden="1" customHeight="1">
      <c r="A293" s="258">
        <v>1</v>
      </c>
      <c r="B293" s="276" t="s">
        <v>536</v>
      </c>
      <c r="C293" s="278" t="s">
        <v>544</v>
      </c>
      <c r="D293" s="277" t="s">
        <v>550</v>
      </c>
      <c r="E293" s="277" t="s">
        <v>537</v>
      </c>
      <c r="F293" s="261"/>
      <c r="G293" s="262"/>
      <c r="H293" s="262"/>
      <c r="I293" s="260" t="s">
        <v>442</v>
      </c>
      <c r="J293" s="278" t="s">
        <v>443</v>
      </c>
      <c r="K293" s="285" t="s">
        <v>580</v>
      </c>
      <c r="L293" s="277" t="s">
        <v>541</v>
      </c>
      <c r="M293" s="263"/>
      <c r="N293" s="263"/>
      <c r="O293" s="264">
        <v>1700</v>
      </c>
      <c r="P293" s="264">
        <v>1200</v>
      </c>
      <c r="Q293" s="265">
        <v>1</v>
      </c>
      <c r="R293" s="30">
        <f>MBQ[[#This Row],[HEIGHT (mm)]]*MBQ[[#This Row],[QTY TOTAL]]/1000</f>
        <v>1.7</v>
      </c>
      <c r="S293" s="30">
        <f>MBQ[[#This Row],[WIDTH (mm)]]*MBQ[[#This Row],[QTY TOTAL]]/1000</f>
        <v>1.2</v>
      </c>
      <c r="T293" s="9">
        <f>(MBQ[[#This Row],[HEIGHT (mm)]]+MBQ[[#This Row],[WIDTH (mm)]])/1000*2*MBQ[[#This Row],[QTY TOTAL]]</f>
        <v>5.8</v>
      </c>
      <c r="U293" s="266">
        <f>MBQ[[#This Row],[MULTIPLIER]]*MBQ[[#This Row],[QTY]]</f>
        <v>1</v>
      </c>
      <c r="V293" s="9">
        <f>MBQ[[#This Row],[HEIGHT (mm)]]/1000*MBQ[[#This Row],[WIDTH (mm)]]/1000*MBQ[[#This Row],[QTY TOTAL]]</f>
        <v>2.04</v>
      </c>
      <c r="W293" s="287">
        <f>ROUNDUP(MBQ[[#This Row],[HEIGHT (mm)]]/450*MBQ[[#This Row],[QTY]]*2,0)+ROUNDUP(MBQ[[#This Row],[WIDTH (mm)]]/450*MBQ[[#This Row],[QTY]]*2,0)</f>
        <v>14</v>
      </c>
    </row>
    <row r="294" spans="1:23" ht="14.45" hidden="1" customHeight="1">
      <c r="A294" s="258">
        <v>1</v>
      </c>
      <c r="B294" s="276" t="s">
        <v>536</v>
      </c>
      <c r="C294" s="278" t="s">
        <v>544</v>
      </c>
      <c r="D294" s="277" t="s">
        <v>550</v>
      </c>
      <c r="E294" s="277" t="s">
        <v>537</v>
      </c>
      <c r="F294" s="261"/>
      <c r="G294" s="262"/>
      <c r="H294" s="262"/>
      <c r="I294" s="260" t="s">
        <v>442</v>
      </c>
      <c r="J294" s="278" t="s">
        <v>443</v>
      </c>
      <c r="K294" s="285" t="s">
        <v>580</v>
      </c>
      <c r="L294" s="277" t="s">
        <v>540</v>
      </c>
      <c r="M294" s="263"/>
      <c r="N294" s="263"/>
      <c r="O294" s="264">
        <v>1000</v>
      </c>
      <c r="P294" s="264">
        <v>1200</v>
      </c>
      <c r="Q294" s="265">
        <v>1</v>
      </c>
      <c r="R294" s="30">
        <f>MBQ[[#This Row],[HEIGHT (mm)]]*MBQ[[#This Row],[QTY TOTAL]]/1000</f>
        <v>1</v>
      </c>
      <c r="S294" s="30">
        <f>MBQ[[#This Row],[WIDTH (mm)]]*MBQ[[#This Row],[QTY TOTAL]]/1000</f>
        <v>1.2</v>
      </c>
      <c r="T294" s="9">
        <f>(MBQ[[#This Row],[HEIGHT (mm)]]+MBQ[[#This Row],[WIDTH (mm)]])/1000*2*MBQ[[#This Row],[QTY TOTAL]]</f>
        <v>4.4000000000000004</v>
      </c>
      <c r="U294" s="266">
        <f>MBQ[[#This Row],[MULTIPLIER]]*MBQ[[#This Row],[QTY]]</f>
        <v>1</v>
      </c>
      <c r="V294" s="9">
        <f>MBQ[[#This Row],[HEIGHT (mm)]]/1000*MBQ[[#This Row],[WIDTH (mm)]]/1000*MBQ[[#This Row],[QTY TOTAL]]</f>
        <v>1.2</v>
      </c>
      <c r="W294" s="287">
        <f>ROUNDUP(MBQ[[#This Row],[HEIGHT (mm)]]/450*MBQ[[#This Row],[QTY]]*2,0)+ROUNDUP(MBQ[[#This Row],[WIDTH (mm)]]/450*MBQ[[#This Row],[QTY]]*2,0)</f>
        <v>11</v>
      </c>
    </row>
    <row r="295" spans="1:23" hidden="1">
      <c r="A295" s="258">
        <v>1</v>
      </c>
      <c r="B295" s="276" t="s">
        <v>536</v>
      </c>
      <c r="C295" s="278" t="s">
        <v>544</v>
      </c>
      <c r="D295" s="277" t="s">
        <v>550</v>
      </c>
      <c r="E295" s="277" t="s">
        <v>537</v>
      </c>
      <c r="F295" s="261"/>
      <c r="G295" s="262"/>
      <c r="H295" s="262"/>
      <c r="I295" s="260" t="s">
        <v>442</v>
      </c>
      <c r="J295" s="278" t="s">
        <v>443</v>
      </c>
      <c r="K295" s="285" t="s">
        <v>580</v>
      </c>
      <c r="L295" s="277" t="s">
        <v>540</v>
      </c>
      <c r="M295" s="263"/>
      <c r="N295" s="263"/>
      <c r="O295" s="264">
        <v>1300</v>
      </c>
      <c r="P295" s="264">
        <v>1200</v>
      </c>
      <c r="Q295" s="265">
        <v>1</v>
      </c>
      <c r="R295" s="30">
        <f>MBQ[[#This Row],[HEIGHT (mm)]]*MBQ[[#This Row],[QTY TOTAL]]/1000</f>
        <v>1.3</v>
      </c>
      <c r="S295" s="30">
        <f>MBQ[[#This Row],[WIDTH (mm)]]*MBQ[[#This Row],[QTY TOTAL]]/1000</f>
        <v>1.2</v>
      </c>
      <c r="T295" s="9">
        <f>(MBQ[[#This Row],[HEIGHT (mm)]]+MBQ[[#This Row],[WIDTH (mm)]])/1000*2*MBQ[[#This Row],[QTY TOTAL]]</f>
        <v>5</v>
      </c>
      <c r="U295" s="266">
        <f>MBQ[[#This Row],[MULTIPLIER]]*MBQ[[#This Row],[QTY]]</f>
        <v>1</v>
      </c>
      <c r="V295" s="9">
        <f>MBQ[[#This Row],[HEIGHT (mm)]]/1000*MBQ[[#This Row],[WIDTH (mm)]]/1000*MBQ[[#This Row],[QTY TOTAL]]</f>
        <v>1.56</v>
      </c>
      <c r="W295" s="287">
        <f>ROUNDUP(MBQ[[#This Row],[HEIGHT (mm)]]/450*MBQ[[#This Row],[QTY]]*2,0)+ROUNDUP(MBQ[[#This Row],[WIDTH (mm)]]/450*MBQ[[#This Row],[QTY]]*2,0)</f>
        <v>12</v>
      </c>
    </row>
    <row r="296" spans="1:23" ht="14.45" hidden="1" customHeight="1">
      <c r="A296" s="258">
        <v>1</v>
      </c>
      <c r="B296" s="276" t="s">
        <v>536</v>
      </c>
      <c r="C296" s="278" t="s">
        <v>544</v>
      </c>
      <c r="D296" s="277" t="s">
        <v>550</v>
      </c>
      <c r="E296" s="277" t="s">
        <v>537</v>
      </c>
      <c r="F296" s="261"/>
      <c r="G296" s="262"/>
      <c r="H296" s="262"/>
      <c r="I296" s="260" t="s">
        <v>442</v>
      </c>
      <c r="J296" s="278" t="s">
        <v>443</v>
      </c>
      <c r="K296" s="285" t="s">
        <v>580</v>
      </c>
      <c r="L296" s="277" t="s">
        <v>541</v>
      </c>
      <c r="M296" s="263"/>
      <c r="N296" s="263"/>
      <c r="O296" s="264">
        <v>1700</v>
      </c>
      <c r="P296" s="264">
        <v>1200</v>
      </c>
      <c r="Q296" s="265">
        <v>1</v>
      </c>
      <c r="R296" s="30">
        <f>MBQ[[#This Row],[HEIGHT (mm)]]*MBQ[[#This Row],[QTY TOTAL]]/1000</f>
        <v>1.7</v>
      </c>
      <c r="S296" s="30">
        <f>MBQ[[#This Row],[WIDTH (mm)]]*MBQ[[#This Row],[QTY TOTAL]]/1000</f>
        <v>1.2</v>
      </c>
      <c r="T296" s="9">
        <f>(MBQ[[#This Row],[HEIGHT (mm)]]+MBQ[[#This Row],[WIDTH (mm)]])/1000*2*MBQ[[#This Row],[QTY TOTAL]]</f>
        <v>5.8</v>
      </c>
      <c r="U296" s="266">
        <f>MBQ[[#This Row],[MULTIPLIER]]*MBQ[[#This Row],[QTY]]</f>
        <v>1</v>
      </c>
      <c r="V296" s="9">
        <f>MBQ[[#This Row],[HEIGHT (mm)]]/1000*MBQ[[#This Row],[WIDTH (mm)]]/1000*MBQ[[#This Row],[QTY TOTAL]]</f>
        <v>2.04</v>
      </c>
      <c r="W296" s="287">
        <f>ROUNDUP(MBQ[[#This Row],[HEIGHT (mm)]]/450*MBQ[[#This Row],[QTY]]*2,0)+ROUNDUP(MBQ[[#This Row],[WIDTH (mm)]]/450*MBQ[[#This Row],[QTY]]*2,0)</f>
        <v>14</v>
      </c>
    </row>
    <row r="297" spans="1:23" ht="14.45" hidden="1" customHeight="1">
      <c r="A297" s="258">
        <v>1</v>
      </c>
      <c r="B297" s="276" t="s">
        <v>536</v>
      </c>
      <c r="C297" s="278" t="s">
        <v>544</v>
      </c>
      <c r="D297" s="277" t="s">
        <v>550</v>
      </c>
      <c r="E297" s="277" t="s">
        <v>537</v>
      </c>
      <c r="F297" s="261"/>
      <c r="G297" s="262"/>
      <c r="H297" s="262"/>
      <c r="I297" s="260" t="s">
        <v>442</v>
      </c>
      <c r="J297" s="278" t="s">
        <v>443</v>
      </c>
      <c r="K297" s="285" t="s">
        <v>580</v>
      </c>
      <c r="L297" s="277" t="s">
        <v>540</v>
      </c>
      <c r="M297" s="263"/>
      <c r="N297" s="263"/>
      <c r="O297" s="264">
        <v>1000</v>
      </c>
      <c r="P297" s="264">
        <v>1200</v>
      </c>
      <c r="Q297" s="265">
        <v>1</v>
      </c>
      <c r="R297" s="30">
        <f>MBQ[[#This Row],[HEIGHT (mm)]]*MBQ[[#This Row],[QTY TOTAL]]/1000</f>
        <v>1</v>
      </c>
      <c r="S297" s="30">
        <f>MBQ[[#This Row],[WIDTH (mm)]]*MBQ[[#This Row],[QTY TOTAL]]/1000</f>
        <v>1.2</v>
      </c>
      <c r="T297" s="9">
        <f>(MBQ[[#This Row],[HEIGHT (mm)]]+MBQ[[#This Row],[WIDTH (mm)]])/1000*2*MBQ[[#This Row],[QTY TOTAL]]</f>
        <v>4.4000000000000004</v>
      </c>
      <c r="U297" s="266">
        <f>MBQ[[#This Row],[MULTIPLIER]]*MBQ[[#This Row],[QTY]]</f>
        <v>1</v>
      </c>
      <c r="V297" s="9">
        <f>MBQ[[#This Row],[HEIGHT (mm)]]/1000*MBQ[[#This Row],[WIDTH (mm)]]/1000*MBQ[[#This Row],[QTY TOTAL]]</f>
        <v>1.2</v>
      </c>
      <c r="W297" s="287">
        <f>ROUNDUP(MBQ[[#This Row],[HEIGHT (mm)]]/450*MBQ[[#This Row],[QTY]]*2,0)+ROUNDUP(MBQ[[#This Row],[WIDTH (mm)]]/450*MBQ[[#This Row],[QTY]]*2,0)</f>
        <v>11</v>
      </c>
    </row>
    <row r="298" spans="1:23" hidden="1">
      <c r="A298" s="258">
        <v>1</v>
      </c>
      <c r="B298" s="276" t="s">
        <v>536</v>
      </c>
      <c r="C298" s="278" t="s">
        <v>544</v>
      </c>
      <c r="D298" s="277" t="s">
        <v>550</v>
      </c>
      <c r="E298" s="277" t="s">
        <v>537</v>
      </c>
      <c r="F298" s="261"/>
      <c r="G298" s="262"/>
      <c r="H298" s="262"/>
      <c r="I298" s="260" t="s">
        <v>442</v>
      </c>
      <c r="J298" s="278" t="s">
        <v>443</v>
      </c>
      <c r="K298" s="285" t="s">
        <v>580</v>
      </c>
      <c r="L298" s="277" t="s">
        <v>540</v>
      </c>
      <c r="M298" s="263"/>
      <c r="N298" s="263"/>
      <c r="O298" s="264">
        <v>1300</v>
      </c>
      <c r="P298" s="264">
        <v>1200</v>
      </c>
      <c r="Q298" s="265">
        <v>1</v>
      </c>
      <c r="R298" s="30">
        <f>MBQ[[#This Row],[HEIGHT (mm)]]*MBQ[[#This Row],[QTY TOTAL]]/1000</f>
        <v>1.3</v>
      </c>
      <c r="S298" s="30">
        <f>MBQ[[#This Row],[WIDTH (mm)]]*MBQ[[#This Row],[QTY TOTAL]]/1000</f>
        <v>1.2</v>
      </c>
      <c r="T298" s="9">
        <f>(MBQ[[#This Row],[HEIGHT (mm)]]+MBQ[[#This Row],[WIDTH (mm)]])/1000*2*MBQ[[#This Row],[QTY TOTAL]]</f>
        <v>5</v>
      </c>
      <c r="U298" s="266">
        <f>MBQ[[#This Row],[MULTIPLIER]]*MBQ[[#This Row],[QTY]]</f>
        <v>1</v>
      </c>
      <c r="V298" s="9">
        <f>MBQ[[#This Row],[HEIGHT (mm)]]/1000*MBQ[[#This Row],[WIDTH (mm)]]/1000*MBQ[[#This Row],[QTY TOTAL]]</f>
        <v>1.56</v>
      </c>
      <c r="W298" s="287">
        <f>ROUNDUP(MBQ[[#This Row],[HEIGHT (mm)]]/450*MBQ[[#This Row],[QTY]]*2,0)+ROUNDUP(MBQ[[#This Row],[WIDTH (mm)]]/450*MBQ[[#This Row],[QTY]]*2,0)</f>
        <v>12</v>
      </c>
    </row>
    <row r="299" spans="1:23" ht="14.45" hidden="1" customHeight="1">
      <c r="A299" s="258">
        <v>1</v>
      </c>
      <c r="B299" s="276" t="s">
        <v>536</v>
      </c>
      <c r="C299" s="278" t="s">
        <v>544</v>
      </c>
      <c r="D299" s="277" t="s">
        <v>550</v>
      </c>
      <c r="E299" s="277" t="s">
        <v>537</v>
      </c>
      <c r="F299" s="261"/>
      <c r="G299" s="262"/>
      <c r="H299" s="262"/>
      <c r="I299" s="260" t="s">
        <v>442</v>
      </c>
      <c r="J299" s="278" t="s">
        <v>443</v>
      </c>
      <c r="K299" s="285" t="s">
        <v>580</v>
      </c>
      <c r="L299" s="277" t="s">
        <v>541</v>
      </c>
      <c r="M299" s="263"/>
      <c r="N299" s="263"/>
      <c r="O299" s="264">
        <v>1700</v>
      </c>
      <c r="P299" s="264">
        <v>1200</v>
      </c>
      <c r="Q299" s="265">
        <v>1</v>
      </c>
      <c r="R299" s="30">
        <f>MBQ[[#This Row],[HEIGHT (mm)]]*MBQ[[#This Row],[QTY TOTAL]]/1000</f>
        <v>1.7</v>
      </c>
      <c r="S299" s="30">
        <f>MBQ[[#This Row],[WIDTH (mm)]]*MBQ[[#This Row],[QTY TOTAL]]/1000</f>
        <v>1.2</v>
      </c>
      <c r="T299" s="9">
        <f>(MBQ[[#This Row],[HEIGHT (mm)]]+MBQ[[#This Row],[WIDTH (mm)]])/1000*2*MBQ[[#This Row],[QTY TOTAL]]</f>
        <v>5.8</v>
      </c>
      <c r="U299" s="266">
        <f>MBQ[[#This Row],[MULTIPLIER]]*MBQ[[#This Row],[QTY]]</f>
        <v>1</v>
      </c>
      <c r="V299" s="9">
        <f>MBQ[[#This Row],[HEIGHT (mm)]]/1000*MBQ[[#This Row],[WIDTH (mm)]]/1000*MBQ[[#This Row],[QTY TOTAL]]</f>
        <v>2.04</v>
      </c>
      <c r="W299" s="287">
        <f>ROUNDUP(MBQ[[#This Row],[HEIGHT (mm)]]/450*MBQ[[#This Row],[QTY]]*2,0)+ROUNDUP(MBQ[[#This Row],[WIDTH (mm)]]/450*MBQ[[#This Row],[QTY]]*2,0)</f>
        <v>14</v>
      </c>
    </row>
    <row r="300" spans="1:23" ht="14.45" hidden="1" customHeight="1">
      <c r="A300" s="258">
        <v>1</v>
      </c>
      <c r="B300" s="276" t="s">
        <v>536</v>
      </c>
      <c r="C300" s="278" t="s">
        <v>544</v>
      </c>
      <c r="D300" s="277" t="s">
        <v>550</v>
      </c>
      <c r="E300" s="277" t="s">
        <v>537</v>
      </c>
      <c r="F300" s="261"/>
      <c r="G300" s="262"/>
      <c r="H300" s="262"/>
      <c r="I300" s="260" t="s">
        <v>442</v>
      </c>
      <c r="J300" s="278" t="s">
        <v>443</v>
      </c>
      <c r="K300" s="285" t="s">
        <v>580</v>
      </c>
      <c r="L300" s="277" t="s">
        <v>540</v>
      </c>
      <c r="M300" s="263"/>
      <c r="N300" s="263"/>
      <c r="O300" s="264">
        <v>1000</v>
      </c>
      <c r="P300" s="264">
        <v>1200</v>
      </c>
      <c r="Q300" s="265">
        <v>1</v>
      </c>
      <c r="R300" s="30">
        <f>MBQ[[#This Row],[HEIGHT (mm)]]*MBQ[[#This Row],[QTY TOTAL]]/1000</f>
        <v>1</v>
      </c>
      <c r="S300" s="30">
        <f>MBQ[[#This Row],[WIDTH (mm)]]*MBQ[[#This Row],[QTY TOTAL]]/1000</f>
        <v>1.2</v>
      </c>
      <c r="T300" s="9">
        <f>(MBQ[[#This Row],[HEIGHT (mm)]]+MBQ[[#This Row],[WIDTH (mm)]])/1000*2*MBQ[[#This Row],[QTY TOTAL]]</f>
        <v>4.4000000000000004</v>
      </c>
      <c r="U300" s="266">
        <f>MBQ[[#This Row],[MULTIPLIER]]*MBQ[[#This Row],[QTY]]</f>
        <v>1</v>
      </c>
      <c r="V300" s="9">
        <f>MBQ[[#This Row],[HEIGHT (mm)]]/1000*MBQ[[#This Row],[WIDTH (mm)]]/1000*MBQ[[#This Row],[QTY TOTAL]]</f>
        <v>1.2</v>
      </c>
      <c r="W300" s="287">
        <f>ROUNDUP(MBQ[[#This Row],[HEIGHT (mm)]]/450*MBQ[[#This Row],[QTY]]*2,0)+ROUNDUP(MBQ[[#This Row],[WIDTH (mm)]]/450*MBQ[[#This Row],[QTY]]*2,0)</f>
        <v>11</v>
      </c>
    </row>
    <row r="301" spans="1:23" hidden="1">
      <c r="A301" s="258">
        <v>1</v>
      </c>
      <c r="B301" s="276" t="s">
        <v>536</v>
      </c>
      <c r="C301" s="278" t="s">
        <v>544</v>
      </c>
      <c r="D301" s="277" t="s">
        <v>550</v>
      </c>
      <c r="E301" s="277" t="s">
        <v>537</v>
      </c>
      <c r="F301" s="261"/>
      <c r="G301" s="262"/>
      <c r="H301" s="262"/>
      <c r="I301" s="260" t="s">
        <v>442</v>
      </c>
      <c r="J301" s="278" t="s">
        <v>443</v>
      </c>
      <c r="K301" s="285" t="s">
        <v>580</v>
      </c>
      <c r="L301" s="277" t="s">
        <v>540</v>
      </c>
      <c r="M301" s="263"/>
      <c r="N301" s="263"/>
      <c r="O301" s="264">
        <v>1300</v>
      </c>
      <c r="P301" s="264">
        <v>1200</v>
      </c>
      <c r="Q301" s="265">
        <v>1</v>
      </c>
      <c r="R301" s="30">
        <f>MBQ[[#This Row],[HEIGHT (mm)]]*MBQ[[#This Row],[QTY TOTAL]]/1000</f>
        <v>1.3</v>
      </c>
      <c r="S301" s="30">
        <f>MBQ[[#This Row],[WIDTH (mm)]]*MBQ[[#This Row],[QTY TOTAL]]/1000</f>
        <v>1.2</v>
      </c>
      <c r="T301" s="9">
        <f>(MBQ[[#This Row],[HEIGHT (mm)]]+MBQ[[#This Row],[WIDTH (mm)]])/1000*2*MBQ[[#This Row],[QTY TOTAL]]</f>
        <v>5</v>
      </c>
      <c r="U301" s="266">
        <f>MBQ[[#This Row],[MULTIPLIER]]*MBQ[[#This Row],[QTY]]</f>
        <v>1</v>
      </c>
      <c r="V301" s="9">
        <f>MBQ[[#This Row],[HEIGHT (mm)]]/1000*MBQ[[#This Row],[WIDTH (mm)]]/1000*MBQ[[#This Row],[QTY TOTAL]]</f>
        <v>1.56</v>
      </c>
      <c r="W301" s="287">
        <f>ROUNDUP(MBQ[[#This Row],[HEIGHT (mm)]]/450*MBQ[[#This Row],[QTY]]*2,0)+ROUNDUP(MBQ[[#This Row],[WIDTH (mm)]]/450*MBQ[[#This Row],[QTY]]*2,0)</f>
        <v>12</v>
      </c>
    </row>
    <row r="302" spans="1:23" ht="14.45" hidden="1" customHeight="1">
      <c r="A302" s="258">
        <v>1</v>
      </c>
      <c r="B302" s="276" t="s">
        <v>536</v>
      </c>
      <c r="C302" s="278" t="s">
        <v>544</v>
      </c>
      <c r="D302" s="277" t="s">
        <v>550</v>
      </c>
      <c r="E302" s="277" t="s">
        <v>537</v>
      </c>
      <c r="F302" s="261"/>
      <c r="G302" s="262"/>
      <c r="H302" s="262"/>
      <c r="I302" s="260" t="s">
        <v>442</v>
      </c>
      <c r="J302" s="278" t="s">
        <v>443</v>
      </c>
      <c r="K302" s="285" t="s">
        <v>580</v>
      </c>
      <c r="L302" s="277" t="s">
        <v>541</v>
      </c>
      <c r="M302" s="263"/>
      <c r="N302" s="263"/>
      <c r="O302" s="264">
        <v>1700</v>
      </c>
      <c r="P302" s="264">
        <v>1200</v>
      </c>
      <c r="Q302" s="265">
        <v>1</v>
      </c>
      <c r="R302" s="30">
        <f>MBQ[[#This Row],[HEIGHT (mm)]]*MBQ[[#This Row],[QTY TOTAL]]/1000</f>
        <v>1.7</v>
      </c>
      <c r="S302" s="30">
        <f>MBQ[[#This Row],[WIDTH (mm)]]*MBQ[[#This Row],[QTY TOTAL]]/1000</f>
        <v>1.2</v>
      </c>
      <c r="T302" s="9">
        <f>(MBQ[[#This Row],[HEIGHT (mm)]]+MBQ[[#This Row],[WIDTH (mm)]])/1000*2*MBQ[[#This Row],[QTY TOTAL]]</f>
        <v>5.8</v>
      </c>
      <c r="U302" s="266">
        <f>MBQ[[#This Row],[MULTIPLIER]]*MBQ[[#This Row],[QTY]]</f>
        <v>1</v>
      </c>
      <c r="V302" s="9">
        <f>MBQ[[#This Row],[HEIGHT (mm)]]/1000*MBQ[[#This Row],[WIDTH (mm)]]/1000*MBQ[[#This Row],[QTY TOTAL]]</f>
        <v>2.04</v>
      </c>
      <c r="W302" s="287">
        <f>ROUNDUP(MBQ[[#This Row],[HEIGHT (mm)]]/450*MBQ[[#This Row],[QTY]]*2,0)+ROUNDUP(MBQ[[#This Row],[WIDTH (mm)]]/450*MBQ[[#This Row],[QTY]]*2,0)</f>
        <v>14</v>
      </c>
    </row>
    <row r="303" spans="1:23" ht="14.45" hidden="1" customHeight="1">
      <c r="A303" s="258">
        <v>1</v>
      </c>
      <c r="B303" s="276" t="s">
        <v>536</v>
      </c>
      <c r="C303" s="278" t="s">
        <v>544</v>
      </c>
      <c r="D303" s="277" t="s">
        <v>550</v>
      </c>
      <c r="E303" s="277" t="s">
        <v>537</v>
      </c>
      <c r="F303" s="261"/>
      <c r="G303" s="262"/>
      <c r="H303" s="262"/>
      <c r="I303" s="260" t="s">
        <v>442</v>
      </c>
      <c r="J303" s="278" t="s">
        <v>443</v>
      </c>
      <c r="K303" s="285" t="s">
        <v>580</v>
      </c>
      <c r="L303" s="277" t="s">
        <v>540</v>
      </c>
      <c r="M303" s="263"/>
      <c r="N303" s="263"/>
      <c r="O303" s="264">
        <v>1000</v>
      </c>
      <c r="P303" s="264">
        <v>1200</v>
      </c>
      <c r="Q303" s="265">
        <v>1</v>
      </c>
      <c r="R303" s="30">
        <f>MBQ[[#This Row],[HEIGHT (mm)]]*MBQ[[#This Row],[QTY TOTAL]]/1000</f>
        <v>1</v>
      </c>
      <c r="S303" s="30">
        <f>MBQ[[#This Row],[WIDTH (mm)]]*MBQ[[#This Row],[QTY TOTAL]]/1000</f>
        <v>1.2</v>
      </c>
      <c r="T303" s="9">
        <f>(MBQ[[#This Row],[HEIGHT (mm)]]+MBQ[[#This Row],[WIDTH (mm)]])/1000*2*MBQ[[#This Row],[QTY TOTAL]]</f>
        <v>4.4000000000000004</v>
      </c>
      <c r="U303" s="266">
        <f>MBQ[[#This Row],[MULTIPLIER]]*MBQ[[#This Row],[QTY]]</f>
        <v>1</v>
      </c>
      <c r="V303" s="9">
        <f>MBQ[[#This Row],[HEIGHT (mm)]]/1000*MBQ[[#This Row],[WIDTH (mm)]]/1000*MBQ[[#This Row],[QTY TOTAL]]</f>
        <v>1.2</v>
      </c>
      <c r="W303" s="287">
        <f>ROUNDUP(MBQ[[#This Row],[HEIGHT (mm)]]/450*MBQ[[#This Row],[QTY]]*2,0)+ROUNDUP(MBQ[[#This Row],[WIDTH (mm)]]/450*MBQ[[#This Row],[QTY]]*2,0)</f>
        <v>11</v>
      </c>
    </row>
    <row r="304" spans="1:23" hidden="1">
      <c r="A304" s="258">
        <v>1</v>
      </c>
      <c r="B304" s="276" t="s">
        <v>536</v>
      </c>
      <c r="C304" s="278" t="s">
        <v>554</v>
      </c>
      <c r="D304" s="277" t="s">
        <v>551</v>
      </c>
      <c r="E304" s="277" t="s">
        <v>537</v>
      </c>
      <c r="F304" s="261"/>
      <c r="G304" s="262"/>
      <c r="H304" s="262"/>
      <c r="I304" s="260" t="s">
        <v>441</v>
      </c>
      <c r="J304" s="263"/>
      <c r="K304" s="285" t="s">
        <v>580</v>
      </c>
      <c r="L304" s="260"/>
      <c r="M304" s="263"/>
      <c r="N304" s="263"/>
      <c r="O304" s="264">
        <v>8000</v>
      </c>
      <c r="P304" s="264">
        <v>10800</v>
      </c>
      <c r="Q304" s="265">
        <v>1</v>
      </c>
      <c r="R304" s="30">
        <f>MBQ[[#This Row],[HEIGHT (mm)]]*MBQ[[#This Row],[QTY TOTAL]]/1000</f>
        <v>8</v>
      </c>
      <c r="S304" s="30">
        <f>MBQ[[#This Row],[WIDTH (mm)]]*MBQ[[#This Row],[QTY TOTAL]]/1000</f>
        <v>10.8</v>
      </c>
      <c r="T304" s="9">
        <f>(MBQ[[#This Row],[HEIGHT (mm)]]+MBQ[[#This Row],[WIDTH (mm)]])/1000*2*MBQ[[#This Row],[QTY TOTAL]]</f>
        <v>37.6</v>
      </c>
      <c r="U304" s="266">
        <f>MBQ[[#This Row],[MULTIPLIER]]*MBQ[[#This Row],[QTY]]</f>
        <v>1</v>
      </c>
      <c r="V304" s="9">
        <f>MBQ[[#This Row],[HEIGHT (mm)]]/1000*MBQ[[#This Row],[WIDTH (mm)]]/1000*MBQ[[#This Row],[QTY TOTAL]]</f>
        <v>86.4</v>
      </c>
      <c r="W304" s="287">
        <f>ROUNDUP(MBQ[[#This Row],[HEIGHT (mm)]]/450*MBQ[[#This Row],[QTY]]*2,0)+ROUNDUP(MBQ[[#This Row],[WIDTH (mm)]]/450*MBQ[[#This Row],[QTY]]*2,0)</f>
        <v>84</v>
      </c>
    </row>
    <row r="305" spans="1:23" ht="14.45" customHeight="1">
      <c r="A305" s="258">
        <v>1</v>
      </c>
      <c r="B305" s="286" t="s">
        <v>535</v>
      </c>
      <c r="C305" s="278" t="s">
        <v>554</v>
      </c>
      <c r="D305" s="277" t="s">
        <v>551</v>
      </c>
      <c r="E305" s="277" t="s">
        <v>537</v>
      </c>
      <c r="F305" s="261"/>
      <c r="G305" s="262"/>
      <c r="H305" s="262"/>
      <c r="I305" s="260" t="s">
        <v>439</v>
      </c>
      <c r="J305" s="278" t="s">
        <v>538</v>
      </c>
      <c r="K305" s="285" t="s">
        <v>580</v>
      </c>
      <c r="L305" s="277" t="s">
        <v>539</v>
      </c>
      <c r="M305" s="263"/>
      <c r="N305" s="263"/>
      <c r="O305" s="264">
        <v>4000</v>
      </c>
      <c r="P305" s="264">
        <v>1200</v>
      </c>
      <c r="Q305" s="265">
        <v>1</v>
      </c>
      <c r="R305" s="30">
        <f>MBQ[[#This Row],[HEIGHT (mm)]]*MBQ[[#This Row],[QTY TOTAL]]/1000</f>
        <v>4</v>
      </c>
      <c r="S305" s="30">
        <f>MBQ[[#This Row],[WIDTH (mm)]]*MBQ[[#This Row],[QTY TOTAL]]/1000</f>
        <v>1.2</v>
      </c>
      <c r="T305" s="9">
        <f>(MBQ[[#This Row],[HEIGHT (mm)]]+MBQ[[#This Row],[WIDTH (mm)]])/1000*2*MBQ[[#This Row],[QTY TOTAL]]</f>
        <v>10.4</v>
      </c>
      <c r="U305" s="266">
        <f>MBQ[[#This Row],[MULTIPLIER]]*MBQ[[#This Row],[QTY]]</f>
        <v>1</v>
      </c>
      <c r="V305" s="9">
        <f>MBQ[[#This Row],[HEIGHT (mm)]]/1000*MBQ[[#This Row],[WIDTH (mm)]]/1000*MBQ[[#This Row],[QTY TOTAL]]</f>
        <v>4.8</v>
      </c>
      <c r="W305" s="287">
        <f>ROUNDUP(MBQ[[#This Row],[HEIGHT (mm)]]/450*MBQ[[#This Row],[QTY]]*2,0)+ROUNDUP(MBQ[[#This Row],[WIDTH (mm)]]/450*MBQ[[#This Row],[QTY]]*2,0)</f>
        <v>24</v>
      </c>
    </row>
    <row r="306" spans="1:23" ht="30">
      <c r="A306" s="258">
        <v>1</v>
      </c>
      <c r="B306" s="286" t="s">
        <v>535</v>
      </c>
      <c r="C306" s="278" t="s">
        <v>554</v>
      </c>
      <c r="D306" s="277" t="s">
        <v>551</v>
      </c>
      <c r="E306" s="277" t="s">
        <v>537</v>
      </c>
      <c r="F306" s="261"/>
      <c r="G306" s="262"/>
      <c r="H306" s="262"/>
      <c r="I306" s="260" t="s">
        <v>439</v>
      </c>
      <c r="J306" s="278" t="s">
        <v>538</v>
      </c>
      <c r="K306" s="285" t="s">
        <v>580</v>
      </c>
      <c r="L306" s="277" t="s">
        <v>539</v>
      </c>
      <c r="M306" s="263"/>
      <c r="N306" s="263"/>
      <c r="O306" s="264">
        <v>4000</v>
      </c>
      <c r="P306" s="264">
        <v>1200</v>
      </c>
      <c r="Q306" s="265">
        <v>1</v>
      </c>
      <c r="R306" s="30">
        <f>MBQ[[#This Row],[HEIGHT (mm)]]*MBQ[[#This Row],[QTY TOTAL]]/1000</f>
        <v>4</v>
      </c>
      <c r="S306" s="30">
        <f>MBQ[[#This Row],[WIDTH (mm)]]*MBQ[[#This Row],[QTY TOTAL]]/1000</f>
        <v>1.2</v>
      </c>
      <c r="T306" s="9">
        <f>(MBQ[[#This Row],[HEIGHT (mm)]]+MBQ[[#This Row],[WIDTH (mm)]])/1000*2*MBQ[[#This Row],[QTY TOTAL]]</f>
        <v>10.4</v>
      </c>
      <c r="U306" s="266">
        <f>MBQ[[#This Row],[MULTIPLIER]]*MBQ[[#This Row],[QTY]]</f>
        <v>1</v>
      </c>
      <c r="V306" s="9">
        <f>MBQ[[#This Row],[HEIGHT (mm)]]/1000*MBQ[[#This Row],[WIDTH (mm)]]/1000*MBQ[[#This Row],[QTY TOTAL]]</f>
        <v>4.8</v>
      </c>
      <c r="W306" s="287">
        <f>ROUNDUP(MBQ[[#This Row],[HEIGHT (mm)]]/450*MBQ[[#This Row],[QTY]]*2,0)+ROUNDUP(MBQ[[#This Row],[WIDTH (mm)]]/450*MBQ[[#This Row],[QTY]]*2,0)</f>
        <v>24</v>
      </c>
    </row>
    <row r="307" spans="1:23" ht="14.45" customHeight="1">
      <c r="A307" s="258">
        <v>1</v>
      </c>
      <c r="B307" s="286" t="s">
        <v>535</v>
      </c>
      <c r="C307" s="278" t="s">
        <v>554</v>
      </c>
      <c r="D307" s="277" t="s">
        <v>551</v>
      </c>
      <c r="E307" s="277" t="s">
        <v>537</v>
      </c>
      <c r="F307" s="261"/>
      <c r="G307" s="262"/>
      <c r="H307" s="262"/>
      <c r="I307" s="260" t="s">
        <v>439</v>
      </c>
      <c r="J307" s="278" t="s">
        <v>538</v>
      </c>
      <c r="K307" s="285" t="s">
        <v>580</v>
      </c>
      <c r="L307" s="277" t="s">
        <v>539</v>
      </c>
      <c r="M307" s="263"/>
      <c r="N307" s="263"/>
      <c r="O307" s="264">
        <v>4000</v>
      </c>
      <c r="P307" s="264">
        <v>1200</v>
      </c>
      <c r="Q307" s="265">
        <v>1</v>
      </c>
      <c r="R307" s="30">
        <f>MBQ[[#This Row],[HEIGHT (mm)]]*MBQ[[#This Row],[QTY TOTAL]]/1000</f>
        <v>4</v>
      </c>
      <c r="S307" s="30">
        <f>MBQ[[#This Row],[WIDTH (mm)]]*MBQ[[#This Row],[QTY TOTAL]]/1000</f>
        <v>1.2</v>
      </c>
      <c r="T307" s="9">
        <f>(MBQ[[#This Row],[HEIGHT (mm)]]+MBQ[[#This Row],[WIDTH (mm)]])/1000*2*MBQ[[#This Row],[QTY TOTAL]]</f>
        <v>10.4</v>
      </c>
      <c r="U307" s="266">
        <f>MBQ[[#This Row],[MULTIPLIER]]*MBQ[[#This Row],[QTY]]</f>
        <v>1</v>
      </c>
      <c r="V307" s="9">
        <f>MBQ[[#This Row],[HEIGHT (mm)]]/1000*MBQ[[#This Row],[WIDTH (mm)]]/1000*MBQ[[#This Row],[QTY TOTAL]]</f>
        <v>4.8</v>
      </c>
      <c r="W307" s="287">
        <f>ROUNDUP(MBQ[[#This Row],[HEIGHT (mm)]]/450*MBQ[[#This Row],[QTY]]*2,0)+ROUNDUP(MBQ[[#This Row],[WIDTH (mm)]]/450*MBQ[[#This Row],[QTY]]*2,0)</f>
        <v>24</v>
      </c>
    </row>
    <row r="308" spans="1:23" ht="14.45" customHeight="1">
      <c r="A308" s="258">
        <v>1</v>
      </c>
      <c r="B308" s="286" t="s">
        <v>535</v>
      </c>
      <c r="C308" s="278" t="s">
        <v>554</v>
      </c>
      <c r="D308" s="277" t="s">
        <v>551</v>
      </c>
      <c r="E308" s="277" t="s">
        <v>537</v>
      </c>
      <c r="F308" s="261"/>
      <c r="G308" s="262"/>
      <c r="H308" s="262"/>
      <c r="I308" s="260" t="s">
        <v>439</v>
      </c>
      <c r="J308" s="278" t="s">
        <v>538</v>
      </c>
      <c r="K308" s="285" t="s">
        <v>580</v>
      </c>
      <c r="L308" s="277" t="s">
        <v>539</v>
      </c>
      <c r="M308" s="263"/>
      <c r="N308" s="263"/>
      <c r="O308" s="264">
        <v>4000</v>
      </c>
      <c r="P308" s="264">
        <v>1200</v>
      </c>
      <c r="Q308" s="265">
        <v>1</v>
      </c>
      <c r="R308" s="30">
        <f>MBQ[[#This Row],[HEIGHT (mm)]]*MBQ[[#This Row],[QTY TOTAL]]/1000</f>
        <v>4</v>
      </c>
      <c r="S308" s="30">
        <f>MBQ[[#This Row],[WIDTH (mm)]]*MBQ[[#This Row],[QTY TOTAL]]/1000</f>
        <v>1.2</v>
      </c>
      <c r="T308" s="9">
        <f>(MBQ[[#This Row],[HEIGHT (mm)]]+MBQ[[#This Row],[WIDTH (mm)]])/1000*2*MBQ[[#This Row],[QTY TOTAL]]</f>
        <v>10.4</v>
      </c>
      <c r="U308" s="266">
        <f>MBQ[[#This Row],[MULTIPLIER]]*MBQ[[#This Row],[QTY]]</f>
        <v>1</v>
      </c>
      <c r="V308" s="9">
        <f>MBQ[[#This Row],[HEIGHT (mm)]]/1000*MBQ[[#This Row],[WIDTH (mm)]]/1000*MBQ[[#This Row],[QTY TOTAL]]</f>
        <v>4.8</v>
      </c>
      <c r="W308" s="287">
        <f>ROUNDUP(MBQ[[#This Row],[HEIGHT (mm)]]/450*MBQ[[#This Row],[QTY]]*2,0)+ROUNDUP(MBQ[[#This Row],[WIDTH (mm)]]/450*MBQ[[#This Row],[QTY]]*2,0)</f>
        <v>24</v>
      </c>
    </row>
    <row r="309" spans="1:23" ht="30">
      <c r="A309" s="258">
        <v>1</v>
      </c>
      <c r="B309" s="286" t="s">
        <v>535</v>
      </c>
      <c r="C309" s="278" t="s">
        <v>554</v>
      </c>
      <c r="D309" s="277" t="s">
        <v>551</v>
      </c>
      <c r="E309" s="277" t="s">
        <v>537</v>
      </c>
      <c r="F309" s="261"/>
      <c r="G309" s="262"/>
      <c r="H309" s="262"/>
      <c r="I309" s="260" t="s">
        <v>439</v>
      </c>
      <c r="J309" s="278" t="s">
        <v>538</v>
      </c>
      <c r="K309" s="285" t="s">
        <v>580</v>
      </c>
      <c r="L309" s="277" t="s">
        <v>539</v>
      </c>
      <c r="M309" s="263"/>
      <c r="N309" s="263"/>
      <c r="O309" s="264">
        <v>4000</v>
      </c>
      <c r="P309" s="264">
        <v>1200</v>
      </c>
      <c r="Q309" s="265">
        <v>1</v>
      </c>
      <c r="R309" s="30">
        <f>MBQ[[#This Row],[HEIGHT (mm)]]*MBQ[[#This Row],[QTY TOTAL]]/1000</f>
        <v>4</v>
      </c>
      <c r="S309" s="30">
        <f>MBQ[[#This Row],[WIDTH (mm)]]*MBQ[[#This Row],[QTY TOTAL]]/1000</f>
        <v>1.2</v>
      </c>
      <c r="T309" s="9">
        <f>(MBQ[[#This Row],[HEIGHT (mm)]]+MBQ[[#This Row],[WIDTH (mm)]])/1000*2*MBQ[[#This Row],[QTY TOTAL]]</f>
        <v>10.4</v>
      </c>
      <c r="U309" s="266">
        <f>MBQ[[#This Row],[MULTIPLIER]]*MBQ[[#This Row],[QTY]]</f>
        <v>1</v>
      </c>
      <c r="V309" s="9">
        <f>MBQ[[#This Row],[HEIGHT (mm)]]/1000*MBQ[[#This Row],[WIDTH (mm)]]/1000*MBQ[[#This Row],[QTY TOTAL]]</f>
        <v>4.8</v>
      </c>
      <c r="W309" s="287">
        <f>ROUNDUP(MBQ[[#This Row],[HEIGHT (mm)]]/450*MBQ[[#This Row],[QTY]]*2,0)+ROUNDUP(MBQ[[#This Row],[WIDTH (mm)]]/450*MBQ[[#This Row],[QTY]]*2,0)</f>
        <v>24</v>
      </c>
    </row>
    <row r="310" spans="1:23" ht="14.45" customHeight="1">
      <c r="A310" s="258">
        <v>1</v>
      </c>
      <c r="B310" s="286" t="s">
        <v>535</v>
      </c>
      <c r="C310" s="278" t="s">
        <v>554</v>
      </c>
      <c r="D310" s="277" t="s">
        <v>551</v>
      </c>
      <c r="E310" s="277" t="s">
        <v>537</v>
      </c>
      <c r="F310" s="261"/>
      <c r="G310" s="262"/>
      <c r="H310" s="262"/>
      <c r="I310" s="260" t="s">
        <v>439</v>
      </c>
      <c r="J310" s="278" t="s">
        <v>538</v>
      </c>
      <c r="K310" s="285" t="s">
        <v>580</v>
      </c>
      <c r="L310" s="277" t="s">
        <v>539</v>
      </c>
      <c r="M310" s="263"/>
      <c r="N310" s="263"/>
      <c r="O310" s="264">
        <v>4000</v>
      </c>
      <c r="P310" s="264">
        <v>1200</v>
      </c>
      <c r="Q310" s="265">
        <v>1</v>
      </c>
      <c r="R310" s="30">
        <f>MBQ[[#This Row],[HEIGHT (mm)]]*MBQ[[#This Row],[QTY TOTAL]]/1000</f>
        <v>4</v>
      </c>
      <c r="S310" s="30">
        <f>MBQ[[#This Row],[WIDTH (mm)]]*MBQ[[#This Row],[QTY TOTAL]]/1000</f>
        <v>1.2</v>
      </c>
      <c r="T310" s="9">
        <f>(MBQ[[#This Row],[HEIGHT (mm)]]+MBQ[[#This Row],[WIDTH (mm)]])/1000*2*MBQ[[#This Row],[QTY TOTAL]]</f>
        <v>10.4</v>
      </c>
      <c r="U310" s="266">
        <f>MBQ[[#This Row],[MULTIPLIER]]*MBQ[[#This Row],[QTY]]</f>
        <v>1</v>
      </c>
      <c r="V310" s="9">
        <f>MBQ[[#This Row],[HEIGHT (mm)]]/1000*MBQ[[#This Row],[WIDTH (mm)]]/1000*MBQ[[#This Row],[QTY TOTAL]]</f>
        <v>4.8</v>
      </c>
      <c r="W310" s="287">
        <f>ROUNDUP(MBQ[[#This Row],[HEIGHT (mm)]]/450*MBQ[[#This Row],[QTY]]*2,0)+ROUNDUP(MBQ[[#This Row],[WIDTH (mm)]]/450*MBQ[[#This Row],[QTY]]*2,0)</f>
        <v>24</v>
      </c>
    </row>
    <row r="311" spans="1:23" ht="14.45" customHeight="1">
      <c r="A311" s="258">
        <v>1</v>
      </c>
      <c r="B311" s="286" t="s">
        <v>535</v>
      </c>
      <c r="C311" s="278" t="s">
        <v>554</v>
      </c>
      <c r="D311" s="277" t="s">
        <v>551</v>
      </c>
      <c r="E311" s="277" t="s">
        <v>537</v>
      </c>
      <c r="F311" s="261"/>
      <c r="G311" s="262"/>
      <c r="H311" s="262"/>
      <c r="I311" s="260" t="s">
        <v>439</v>
      </c>
      <c r="J311" s="278" t="s">
        <v>538</v>
      </c>
      <c r="K311" s="285" t="s">
        <v>580</v>
      </c>
      <c r="L311" s="277" t="s">
        <v>539</v>
      </c>
      <c r="M311" s="263"/>
      <c r="N311" s="263"/>
      <c r="O311" s="264">
        <v>4000</v>
      </c>
      <c r="P311" s="264">
        <v>1200</v>
      </c>
      <c r="Q311" s="265">
        <v>1</v>
      </c>
      <c r="R311" s="30">
        <f>MBQ[[#This Row],[HEIGHT (mm)]]*MBQ[[#This Row],[QTY TOTAL]]/1000</f>
        <v>4</v>
      </c>
      <c r="S311" s="30">
        <f>MBQ[[#This Row],[WIDTH (mm)]]*MBQ[[#This Row],[QTY TOTAL]]/1000</f>
        <v>1.2</v>
      </c>
      <c r="T311" s="9">
        <f>(MBQ[[#This Row],[HEIGHT (mm)]]+MBQ[[#This Row],[WIDTH (mm)]])/1000*2*MBQ[[#This Row],[QTY TOTAL]]</f>
        <v>10.4</v>
      </c>
      <c r="U311" s="266">
        <f>MBQ[[#This Row],[MULTIPLIER]]*MBQ[[#This Row],[QTY]]</f>
        <v>1</v>
      </c>
      <c r="V311" s="9">
        <f>MBQ[[#This Row],[HEIGHT (mm)]]/1000*MBQ[[#This Row],[WIDTH (mm)]]/1000*MBQ[[#This Row],[QTY TOTAL]]</f>
        <v>4.8</v>
      </c>
      <c r="W311" s="287">
        <f>ROUNDUP(MBQ[[#This Row],[HEIGHT (mm)]]/450*MBQ[[#This Row],[QTY]]*2,0)+ROUNDUP(MBQ[[#This Row],[WIDTH (mm)]]/450*MBQ[[#This Row],[QTY]]*2,0)</f>
        <v>24</v>
      </c>
    </row>
    <row r="312" spans="1:23" ht="14.45" customHeight="1">
      <c r="A312" s="258">
        <v>1</v>
      </c>
      <c r="B312" s="286" t="s">
        <v>535</v>
      </c>
      <c r="C312" s="278" t="s">
        <v>554</v>
      </c>
      <c r="D312" s="277" t="s">
        <v>551</v>
      </c>
      <c r="E312" s="277" t="s">
        <v>537</v>
      </c>
      <c r="F312" s="261"/>
      <c r="G312" s="262"/>
      <c r="H312" s="262"/>
      <c r="I312" s="260" t="s">
        <v>439</v>
      </c>
      <c r="J312" s="278" t="s">
        <v>538</v>
      </c>
      <c r="K312" s="285" t="s">
        <v>580</v>
      </c>
      <c r="L312" s="277" t="s">
        <v>539</v>
      </c>
      <c r="M312" s="263"/>
      <c r="N312" s="263"/>
      <c r="O312" s="264">
        <v>4000</v>
      </c>
      <c r="P312" s="264">
        <v>1200</v>
      </c>
      <c r="Q312" s="265">
        <v>1</v>
      </c>
      <c r="R312" s="30">
        <f>MBQ[[#This Row],[HEIGHT (mm)]]*MBQ[[#This Row],[QTY TOTAL]]/1000</f>
        <v>4</v>
      </c>
      <c r="S312" s="30">
        <f>MBQ[[#This Row],[WIDTH (mm)]]*MBQ[[#This Row],[QTY TOTAL]]/1000</f>
        <v>1.2</v>
      </c>
      <c r="T312" s="9">
        <f>(MBQ[[#This Row],[HEIGHT (mm)]]+MBQ[[#This Row],[WIDTH (mm)]])/1000*2*MBQ[[#This Row],[QTY TOTAL]]</f>
        <v>10.4</v>
      </c>
      <c r="U312" s="266">
        <f>MBQ[[#This Row],[MULTIPLIER]]*MBQ[[#This Row],[QTY]]</f>
        <v>1</v>
      </c>
      <c r="V312" s="9">
        <f>MBQ[[#This Row],[HEIGHT (mm)]]/1000*MBQ[[#This Row],[WIDTH (mm)]]/1000*MBQ[[#This Row],[QTY TOTAL]]</f>
        <v>4.8</v>
      </c>
      <c r="W312" s="287">
        <f>ROUNDUP(MBQ[[#This Row],[HEIGHT (mm)]]/450*MBQ[[#This Row],[QTY]]*2,0)+ROUNDUP(MBQ[[#This Row],[WIDTH (mm)]]/450*MBQ[[#This Row],[QTY]]*2,0)</f>
        <v>24</v>
      </c>
    </row>
    <row r="313" spans="1:23" ht="30">
      <c r="A313" s="258">
        <v>1</v>
      </c>
      <c r="B313" s="286" t="s">
        <v>535</v>
      </c>
      <c r="C313" s="278" t="s">
        <v>554</v>
      </c>
      <c r="D313" s="277" t="s">
        <v>551</v>
      </c>
      <c r="E313" s="277" t="s">
        <v>537</v>
      </c>
      <c r="F313" s="261"/>
      <c r="G313" s="262"/>
      <c r="H313" s="262"/>
      <c r="I313" s="260" t="s">
        <v>439</v>
      </c>
      <c r="J313" s="278" t="s">
        <v>538</v>
      </c>
      <c r="K313" s="285" t="s">
        <v>580</v>
      </c>
      <c r="L313" s="277" t="s">
        <v>539</v>
      </c>
      <c r="M313" s="263"/>
      <c r="N313" s="263"/>
      <c r="O313" s="264">
        <v>4000</v>
      </c>
      <c r="P313" s="264">
        <v>1200</v>
      </c>
      <c r="Q313" s="265">
        <v>1</v>
      </c>
      <c r="R313" s="30">
        <f>MBQ[[#This Row],[HEIGHT (mm)]]*MBQ[[#This Row],[QTY TOTAL]]/1000</f>
        <v>4</v>
      </c>
      <c r="S313" s="30">
        <f>MBQ[[#This Row],[WIDTH (mm)]]*MBQ[[#This Row],[QTY TOTAL]]/1000</f>
        <v>1.2</v>
      </c>
      <c r="T313" s="9">
        <f>(MBQ[[#This Row],[HEIGHT (mm)]]+MBQ[[#This Row],[WIDTH (mm)]])/1000*2*MBQ[[#This Row],[QTY TOTAL]]</f>
        <v>10.4</v>
      </c>
      <c r="U313" s="266">
        <f>MBQ[[#This Row],[MULTIPLIER]]*MBQ[[#This Row],[QTY]]</f>
        <v>1</v>
      </c>
      <c r="V313" s="9">
        <f>MBQ[[#This Row],[HEIGHT (mm)]]/1000*MBQ[[#This Row],[WIDTH (mm)]]/1000*MBQ[[#This Row],[QTY TOTAL]]</f>
        <v>4.8</v>
      </c>
      <c r="W313" s="287">
        <f>ROUNDUP(MBQ[[#This Row],[HEIGHT (mm)]]/450*MBQ[[#This Row],[QTY]]*2,0)+ROUNDUP(MBQ[[#This Row],[WIDTH (mm)]]/450*MBQ[[#This Row],[QTY]]*2,0)</f>
        <v>24</v>
      </c>
    </row>
    <row r="314" spans="1:23" ht="14.45" customHeight="1">
      <c r="A314" s="258">
        <v>1</v>
      </c>
      <c r="B314" s="276" t="s">
        <v>536</v>
      </c>
      <c r="C314" s="278" t="s">
        <v>554</v>
      </c>
      <c r="D314" s="277" t="s">
        <v>551</v>
      </c>
      <c r="E314" s="277" t="s">
        <v>537</v>
      </c>
      <c r="F314" s="261"/>
      <c r="G314" s="262"/>
      <c r="H314" s="262"/>
      <c r="I314" s="260" t="s">
        <v>439</v>
      </c>
      <c r="J314" s="278" t="s">
        <v>538</v>
      </c>
      <c r="K314" s="285" t="s">
        <v>580</v>
      </c>
      <c r="L314" s="277" t="s">
        <v>539</v>
      </c>
      <c r="M314" s="263"/>
      <c r="N314" s="263"/>
      <c r="O314" s="264">
        <v>4000</v>
      </c>
      <c r="P314" s="264">
        <v>1200</v>
      </c>
      <c r="Q314" s="265">
        <v>1</v>
      </c>
      <c r="R314" s="30">
        <f>MBQ[[#This Row],[HEIGHT (mm)]]*MBQ[[#This Row],[QTY TOTAL]]/1000</f>
        <v>4</v>
      </c>
      <c r="S314" s="30">
        <f>MBQ[[#This Row],[WIDTH (mm)]]*MBQ[[#This Row],[QTY TOTAL]]/1000</f>
        <v>1.2</v>
      </c>
      <c r="T314" s="9">
        <f>(MBQ[[#This Row],[HEIGHT (mm)]]+MBQ[[#This Row],[WIDTH (mm)]])/1000*2*MBQ[[#This Row],[QTY TOTAL]]</f>
        <v>10.4</v>
      </c>
      <c r="U314" s="266">
        <f>MBQ[[#This Row],[MULTIPLIER]]*MBQ[[#This Row],[QTY]]</f>
        <v>1</v>
      </c>
      <c r="V314" s="9">
        <f>MBQ[[#This Row],[HEIGHT (mm)]]/1000*MBQ[[#This Row],[WIDTH (mm)]]/1000*MBQ[[#This Row],[QTY TOTAL]]</f>
        <v>4.8</v>
      </c>
      <c r="W314" s="287">
        <f>ROUNDUP(MBQ[[#This Row],[HEIGHT (mm)]]/450*MBQ[[#This Row],[QTY]]*2,0)+ROUNDUP(MBQ[[#This Row],[WIDTH (mm)]]/450*MBQ[[#This Row],[QTY]]*2,0)</f>
        <v>24</v>
      </c>
    </row>
    <row r="315" spans="1:23" ht="14.45" customHeight="1">
      <c r="A315" s="258">
        <v>1</v>
      </c>
      <c r="B315" s="276" t="s">
        <v>536</v>
      </c>
      <c r="C315" s="278" t="s">
        <v>554</v>
      </c>
      <c r="D315" s="277" t="s">
        <v>551</v>
      </c>
      <c r="E315" s="277" t="s">
        <v>537</v>
      </c>
      <c r="F315" s="261"/>
      <c r="G315" s="262"/>
      <c r="H315" s="262"/>
      <c r="I315" s="260" t="s">
        <v>439</v>
      </c>
      <c r="J315" s="278" t="s">
        <v>538</v>
      </c>
      <c r="K315" s="285" t="s">
        <v>580</v>
      </c>
      <c r="L315" s="277" t="s">
        <v>539</v>
      </c>
      <c r="M315" s="263"/>
      <c r="N315" s="263"/>
      <c r="O315" s="264">
        <v>4000</v>
      </c>
      <c r="P315" s="264">
        <v>1200</v>
      </c>
      <c r="Q315" s="265">
        <v>1</v>
      </c>
      <c r="R315" s="30">
        <f>MBQ[[#This Row],[HEIGHT (mm)]]*MBQ[[#This Row],[QTY TOTAL]]/1000</f>
        <v>4</v>
      </c>
      <c r="S315" s="30">
        <f>MBQ[[#This Row],[WIDTH (mm)]]*MBQ[[#This Row],[QTY TOTAL]]/1000</f>
        <v>1.2</v>
      </c>
      <c r="T315" s="9">
        <f>(MBQ[[#This Row],[HEIGHT (mm)]]+MBQ[[#This Row],[WIDTH (mm)]])/1000*2*MBQ[[#This Row],[QTY TOTAL]]</f>
        <v>10.4</v>
      </c>
      <c r="U315" s="266">
        <f>MBQ[[#This Row],[MULTIPLIER]]*MBQ[[#This Row],[QTY]]</f>
        <v>1</v>
      </c>
      <c r="V315" s="9">
        <f>MBQ[[#This Row],[HEIGHT (mm)]]/1000*MBQ[[#This Row],[WIDTH (mm)]]/1000*MBQ[[#This Row],[QTY TOTAL]]</f>
        <v>4.8</v>
      </c>
      <c r="W315" s="287">
        <f>ROUNDUP(MBQ[[#This Row],[HEIGHT (mm)]]/450*MBQ[[#This Row],[QTY]]*2,0)+ROUNDUP(MBQ[[#This Row],[WIDTH (mm)]]/450*MBQ[[#This Row],[QTY]]*2,0)</f>
        <v>24</v>
      </c>
    </row>
    <row r="316" spans="1:23" ht="30">
      <c r="A316" s="258">
        <v>1</v>
      </c>
      <c r="B316" s="276" t="s">
        <v>536</v>
      </c>
      <c r="C316" s="278" t="s">
        <v>554</v>
      </c>
      <c r="D316" s="277" t="s">
        <v>551</v>
      </c>
      <c r="E316" s="277" t="s">
        <v>537</v>
      </c>
      <c r="F316" s="261"/>
      <c r="G316" s="262"/>
      <c r="H316" s="262"/>
      <c r="I316" s="260" t="s">
        <v>439</v>
      </c>
      <c r="J316" s="278" t="s">
        <v>538</v>
      </c>
      <c r="K316" s="285" t="s">
        <v>580</v>
      </c>
      <c r="L316" s="277" t="s">
        <v>539</v>
      </c>
      <c r="M316" s="263"/>
      <c r="N316" s="263"/>
      <c r="O316" s="264">
        <v>4000</v>
      </c>
      <c r="P316" s="264">
        <v>1200</v>
      </c>
      <c r="Q316" s="265">
        <v>1</v>
      </c>
      <c r="R316" s="30">
        <f>MBQ[[#This Row],[HEIGHT (mm)]]*MBQ[[#This Row],[QTY TOTAL]]/1000</f>
        <v>4</v>
      </c>
      <c r="S316" s="30">
        <f>MBQ[[#This Row],[WIDTH (mm)]]*MBQ[[#This Row],[QTY TOTAL]]/1000</f>
        <v>1.2</v>
      </c>
      <c r="T316" s="9">
        <f>(MBQ[[#This Row],[HEIGHT (mm)]]+MBQ[[#This Row],[WIDTH (mm)]])/1000*2*MBQ[[#This Row],[QTY TOTAL]]</f>
        <v>10.4</v>
      </c>
      <c r="U316" s="266">
        <f>MBQ[[#This Row],[MULTIPLIER]]*MBQ[[#This Row],[QTY]]</f>
        <v>1</v>
      </c>
      <c r="V316" s="9">
        <f>MBQ[[#This Row],[HEIGHT (mm)]]/1000*MBQ[[#This Row],[WIDTH (mm)]]/1000*MBQ[[#This Row],[QTY TOTAL]]</f>
        <v>4.8</v>
      </c>
      <c r="W316" s="287">
        <f>ROUNDUP(MBQ[[#This Row],[HEIGHT (mm)]]/450*MBQ[[#This Row],[QTY]]*2,0)+ROUNDUP(MBQ[[#This Row],[WIDTH (mm)]]/450*MBQ[[#This Row],[QTY]]*2,0)</f>
        <v>24</v>
      </c>
    </row>
    <row r="317" spans="1:23" ht="30">
      <c r="A317" s="258">
        <v>1</v>
      </c>
      <c r="B317" s="276" t="s">
        <v>536</v>
      </c>
      <c r="C317" s="278" t="s">
        <v>554</v>
      </c>
      <c r="D317" s="277" t="s">
        <v>551</v>
      </c>
      <c r="E317" s="277" t="s">
        <v>537</v>
      </c>
      <c r="F317" s="261"/>
      <c r="G317" s="262"/>
      <c r="H317" s="262"/>
      <c r="I317" s="260" t="s">
        <v>439</v>
      </c>
      <c r="J317" s="278" t="s">
        <v>538</v>
      </c>
      <c r="K317" s="285" t="s">
        <v>580</v>
      </c>
      <c r="L317" s="277" t="s">
        <v>539</v>
      </c>
      <c r="M317" s="263"/>
      <c r="N317" s="263"/>
      <c r="O317" s="264">
        <v>4000</v>
      </c>
      <c r="P317" s="264">
        <v>1200</v>
      </c>
      <c r="Q317" s="265">
        <v>1</v>
      </c>
      <c r="R317" s="30">
        <f>MBQ[[#This Row],[HEIGHT (mm)]]*MBQ[[#This Row],[QTY TOTAL]]/1000</f>
        <v>4</v>
      </c>
      <c r="S317" s="30">
        <f>MBQ[[#This Row],[WIDTH (mm)]]*MBQ[[#This Row],[QTY TOTAL]]/1000</f>
        <v>1.2</v>
      </c>
      <c r="T317" s="9">
        <f>(MBQ[[#This Row],[HEIGHT (mm)]]+MBQ[[#This Row],[WIDTH (mm)]])/1000*2*MBQ[[#This Row],[QTY TOTAL]]</f>
        <v>10.4</v>
      </c>
      <c r="U317" s="266">
        <f>MBQ[[#This Row],[MULTIPLIER]]*MBQ[[#This Row],[QTY]]</f>
        <v>1</v>
      </c>
      <c r="V317" s="9">
        <f>MBQ[[#This Row],[HEIGHT (mm)]]/1000*MBQ[[#This Row],[WIDTH (mm)]]/1000*MBQ[[#This Row],[QTY TOTAL]]</f>
        <v>4.8</v>
      </c>
      <c r="W317" s="287">
        <f>ROUNDUP(MBQ[[#This Row],[HEIGHT (mm)]]/450*MBQ[[#This Row],[QTY]]*2,0)+ROUNDUP(MBQ[[#This Row],[WIDTH (mm)]]/450*MBQ[[#This Row],[QTY]]*2,0)</f>
        <v>24</v>
      </c>
    </row>
    <row r="318" spans="1:23" ht="30">
      <c r="A318" s="258">
        <v>1</v>
      </c>
      <c r="B318" s="276" t="s">
        <v>536</v>
      </c>
      <c r="C318" s="278" t="s">
        <v>554</v>
      </c>
      <c r="D318" s="277" t="s">
        <v>551</v>
      </c>
      <c r="E318" s="277" t="s">
        <v>537</v>
      </c>
      <c r="F318" s="261"/>
      <c r="G318" s="262"/>
      <c r="H318" s="262"/>
      <c r="I318" s="260" t="s">
        <v>439</v>
      </c>
      <c r="J318" s="278" t="s">
        <v>538</v>
      </c>
      <c r="K318" s="285" t="s">
        <v>580</v>
      </c>
      <c r="L318" s="277" t="s">
        <v>539</v>
      </c>
      <c r="M318" s="263"/>
      <c r="N318" s="263"/>
      <c r="O318" s="264">
        <v>4000</v>
      </c>
      <c r="P318" s="264">
        <v>1200</v>
      </c>
      <c r="Q318" s="265">
        <v>1</v>
      </c>
      <c r="R318" s="30">
        <f>MBQ[[#This Row],[HEIGHT (mm)]]*MBQ[[#This Row],[QTY TOTAL]]/1000</f>
        <v>4</v>
      </c>
      <c r="S318" s="30">
        <f>MBQ[[#This Row],[WIDTH (mm)]]*MBQ[[#This Row],[QTY TOTAL]]/1000</f>
        <v>1.2</v>
      </c>
      <c r="T318" s="9">
        <f>(MBQ[[#This Row],[HEIGHT (mm)]]+MBQ[[#This Row],[WIDTH (mm)]])/1000*2*MBQ[[#This Row],[QTY TOTAL]]</f>
        <v>10.4</v>
      </c>
      <c r="U318" s="266">
        <f>MBQ[[#This Row],[MULTIPLIER]]*MBQ[[#This Row],[QTY]]</f>
        <v>1</v>
      </c>
      <c r="V318" s="9">
        <f>MBQ[[#This Row],[HEIGHT (mm)]]/1000*MBQ[[#This Row],[WIDTH (mm)]]/1000*MBQ[[#This Row],[QTY TOTAL]]</f>
        <v>4.8</v>
      </c>
      <c r="W318" s="287">
        <f>ROUNDUP(MBQ[[#This Row],[HEIGHT (mm)]]/450*MBQ[[#This Row],[QTY]]*2,0)+ROUNDUP(MBQ[[#This Row],[WIDTH (mm)]]/450*MBQ[[#This Row],[QTY]]*2,0)</f>
        <v>24</v>
      </c>
    </row>
    <row r="319" spans="1:23" ht="30">
      <c r="A319" s="258">
        <v>1</v>
      </c>
      <c r="B319" s="276" t="s">
        <v>536</v>
      </c>
      <c r="C319" s="278" t="s">
        <v>554</v>
      </c>
      <c r="D319" s="277" t="s">
        <v>551</v>
      </c>
      <c r="E319" s="277" t="s">
        <v>537</v>
      </c>
      <c r="F319" s="261"/>
      <c r="G319" s="262"/>
      <c r="H319" s="262"/>
      <c r="I319" s="260" t="s">
        <v>439</v>
      </c>
      <c r="J319" s="278" t="s">
        <v>538</v>
      </c>
      <c r="K319" s="285" t="s">
        <v>580</v>
      </c>
      <c r="L319" s="277" t="s">
        <v>539</v>
      </c>
      <c r="M319" s="263"/>
      <c r="N319" s="263"/>
      <c r="O319" s="264">
        <v>4000</v>
      </c>
      <c r="P319" s="264">
        <v>1200</v>
      </c>
      <c r="Q319" s="265">
        <v>1</v>
      </c>
      <c r="R319" s="30">
        <f>MBQ[[#This Row],[HEIGHT (mm)]]*MBQ[[#This Row],[QTY TOTAL]]/1000</f>
        <v>4</v>
      </c>
      <c r="S319" s="30">
        <f>MBQ[[#This Row],[WIDTH (mm)]]*MBQ[[#This Row],[QTY TOTAL]]/1000</f>
        <v>1.2</v>
      </c>
      <c r="T319" s="9">
        <f>(MBQ[[#This Row],[HEIGHT (mm)]]+MBQ[[#This Row],[WIDTH (mm)]])/1000*2*MBQ[[#This Row],[QTY TOTAL]]</f>
        <v>10.4</v>
      </c>
      <c r="U319" s="266">
        <f>MBQ[[#This Row],[MULTIPLIER]]*MBQ[[#This Row],[QTY]]</f>
        <v>1</v>
      </c>
      <c r="V319" s="9">
        <f>MBQ[[#This Row],[HEIGHT (mm)]]/1000*MBQ[[#This Row],[WIDTH (mm)]]/1000*MBQ[[#This Row],[QTY TOTAL]]</f>
        <v>4.8</v>
      </c>
      <c r="W319" s="287">
        <f>ROUNDUP(MBQ[[#This Row],[HEIGHT (mm)]]/450*MBQ[[#This Row],[QTY]]*2,0)+ROUNDUP(MBQ[[#This Row],[WIDTH (mm)]]/450*MBQ[[#This Row],[QTY]]*2,0)</f>
        <v>24</v>
      </c>
    </row>
    <row r="320" spans="1:23" ht="30">
      <c r="A320" s="258">
        <v>1</v>
      </c>
      <c r="B320" s="276" t="s">
        <v>536</v>
      </c>
      <c r="C320" s="278" t="s">
        <v>554</v>
      </c>
      <c r="D320" s="277" t="s">
        <v>551</v>
      </c>
      <c r="E320" s="277" t="s">
        <v>537</v>
      </c>
      <c r="F320" s="261"/>
      <c r="G320" s="262"/>
      <c r="H320" s="262"/>
      <c r="I320" s="260" t="s">
        <v>439</v>
      </c>
      <c r="J320" s="278" t="s">
        <v>538</v>
      </c>
      <c r="K320" s="285" t="s">
        <v>580</v>
      </c>
      <c r="L320" s="277" t="s">
        <v>539</v>
      </c>
      <c r="M320" s="263"/>
      <c r="N320" s="263"/>
      <c r="O320" s="264">
        <v>4000</v>
      </c>
      <c r="P320" s="264">
        <v>1200</v>
      </c>
      <c r="Q320" s="265">
        <v>1</v>
      </c>
      <c r="R320" s="30">
        <f>MBQ[[#This Row],[HEIGHT (mm)]]*MBQ[[#This Row],[QTY TOTAL]]/1000</f>
        <v>4</v>
      </c>
      <c r="S320" s="30">
        <f>MBQ[[#This Row],[WIDTH (mm)]]*MBQ[[#This Row],[QTY TOTAL]]/1000</f>
        <v>1.2</v>
      </c>
      <c r="T320" s="9">
        <f>(MBQ[[#This Row],[HEIGHT (mm)]]+MBQ[[#This Row],[WIDTH (mm)]])/1000*2*MBQ[[#This Row],[QTY TOTAL]]</f>
        <v>10.4</v>
      </c>
      <c r="U320" s="266">
        <f>MBQ[[#This Row],[MULTIPLIER]]*MBQ[[#This Row],[QTY]]</f>
        <v>1</v>
      </c>
      <c r="V320" s="9">
        <f>MBQ[[#This Row],[HEIGHT (mm)]]/1000*MBQ[[#This Row],[WIDTH (mm)]]/1000*MBQ[[#This Row],[QTY TOTAL]]</f>
        <v>4.8</v>
      </c>
      <c r="W320" s="287">
        <f>ROUNDUP(MBQ[[#This Row],[HEIGHT (mm)]]/450*MBQ[[#This Row],[QTY]]*2,0)+ROUNDUP(MBQ[[#This Row],[WIDTH (mm)]]/450*MBQ[[#This Row],[QTY]]*2,0)</f>
        <v>24</v>
      </c>
    </row>
    <row r="321" spans="1:23" ht="30">
      <c r="A321" s="258">
        <v>1</v>
      </c>
      <c r="B321" s="276" t="s">
        <v>536</v>
      </c>
      <c r="C321" s="278" t="s">
        <v>554</v>
      </c>
      <c r="D321" s="277" t="s">
        <v>551</v>
      </c>
      <c r="E321" s="277" t="s">
        <v>537</v>
      </c>
      <c r="F321" s="261"/>
      <c r="G321" s="262"/>
      <c r="H321" s="262"/>
      <c r="I321" s="260" t="s">
        <v>439</v>
      </c>
      <c r="J321" s="278" t="s">
        <v>538</v>
      </c>
      <c r="K321" s="285" t="s">
        <v>580</v>
      </c>
      <c r="L321" s="277" t="s">
        <v>539</v>
      </c>
      <c r="M321" s="263"/>
      <c r="N321" s="263"/>
      <c r="O321" s="264">
        <v>4000</v>
      </c>
      <c r="P321" s="264">
        <v>1200</v>
      </c>
      <c r="Q321" s="265">
        <v>1</v>
      </c>
      <c r="R321" s="30">
        <f>MBQ[[#This Row],[HEIGHT (mm)]]*MBQ[[#This Row],[QTY TOTAL]]/1000</f>
        <v>4</v>
      </c>
      <c r="S321" s="30">
        <f>MBQ[[#This Row],[WIDTH (mm)]]*MBQ[[#This Row],[QTY TOTAL]]/1000</f>
        <v>1.2</v>
      </c>
      <c r="T321" s="9">
        <f>(MBQ[[#This Row],[HEIGHT (mm)]]+MBQ[[#This Row],[WIDTH (mm)]])/1000*2*MBQ[[#This Row],[QTY TOTAL]]</f>
        <v>10.4</v>
      </c>
      <c r="U321" s="266">
        <f>MBQ[[#This Row],[MULTIPLIER]]*MBQ[[#This Row],[QTY]]</f>
        <v>1</v>
      </c>
      <c r="V321" s="9">
        <f>MBQ[[#This Row],[HEIGHT (mm)]]/1000*MBQ[[#This Row],[WIDTH (mm)]]/1000*MBQ[[#This Row],[QTY TOTAL]]</f>
        <v>4.8</v>
      </c>
      <c r="W321" s="287">
        <f>ROUNDUP(MBQ[[#This Row],[HEIGHT (mm)]]/450*MBQ[[#This Row],[QTY]]*2,0)+ROUNDUP(MBQ[[#This Row],[WIDTH (mm)]]/450*MBQ[[#This Row],[QTY]]*2,0)</f>
        <v>24</v>
      </c>
    </row>
    <row r="322" spans="1:23" ht="30">
      <c r="A322" s="258">
        <v>1</v>
      </c>
      <c r="B322" s="276" t="s">
        <v>536</v>
      </c>
      <c r="C322" s="278" t="s">
        <v>554</v>
      </c>
      <c r="D322" s="277" t="s">
        <v>551</v>
      </c>
      <c r="E322" s="277" t="s">
        <v>537</v>
      </c>
      <c r="F322" s="261"/>
      <c r="G322" s="262"/>
      <c r="H322" s="262"/>
      <c r="I322" s="260" t="s">
        <v>439</v>
      </c>
      <c r="J322" s="278" t="s">
        <v>538</v>
      </c>
      <c r="K322" s="285" t="s">
        <v>580</v>
      </c>
      <c r="L322" s="277" t="s">
        <v>539</v>
      </c>
      <c r="M322" s="263"/>
      <c r="N322" s="263"/>
      <c r="O322" s="264">
        <v>4000</v>
      </c>
      <c r="P322" s="264">
        <v>1200</v>
      </c>
      <c r="Q322" s="265">
        <v>1</v>
      </c>
      <c r="R322" s="30">
        <f>MBQ[[#This Row],[HEIGHT (mm)]]*MBQ[[#This Row],[QTY TOTAL]]/1000</f>
        <v>4</v>
      </c>
      <c r="S322" s="30">
        <f>MBQ[[#This Row],[WIDTH (mm)]]*MBQ[[#This Row],[QTY TOTAL]]/1000</f>
        <v>1.2</v>
      </c>
      <c r="T322" s="9">
        <f>(MBQ[[#This Row],[HEIGHT (mm)]]+MBQ[[#This Row],[WIDTH (mm)]])/1000*2*MBQ[[#This Row],[QTY TOTAL]]</f>
        <v>10.4</v>
      </c>
      <c r="U322" s="266">
        <f>MBQ[[#This Row],[MULTIPLIER]]*MBQ[[#This Row],[QTY]]</f>
        <v>1</v>
      </c>
      <c r="V322" s="9">
        <f>MBQ[[#This Row],[HEIGHT (mm)]]/1000*MBQ[[#This Row],[WIDTH (mm)]]/1000*MBQ[[#This Row],[QTY TOTAL]]</f>
        <v>4.8</v>
      </c>
      <c r="W322" s="287">
        <f>ROUNDUP(MBQ[[#This Row],[HEIGHT (mm)]]/450*MBQ[[#This Row],[QTY]]*2,0)+ROUNDUP(MBQ[[#This Row],[WIDTH (mm)]]/450*MBQ[[#This Row],[QTY]]*2,0)</f>
        <v>24</v>
      </c>
    </row>
    <row r="323" spans="1:23" hidden="1">
      <c r="A323" s="258">
        <v>1</v>
      </c>
      <c r="B323" s="286" t="s">
        <v>535</v>
      </c>
      <c r="C323" s="278" t="s">
        <v>554</v>
      </c>
      <c r="D323" s="277" t="s">
        <v>551</v>
      </c>
      <c r="E323" s="277" t="s">
        <v>537</v>
      </c>
      <c r="F323" s="261"/>
      <c r="G323" s="262"/>
      <c r="H323" s="262"/>
      <c r="I323" s="260" t="s">
        <v>442</v>
      </c>
      <c r="J323" s="278" t="s">
        <v>443</v>
      </c>
      <c r="K323" s="285" t="s">
        <v>580</v>
      </c>
      <c r="L323" s="277" t="s">
        <v>540</v>
      </c>
      <c r="M323" s="263"/>
      <c r="N323" s="263"/>
      <c r="O323" s="264">
        <v>1300</v>
      </c>
      <c r="P323" s="264">
        <v>1200</v>
      </c>
      <c r="Q323" s="265">
        <v>1</v>
      </c>
      <c r="R323" s="30">
        <f>MBQ[[#This Row],[HEIGHT (mm)]]*MBQ[[#This Row],[QTY TOTAL]]/1000</f>
        <v>1.3</v>
      </c>
      <c r="S323" s="30">
        <f>MBQ[[#This Row],[WIDTH (mm)]]*MBQ[[#This Row],[QTY TOTAL]]/1000</f>
        <v>1.2</v>
      </c>
      <c r="T323" s="9">
        <f>(MBQ[[#This Row],[HEIGHT (mm)]]+MBQ[[#This Row],[WIDTH (mm)]])/1000*2*MBQ[[#This Row],[QTY TOTAL]]</f>
        <v>5</v>
      </c>
      <c r="U323" s="266">
        <f>MBQ[[#This Row],[MULTIPLIER]]*MBQ[[#This Row],[QTY]]</f>
        <v>1</v>
      </c>
      <c r="V323" s="9">
        <f>MBQ[[#This Row],[HEIGHT (mm)]]/1000*MBQ[[#This Row],[WIDTH (mm)]]/1000*MBQ[[#This Row],[QTY TOTAL]]</f>
        <v>1.56</v>
      </c>
      <c r="W323" s="287">
        <f>ROUNDUP(MBQ[[#This Row],[HEIGHT (mm)]]/450*MBQ[[#This Row],[QTY]]*2,0)+ROUNDUP(MBQ[[#This Row],[WIDTH (mm)]]/450*MBQ[[#This Row],[QTY]]*2,0)</f>
        <v>12</v>
      </c>
    </row>
    <row r="324" spans="1:23" hidden="1">
      <c r="A324" s="258">
        <v>1</v>
      </c>
      <c r="B324" s="286" t="s">
        <v>535</v>
      </c>
      <c r="C324" s="278" t="s">
        <v>554</v>
      </c>
      <c r="D324" s="277" t="s">
        <v>551</v>
      </c>
      <c r="E324" s="277" t="s">
        <v>537</v>
      </c>
      <c r="F324" s="261"/>
      <c r="G324" s="262"/>
      <c r="H324" s="262"/>
      <c r="I324" s="260" t="s">
        <v>442</v>
      </c>
      <c r="J324" s="278" t="s">
        <v>443</v>
      </c>
      <c r="K324" s="285" t="s">
        <v>580</v>
      </c>
      <c r="L324" s="277" t="s">
        <v>541</v>
      </c>
      <c r="M324" s="263"/>
      <c r="N324" s="263"/>
      <c r="O324" s="264">
        <v>1700</v>
      </c>
      <c r="P324" s="264">
        <v>1200</v>
      </c>
      <c r="Q324" s="265">
        <v>1</v>
      </c>
      <c r="R324" s="30">
        <f>MBQ[[#This Row],[HEIGHT (mm)]]*MBQ[[#This Row],[QTY TOTAL]]/1000</f>
        <v>1.7</v>
      </c>
      <c r="S324" s="30">
        <f>MBQ[[#This Row],[WIDTH (mm)]]*MBQ[[#This Row],[QTY TOTAL]]/1000</f>
        <v>1.2</v>
      </c>
      <c r="T324" s="9">
        <f>(MBQ[[#This Row],[HEIGHT (mm)]]+MBQ[[#This Row],[WIDTH (mm)]])/1000*2*MBQ[[#This Row],[QTY TOTAL]]</f>
        <v>5.8</v>
      </c>
      <c r="U324" s="266">
        <f>MBQ[[#This Row],[MULTIPLIER]]*MBQ[[#This Row],[QTY]]</f>
        <v>1</v>
      </c>
      <c r="V324" s="9">
        <f>MBQ[[#This Row],[HEIGHT (mm)]]/1000*MBQ[[#This Row],[WIDTH (mm)]]/1000*MBQ[[#This Row],[QTY TOTAL]]</f>
        <v>2.04</v>
      </c>
      <c r="W324" s="287">
        <f>ROUNDUP(MBQ[[#This Row],[HEIGHT (mm)]]/450*MBQ[[#This Row],[QTY]]*2,0)+ROUNDUP(MBQ[[#This Row],[WIDTH (mm)]]/450*MBQ[[#This Row],[QTY]]*2,0)</f>
        <v>14</v>
      </c>
    </row>
    <row r="325" spans="1:23" hidden="1">
      <c r="A325" s="258">
        <v>1</v>
      </c>
      <c r="B325" s="286" t="s">
        <v>535</v>
      </c>
      <c r="C325" s="278" t="s">
        <v>554</v>
      </c>
      <c r="D325" s="277" t="s">
        <v>551</v>
      </c>
      <c r="E325" s="277" t="s">
        <v>537</v>
      </c>
      <c r="F325" s="261"/>
      <c r="G325" s="262"/>
      <c r="H325" s="262"/>
      <c r="I325" s="260" t="s">
        <v>442</v>
      </c>
      <c r="J325" s="278" t="s">
        <v>443</v>
      </c>
      <c r="K325" s="285" t="s">
        <v>580</v>
      </c>
      <c r="L325" s="277" t="s">
        <v>540</v>
      </c>
      <c r="M325" s="263"/>
      <c r="N325" s="263"/>
      <c r="O325" s="264">
        <v>1000</v>
      </c>
      <c r="P325" s="264">
        <v>1200</v>
      </c>
      <c r="Q325" s="265">
        <v>1</v>
      </c>
      <c r="R325" s="30">
        <f>MBQ[[#This Row],[HEIGHT (mm)]]*MBQ[[#This Row],[QTY TOTAL]]/1000</f>
        <v>1</v>
      </c>
      <c r="S325" s="30">
        <f>MBQ[[#This Row],[WIDTH (mm)]]*MBQ[[#This Row],[QTY TOTAL]]/1000</f>
        <v>1.2</v>
      </c>
      <c r="T325" s="9">
        <f>(MBQ[[#This Row],[HEIGHT (mm)]]+MBQ[[#This Row],[WIDTH (mm)]])/1000*2*MBQ[[#This Row],[QTY TOTAL]]</f>
        <v>4.4000000000000004</v>
      </c>
      <c r="U325" s="266">
        <f>MBQ[[#This Row],[MULTIPLIER]]*MBQ[[#This Row],[QTY]]</f>
        <v>1</v>
      </c>
      <c r="V325" s="9">
        <f>MBQ[[#This Row],[HEIGHT (mm)]]/1000*MBQ[[#This Row],[WIDTH (mm)]]/1000*MBQ[[#This Row],[QTY TOTAL]]</f>
        <v>1.2</v>
      </c>
      <c r="W325" s="287">
        <f>ROUNDUP(MBQ[[#This Row],[HEIGHT (mm)]]/450*MBQ[[#This Row],[QTY]]*2,0)+ROUNDUP(MBQ[[#This Row],[WIDTH (mm)]]/450*MBQ[[#This Row],[QTY]]*2,0)</f>
        <v>11</v>
      </c>
    </row>
    <row r="326" spans="1:23" hidden="1">
      <c r="A326" s="258">
        <v>1</v>
      </c>
      <c r="B326" s="286" t="s">
        <v>535</v>
      </c>
      <c r="C326" s="278" t="s">
        <v>554</v>
      </c>
      <c r="D326" s="277" t="s">
        <v>551</v>
      </c>
      <c r="E326" s="277" t="s">
        <v>537</v>
      </c>
      <c r="F326" s="261"/>
      <c r="G326" s="262"/>
      <c r="H326" s="262"/>
      <c r="I326" s="260" t="s">
        <v>442</v>
      </c>
      <c r="J326" s="278" t="s">
        <v>443</v>
      </c>
      <c r="K326" s="285" t="s">
        <v>580</v>
      </c>
      <c r="L326" s="277" t="s">
        <v>540</v>
      </c>
      <c r="M326" s="263"/>
      <c r="N326" s="263"/>
      <c r="O326" s="264">
        <v>1300</v>
      </c>
      <c r="P326" s="264">
        <v>1200</v>
      </c>
      <c r="Q326" s="265">
        <v>1</v>
      </c>
      <c r="R326" s="30">
        <f>MBQ[[#This Row],[HEIGHT (mm)]]*MBQ[[#This Row],[QTY TOTAL]]/1000</f>
        <v>1.3</v>
      </c>
      <c r="S326" s="30">
        <f>MBQ[[#This Row],[WIDTH (mm)]]*MBQ[[#This Row],[QTY TOTAL]]/1000</f>
        <v>1.2</v>
      </c>
      <c r="T326" s="9">
        <f>(MBQ[[#This Row],[HEIGHT (mm)]]+MBQ[[#This Row],[WIDTH (mm)]])/1000*2*MBQ[[#This Row],[QTY TOTAL]]</f>
        <v>5</v>
      </c>
      <c r="U326" s="266">
        <f>MBQ[[#This Row],[MULTIPLIER]]*MBQ[[#This Row],[QTY]]</f>
        <v>1</v>
      </c>
      <c r="V326" s="9">
        <f>MBQ[[#This Row],[HEIGHT (mm)]]/1000*MBQ[[#This Row],[WIDTH (mm)]]/1000*MBQ[[#This Row],[QTY TOTAL]]</f>
        <v>1.56</v>
      </c>
      <c r="W326" s="287">
        <f>ROUNDUP(MBQ[[#This Row],[HEIGHT (mm)]]/450*MBQ[[#This Row],[QTY]]*2,0)+ROUNDUP(MBQ[[#This Row],[WIDTH (mm)]]/450*MBQ[[#This Row],[QTY]]*2,0)</f>
        <v>12</v>
      </c>
    </row>
    <row r="327" spans="1:23" hidden="1">
      <c r="A327" s="258">
        <v>1</v>
      </c>
      <c r="B327" s="286" t="s">
        <v>535</v>
      </c>
      <c r="C327" s="278" t="s">
        <v>554</v>
      </c>
      <c r="D327" s="277" t="s">
        <v>551</v>
      </c>
      <c r="E327" s="277" t="s">
        <v>537</v>
      </c>
      <c r="F327" s="261"/>
      <c r="G327" s="262"/>
      <c r="H327" s="262"/>
      <c r="I327" s="260" t="s">
        <v>442</v>
      </c>
      <c r="J327" s="278" t="s">
        <v>443</v>
      </c>
      <c r="K327" s="285" t="s">
        <v>580</v>
      </c>
      <c r="L327" s="277" t="s">
        <v>541</v>
      </c>
      <c r="M327" s="263"/>
      <c r="N327" s="263"/>
      <c r="O327" s="264">
        <v>1700</v>
      </c>
      <c r="P327" s="264">
        <v>1200</v>
      </c>
      <c r="Q327" s="265">
        <v>1</v>
      </c>
      <c r="R327" s="30">
        <f>MBQ[[#This Row],[HEIGHT (mm)]]*MBQ[[#This Row],[QTY TOTAL]]/1000</f>
        <v>1.7</v>
      </c>
      <c r="S327" s="30">
        <f>MBQ[[#This Row],[WIDTH (mm)]]*MBQ[[#This Row],[QTY TOTAL]]/1000</f>
        <v>1.2</v>
      </c>
      <c r="T327" s="9">
        <f>(MBQ[[#This Row],[HEIGHT (mm)]]+MBQ[[#This Row],[WIDTH (mm)]])/1000*2*MBQ[[#This Row],[QTY TOTAL]]</f>
        <v>5.8</v>
      </c>
      <c r="U327" s="266">
        <f>MBQ[[#This Row],[MULTIPLIER]]*MBQ[[#This Row],[QTY]]</f>
        <v>1</v>
      </c>
      <c r="V327" s="9">
        <f>MBQ[[#This Row],[HEIGHT (mm)]]/1000*MBQ[[#This Row],[WIDTH (mm)]]/1000*MBQ[[#This Row],[QTY TOTAL]]</f>
        <v>2.04</v>
      </c>
      <c r="W327" s="287">
        <f>ROUNDUP(MBQ[[#This Row],[HEIGHT (mm)]]/450*MBQ[[#This Row],[QTY]]*2,0)+ROUNDUP(MBQ[[#This Row],[WIDTH (mm)]]/450*MBQ[[#This Row],[QTY]]*2,0)</f>
        <v>14</v>
      </c>
    </row>
    <row r="328" spans="1:23" hidden="1">
      <c r="A328" s="258">
        <v>1</v>
      </c>
      <c r="B328" s="286" t="s">
        <v>535</v>
      </c>
      <c r="C328" s="278" t="s">
        <v>554</v>
      </c>
      <c r="D328" s="277" t="s">
        <v>551</v>
      </c>
      <c r="E328" s="277" t="s">
        <v>537</v>
      </c>
      <c r="F328" s="261"/>
      <c r="G328" s="262"/>
      <c r="H328" s="262"/>
      <c r="I328" s="260" t="s">
        <v>442</v>
      </c>
      <c r="J328" s="278" t="s">
        <v>443</v>
      </c>
      <c r="K328" s="285" t="s">
        <v>580</v>
      </c>
      <c r="L328" s="277" t="s">
        <v>540</v>
      </c>
      <c r="M328" s="263"/>
      <c r="N328" s="263"/>
      <c r="O328" s="264">
        <v>1000</v>
      </c>
      <c r="P328" s="264">
        <v>1200</v>
      </c>
      <c r="Q328" s="265">
        <v>1</v>
      </c>
      <c r="R328" s="30">
        <f>MBQ[[#This Row],[HEIGHT (mm)]]*MBQ[[#This Row],[QTY TOTAL]]/1000</f>
        <v>1</v>
      </c>
      <c r="S328" s="30">
        <f>MBQ[[#This Row],[WIDTH (mm)]]*MBQ[[#This Row],[QTY TOTAL]]/1000</f>
        <v>1.2</v>
      </c>
      <c r="T328" s="9">
        <f>(MBQ[[#This Row],[HEIGHT (mm)]]+MBQ[[#This Row],[WIDTH (mm)]])/1000*2*MBQ[[#This Row],[QTY TOTAL]]</f>
        <v>4.4000000000000004</v>
      </c>
      <c r="U328" s="266">
        <f>MBQ[[#This Row],[MULTIPLIER]]*MBQ[[#This Row],[QTY]]</f>
        <v>1</v>
      </c>
      <c r="V328" s="9">
        <f>MBQ[[#This Row],[HEIGHT (mm)]]/1000*MBQ[[#This Row],[WIDTH (mm)]]/1000*MBQ[[#This Row],[QTY TOTAL]]</f>
        <v>1.2</v>
      </c>
      <c r="W328" s="287">
        <f>ROUNDUP(MBQ[[#This Row],[HEIGHT (mm)]]/450*MBQ[[#This Row],[QTY]]*2,0)+ROUNDUP(MBQ[[#This Row],[WIDTH (mm)]]/450*MBQ[[#This Row],[QTY]]*2,0)</f>
        <v>11</v>
      </c>
    </row>
    <row r="329" spans="1:23" hidden="1">
      <c r="A329" s="258">
        <v>1</v>
      </c>
      <c r="B329" s="286" t="s">
        <v>535</v>
      </c>
      <c r="C329" s="278" t="s">
        <v>554</v>
      </c>
      <c r="D329" s="277" t="s">
        <v>551</v>
      </c>
      <c r="E329" s="277" t="s">
        <v>537</v>
      </c>
      <c r="F329" s="261"/>
      <c r="G329" s="262"/>
      <c r="H329" s="262"/>
      <c r="I329" s="260" t="s">
        <v>442</v>
      </c>
      <c r="J329" s="278" t="s">
        <v>443</v>
      </c>
      <c r="K329" s="285" t="s">
        <v>580</v>
      </c>
      <c r="L329" s="277" t="s">
        <v>540</v>
      </c>
      <c r="M329" s="263"/>
      <c r="N329" s="263"/>
      <c r="O329" s="264">
        <v>1300</v>
      </c>
      <c r="P329" s="264">
        <v>1200</v>
      </c>
      <c r="Q329" s="265">
        <v>1</v>
      </c>
      <c r="R329" s="30">
        <f>MBQ[[#This Row],[HEIGHT (mm)]]*MBQ[[#This Row],[QTY TOTAL]]/1000</f>
        <v>1.3</v>
      </c>
      <c r="S329" s="30">
        <f>MBQ[[#This Row],[WIDTH (mm)]]*MBQ[[#This Row],[QTY TOTAL]]/1000</f>
        <v>1.2</v>
      </c>
      <c r="T329" s="9">
        <f>(MBQ[[#This Row],[HEIGHT (mm)]]+MBQ[[#This Row],[WIDTH (mm)]])/1000*2*MBQ[[#This Row],[QTY TOTAL]]</f>
        <v>5</v>
      </c>
      <c r="U329" s="266">
        <f>MBQ[[#This Row],[MULTIPLIER]]*MBQ[[#This Row],[QTY]]</f>
        <v>1</v>
      </c>
      <c r="V329" s="9">
        <f>MBQ[[#This Row],[HEIGHT (mm)]]/1000*MBQ[[#This Row],[WIDTH (mm)]]/1000*MBQ[[#This Row],[QTY TOTAL]]</f>
        <v>1.56</v>
      </c>
      <c r="W329" s="287">
        <f>ROUNDUP(MBQ[[#This Row],[HEIGHT (mm)]]/450*MBQ[[#This Row],[QTY]]*2,0)+ROUNDUP(MBQ[[#This Row],[WIDTH (mm)]]/450*MBQ[[#This Row],[QTY]]*2,0)</f>
        <v>12</v>
      </c>
    </row>
    <row r="330" spans="1:23" hidden="1">
      <c r="A330" s="258">
        <v>1</v>
      </c>
      <c r="B330" s="286" t="s">
        <v>535</v>
      </c>
      <c r="C330" s="278" t="s">
        <v>554</v>
      </c>
      <c r="D330" s="277" t="s">
        <v>551</v>
      </c>
      <c r="E330" s="277" t="s">
        <v>537</v>
      </c>
      <c r="F330" s="261"/>
      <c r="G330" s="262"/>
      <c r="H330" s="262"/>
      <c r="I330" s="260" t="s">
        <v>442</v>
      </c>
      <c r="J330" s="278" t="s">
        <v>443</v>
      </c>
      <c r="K330" s="285" t="s">
        <v>580</v>
      </c>
      <c r="L330" s="277" t="s">
        <v>541</v>
      </c>
      <c r="M330" s="263"/>
      <c r="N330" s="263"/>
      <c r="O330" s="264">
        <v>1700</v>
      </c>
      <c r="P330" s="264">
        <v>1200</v>
      </c>
      <c r="Q330" s="265">
        <v>1</v>
      </c>
      <c r="R330" s="30">
        <f>MBQ[[#This Row],[HEIGHT (mm)]]*MBQ[[#This Row],[QTY TOTAL]]/1000</f>
        <v>1.7</v>
      </c>
      <c r="S330" s="30">
        <f>MBQ[[#This Row],[WIDTH (mm)]]*MBQ[[#This Row],[QTY TOTAL]]/1000</f>
        <v>1.2</v>
      </c>
      <c r="T330" s="9">
        <f>(MBQ[[#This Row],[HEIGHT (mm)]]+MBQ[[#This Row],[WIDTH (mm)]])/1000*2*MBQ[[#This Row],[QTY TOTAL]]</f>
        <v>5.8</v>
      </c>
      <c r="U330" s="266">
        <f>MBQ[[#This Row],[MULTIPLIER]]*MBQ[[#This Row],[QTY]]</f>
        <v>1</v>
      </c>
      <c r="V330" s="9">
        <f>MBQ[[#This Row],[HEIGHT (mm)]]/1000*MBQ[[#This Row],[WIDTH (mm)]]/1000*MBQ[[#This Row],[QTY TOTAL]]</f>
        <v>2.04</v>
      </c>
      <c r="W330" s="287">
        <f>ROUNDUP(MBQ[[#This Row],[HEIGHT (mm)]]/450*MBQ[[#This Row],[QTY]]*2,0)+ROUNDUP(MBQ[[#This Row],[WIDTH (mm)]]/450*MBQ[[#This Row],[QTY]]*2,0)</f>
        <v>14</v>
      </c>
    </row>
    <row r="331" spans="1:23" hidden="1">
      <c r="A331" s="258">
        <v>1</v>
      </c>
      <c r="B331" s="286" t="s">
        <v>535</v>
      </c>
      <c r="C331" s="278" t="s">
        <v>554</v>
      </c>
      <c r="D331" s="277" t="s">
        <v>551</v>
      </c>
      <c r="E331" s="277" t="s">
        <v>537</v>
      </c>
      <c r="F331" s="261"/>
      <c r="G331" s="262"/>
      <c r="H331" s="262"/>
      <c r="I331" s="260" t="s">
        <v>442</v>
      </c>
      <c r="J331" s="278" t="s">
        <v>443</v>
      </c>
      <c r="K331" s="285" t="s">
        <v>580</v>
      </c>
      <c r="L331" s="277" t="s">
        <v>540</v>
      </c>
      <c r="M331" s="263"/>
      <c r="N331" s="263"/>
      <c r="O331" s="264">
        <v>1000</v>
      </c>
      <c r="P331" s="264">
        <v>1200</v>
      </c>
      <c r="Q331" s="265">
        <v>1</v>
      </c>
      <c r="R331" s="30">
        <f>MBQ[[#This Row],[HEIGHT (mm)]]*MBQ[[#This Row],[QTY TOTAL]]/1000</f>
        <v>1</v>
      </c>
      <c r="S331" s="30">
        <f>MBQ[[#This Row],[WIDTH (mm)]]*MBQ[[#This Row],[QTY TOTAL]]/1000</f>
        <v>1.2</v>
      </c>
      <c r="T331" s="9">
        <f>(MBQ[[#This Row],[HEIGHT (mm)]]+MBQ[[#This Row],[WIDTH (mm)]])/1000*2*MBQ[[#This Row],[QTY TOTAL]]</f>
        <v>4.4000000000000004</v>
      </c>
      <c r="U331" s="266">
        <f>MBQ[[#This Row],[MULTIPLIER]]*MBQ[[#This Row],[QTY]]</f>
        <v>1</v>
      </c>
      <c r="V331" s="9">
        <f>MBQ[[#This Row],[HEIGHT (mm)]]/1000*MBQ[[#This Row],[WIDTH (mm)]]/1000*MBQ[[#This Row],[QTY TOTAL]]</f>
        <v>1.2</v>
      </c>
      <c r="W331" s="287">
        <f>ROUNDUP(MBQ[[#This Row],[HEIGHT (mm)]]/450*MBQ[[#This Row],[QTY]]*2,0)+ROUNDUP(MBQ[[#This Row],[WIDTH (mm)]]/450*MBQ[[#This Row],[QTY]]*2,0)</f>
        <v>11</v>
      </c>
    </row>
    <row r="332" spans="1:23" hidden="1">
      <c r="A332" s="258">
        <v>1</v>
      </c>
      <c r="B332" s="286" t="s">
        <v>535</v>
      </c>
      <c r="C332" s="278" t="s">
        <v>554</v>
      </c>
      <c r="D332" s="277" t="s">
        <v>551</v>
      </c>
      <c r="E332" s="277" t="s">
        <v>537</v>
      </c>
      <c r="F332" s="261"/>
      <c r="G332" s="262"/>
      <c r="H332" s="262"/>
      <c r="I332" s="260" t="s">
        <v>442</v>
      </c>
      <c r="J332" s="278" t="s">
        <v>443</v>
      </c>
      <c r="K332" s="285" t="s">
        <v>580</v>
      </c>
      <c r="L332" s="277" t="s">
        <v>540</v>
      </c>
      <c r="M332" s="263"/>
      <c r="N332" s="263"/>
      <c r="O332" s="264">
        <v>1300</v>
      </c>
      <c r="P332" s="264">
        <v>1200</v>
      </c>
      <c r="Q332" s="265">
        <v>1</v>
      </c>
      <c r="R332" s="30">
        <f>MBQ[[#This Row],[HEIGHT (mm)]]*MBQ[[#This Row],[QTY TOTAL]]/1000</f>
        <v>1.3</v>
      </c>
      <c r="S332" s="30">
        <f>MBQ[[#This Row],[WIDTH (mm)]]*MBQ[[#This Row],[QTY TOTAL]]/1000</f>
        <v>1.2</v>
      </c>
      <c r="T332" s="9">
        <f>(MBQ[[#This Row],[HEIGHT (mm)]]+MBQ[[#This Row],[WIDTH (mm)]])/1000*2*MBQ[[#This Row],[QTY TOTAL]]</f>
        <v>5</v>
      </c>
      <c r="U332" s="266">
        <f>MBQ[[#This Row],[MULTIPLIER]]*MBQ[[#This Row],[QTY]]</f>
        <v>1</v>
      </c>
      <c r="V332" s="9">
        <f>MBQ[[#This Row],[HEIGHT (mm)]]/1000*MBQ[[#This Row],[WIDTH (mm)]]/1000*MBQ[[#This Row],[QTY TOTAL]]</f>
        <v>1.56</v>
      </c>
      <c r="W332" s="287">
        <f>ROUNDUP(MBQ[[#This Row],[HEIGHT (mm)]]/450*MBQ[[#This Row],[QTY]]*2,0)+ROUNDUP(MBQ[[#This Row],[WIDTH (mm)]]/450*MBQ[[#This Row],[QTY]]*2,0)</f>
        <v>12</v>
      </c>
    </row>
    <row r="333" spans="1:23" hidden="1">
      <c r="A333" s="258">
        <v>1</v>
      </c>
      <c r="B333" s="286" t="s">
        <v>535</v>
      </c>
      <c r="C333" s="278" t="s">
        <v>554</v>
      </c>
      <c r="D333" s="277" t="s">
        <v>551</v>
      </c>
      <c r="E333" s="277" t="s">
        <v>537</v>
      </c>
      <c r="F333" s="261"/>
      <c r="G333" s="262"/>
      <c r="H333" s="262"/>
      <c r="I333" s="260" t="s">
        <v>442</v>
      </c>
      <c r="J333" s="278" t="s">
        <v>443</v>
      </c>
      <c r="K333" s="285" t="s">
        <v>580</v>
      </c>
      <c r="L333" s="277" t="s">
        <v>541</v>
      </c>
      <c r="M333" s="263"/>
      <c r="N333" s="263"/>
      <c r="O333" s="264">
        <v>1700</v>
      </c>
      <c r="P333" s="264">
        <v>1200</v>
      </c>
      <c r="Q333" s="265">
        <v>1</v>
      </c>
      <c r="R333" s="30">
        <f>MBQ[[#This Row],[HEIGHT (mm)]]*MBQ[[#This Row],[QTY TOTAL]]/1000</f>
        <v>1.7</v>
      </c>
      <c r="S333" s="30">
        <f>MBQ[[#This Row],[WIDTH (mm)]]*MBQ[[#This Row],[QTY TOTAL]]/1000</f>
        <v>1.2</v>
      </c>
      <c r="T333" s="9">
        <f>(MBQ[[#This Row],[HEIGHT (mm)]]+MBQ[[#This Row],[WIDTH (mm)]])/1000*2*MBQ[[#This Row],[QTY TOTAL]]</f>
        <v>5.8</v>
      </c>
      <c r="U333" s="266">
        <f>MBQ[[#This Row],[MULTIPLIER]]*MBQ[[#This Row],[QTY]]</f>
        <v>1</v>
      </c>
      <c r="V333" s="9">
        <f>MBQ[[#This Row],[HEIGHT (mm)]]/1000*MBQ[[#This Row],[WIDTH (mm)]]/1000*MBQ[[#This Row],[QTY TOTAL]]</f>
        <v>2.04</v>
      </c>
      <c r="W333" s="287">
        <f>ROUNDUP(MBQ[[#This Row],[HEIGHT (mm)]]/450*MBQ[[#This Row],[QTY]]*2,0)+ROUNDUP(MBQ[[#This Row],[WIDTH (mm)]]/450*MBQ[[#This Row],[QTY]]*2,0)</f>
        <v>14</v>
      </c>
    </row>
    <row r="334" spans="1:23" hidden="1">
      <c r="A334" s="258">
        <v>1</v>
      </c>
      <c r="B334" s="286" t="s">
        <v>535</v>
      </c>
      <c r="C334" s="278" t="s">
        <v>554</v>
      </c>
      <c r="D334" s="277" t="s">
        <v>551</v>
      </c>
      <c r="E334" s="277" t="s">
        <v>537</v>
      </c>
      <c r="F334" s="261"/>
      <c r="G334" s="262"/>
      <c r="H334" s="262"/>
      <c r="I334" s="260" t="s">
        <v>442</v>
      </c>
      <c r="J334" s="278" t="s">
        <v>443</v>
      </c>
      <c r="K334" s="285" t="s">
        <v>580</v>
      </c>
      <c r="L334" s="277" t="s">
        <v>540</v>
      </c>
      <c r="M334" s="263"/>
      <c r="N334" s="263"/>
      <c r="O334" s="264">
        <v>1000</v>
      </c>
      <c r="P334" s="264">
        <v>1200</v>
      </c>
      <c r="Q334" s="265">
        <v>1</v>
      </c>
      <c r="R334" s="220">
        <f>MBQ[[#This Row],[HEIGHT (mm)]]*MBQ[[#This Row],[QTY TOTAL]]/1000</f>
        <v>1</v>
      </c>
      <c r="S334" s="220">
        <f>MBQ[[#This Row],[WIDTH (mm)]]*MBQ[[#This Row],[QTY TOTAL]]/1000</f>
        <v>1.2</v>
      </c>
      <c r="T334" s="221">
        <f>(MBQ[[#This Row],[HEIGHT (mm)]]+MBQ[[#This Row],[WIDTH (mm)]])/1000*2*MBQ[[#This Row],[QTY TOTAL]]</f>
        <v>4.4000000000000004</v>
      </c>
      <c r="U334" s="267">
        <f>MBQ[[#This Row],[MULTIPLIER]]*MBQ[[#This Row],[QTY]]</f>
        <v>1</v>
      </c>
      <c r="V334" s="221">
        <f>MBQ[[#This Row],[HEIGHT (mm)]]/1000*MBQ[[#This Row],[WIDTH (mm)]]/1000*MBQ[[#This Row],[QTY TOTAL]]</f>
        <v>1.2</v>
      </c>
      <c r="W334" s="287">
        <f>ROUNDUP(MBQ[[#This Row],[HEIGHT (mm)]]/450*MBQ[[#This Row],[QTY]]*2,0)+ROUNDUP(MBQ[[#This Row],[WIDTH (mm)]]/450*MBQ[[#This Row],[QTY]]*2,0)</f>
        <v>11</v>
      </c>
    </row>
    <row r="335" spans="1:23" hidden="1">
      <c r="A335" s="258">
        <v>1</v>
      </c>
      <c r="B335" s="286" t="s">
        <v>535</v>
      </c>
      <c r="C335" s="278" t="s">
        <v>554</v>
      </c>
      <c r="D335" s="277" t="s">
        <v>551</v>
      </c>
      <c r="E335" s="277" t="s">
        <v>537</v>
      </c>
      <c r="F335" s="261"/>
      <c r="G335" s="262"/>
      <c r="H335" s="262"/>
      <c r="I335" s="260" t="s">
        <v>442</v>
      </c>
      <c r="J335" s="278" t="s">
        <v>443</v>
      </c>
      <c r="K335" s="285" t="s">
        <v>580</v>
      </c>
      <c r="L335" s="277" t="s">
        <v>540</v>
      </c>
      <c r="M335" s="263"/>
      <c r="N335" s="263"/>
      <c r="O335" s="264">
        <v>1300</v>
      </c>
      <c r="P335" s="264">
        <v>1200</v>
      </c>
      <c r="Q335" s="265">
        <v>1</v>
      </c>
      <c r="R335" s="220">
        <f>MBQ[[#This Row],[HEIGHT (mm)]]*MBQ[[#This Row],[QTY TOTAL]]/1000</f>
        <v>1.3</v>
      </c>
      <c r="S335" s="220">
        <f>MBQ[[#This Row],[WIDTH (mm)]]*MBQ[[#This Row],[QTY TOTAL]]/1000</f>
        <v>1.2</v>
      </c>
      <c r="T335" s="221">
        <f>(MBQ[[#This Row],[HEIGHT (mm)]]+MBQ[[#This Row],[WIDTH (mm)]])/1000*2*MBQ[[#This Row],[QTY TOTAL]]</f>
        <v>5</v>
      </c>
      <c r="U335" s="267">
        <f>MBQ[[#This Row],[MULTIPLIER]]*MBQ[[#This Row],[QTY]]</f>
        <v>1</v>
      </c>
      <c r="V335" s="221">
        <f>MBQ[[#This Row],[HEIGHT (mm)]]/1000*MBQ[[#This Row],[WIDTH (mm)]]/1000*MBQ[[#This Row],[QTY TOTAL]]</f>
        <v>1.56</v>
      </c>
      <c r="W335" s="287">
        <f>ROUNDUP(MBQ[[#This Row],[HEIGHT (mm)]]/450*MBQ[[#This Row],[QTY]]*2,0)+ROUNDUP(MBQ[[#This Row],[WIDTH (mm)]]/450*MBQ[[#This Row],[QTY]]*2,0)</f>
        <v>12</v>
      </c>
    </row>
    <row r="336" spans="1:23" hidden="1">
      <c r="A336" s="258">
        <v>1</v>
      </c>
      <c r="B336" s="286" t="s">
        <v>535</v>
      </c>
      <c r="C336" s="278" t="s">
        <v>554</v>
      </c>
      <c r="D336" s="277" t="s">
        <v>551</v>
      </c>
      <c r="E336" s="277" t="s">
        <v>537</v>
      </c>
      <c r="F336" s="261"/>
      <c r="G336" s="262"/>
      <c r="H336" s="262"/>
      <c r="I336" s="260" t="s">
        <v>442</v>
      </c>
      <c r="J336" s="278" t="s">
        <v>443</v>
      </c>
      <c r="K336" s="285" t="s">
        <v>580</v>
      </c>
      <c r="L336" s="277" t="s">
        <v>541</v>
      </c>
      <c r="M336" s="263"/>
      <c r="N336" s="263"/>
      <c r="O336" s="264">
        <v>1700</v>
      </c>
      <c r="P336" s="264">
        <v>1200</v>
      </c>
      <c r="Q336" s="265">
        <v>1</v>
      </c>
      <c r="R336" s="30">
        <f>MBQ[[#This Row],[HEIGHT (mm)]]*MBQ[[#This Row],[QTY TOTAL]]/1000</f>
        <v>1.7</v>
      </c>
      <c r="S336" s="30">
        <f>MBQ[[#This Row],[WIDTH (mm)]]*MBQ[[#This Row],[QTY TOTAL]]/1000</f>
        <v>1.2</v>
      </c>
      <c r="T336" s="9">
        <f>(MBQ[[#This Row],[HEIGHT (mm)]]+MBQ[[#This Row],[WIDTH (mm)]])/1000*2*MBQ[[#This Row],[QTY TOTAL]]</f>
        <v>5.8</v>
      </c>
      <c r="U336" s="266">
        <f>MBQ[[#This Row],[MULTIPLIER]]*MBQ[[#This Row],[QTY]]</f>
        <v>1</v>
      </c>
      <c r="V336" s="9">
        <f>MBQ[[#This Row],[HEIGHT (mm)]]/1000*MBQ[[#This Row],[WIDTH (mm)]]/1000*MBQ[[#This Row],[QTY TOTAL]]</f>
        <v>2.04</v>
      </c>
      <c r="W336" s="287">
        <f>ROUNDUP(MBQ[[#This Row],[HEIGHT (mm)]]/450*MBQ[[#This Row],[QTY]]*2,0)+ROUNDUP(MBQ[[#This Row],[WIDTH (mm)]]/450*MBQ[[#This Row],[QTY]]*2,0)</f>
        <v>14</v>
      </c>
    </row>
    <row r="337" spans="1:23" hidden="1">
      <c r="A337" s="258">
        <v>1</v>
      </c>
      <c r="B337" s="286" t="s">
        <v>535</v>
      </c>
      <c r="C337" s="278" t="s">
        <v>554</v>
      </c>
      <c r="D337" s="277" t="s">
        <v>551</v>
      </c>
      <c r="E337" s="277" t="s">
        <v>537</v>
      </c>
      <c r="F337" s="261"/>
      <c r="G337" s="262"/>
      <c r="H337" s="262"/>
      <c r="I337" s="260" t="s">
        <v>442</v>
      </c>
      <c r="J337" s="278" t="s">
        <v>443</v>
      </c>
      <c r="K337" s="285" t="s">
        <v>580</v>
      </c>
      <c r="L337" s="277" t="s">
        <v>540</v>
      </c>
      <c r="M337" s="263"/>
      <c r="N337" s="263"/>
      <c r="O337" s="264">
        <v>1000</v>
      </c>
      <c r="P337" s="264">
        <v>1200</v>
      </c>
      <c r="Q337" s="265">
        <v>1</v>
      </c>
      <c r="R337" s="30">
        <f>MBQ[[#This Row],[HEIGHT (mm)]]*MBQ[[#This Row],[QTY TOTAL]]/1000</f>
        <v>1</v>
      </c>
      <c r="S337" s="30">
        <f>MBQ[[#This Row],[WIDTH (mm)]]*MBQ[[#This Row],[QTY TOTAL]]/1000</f>
        <v>1.2</v>
      </c>
      <c r="T337" s="9">
        <f>(MBQ[[#This Row],[HEIGHT (mm)]]+MBQ[[#This Row],[WIDTH (mm)]])/1000*2*MBQ[[#This Row],[QTY TOTAL]]</f>
        <v>4.4000000000000004</v>
      </c>
      <c r="U337" s="266">
        <f>MBQ[[#This Row],[MULTIPLIER]]*MBQ[[#This Row],[QTY]]</f>
        <v>1</v>
      </c>
      <c r="V337" s="9">
        <f>MBQ[[#This Row],[HEIGHT (mm)]]/1000*MBQ[[#This Row],[WIDTH (mm)]]/1000*MBQ[[#This Row],[QTY TOTAL]]</f>
        <v>1.2</v>
      </c>
      <c r="W337" s="287">
        <f>ROUNDUP(MBQ[[#This Row],[HEIGHT (mm)]]/450*MBQ[[#This Row],[QTY]]*2,0)+ROUNDUP(MBQ[[#This Row],[WIDTH (mm)]]/450*MBQ[[#This Row],[QTY]]*2,0)</f>
        <v>11</v>
      </c>
    </row>
    <row r="338" spans="1:23" hidden="1">
      <c r="A338" s="258">
        <v>1</v>
      </c>
      <c r="B338" s="286" t="s">
        <v>535</v>
      </c>
      <c r="C338" s="278" t="s">
        <v>554</v>
      </c>
      <c r="D338" s="277" t="s">
        <v>551</v>
      </c>
      <c r="E338" s="277" t="s">
        <v>537</v>
      </c>
      <c r="F338" s="261"/>
      <c r="G338" s="262"/>
      <c r="H338" s="262"/>
      <c r="I338" s="260" t="s">
        <v>442</v>
      </c>
      <c r="J338" s="278" t="s">
        <v>443</v>
      </c>
      <c r="K338" s="285" t="s">
        <v>580</v>
      </c>
      <c r="L338" s="277" t="s">
        <v>540</v>
      </c>
      <c r="M338" s="263"/>
      <c r="N338" s="263"/>
      <c r="O338" s="264">
        <v>1300</v>
      </c>
      <c r="P338" s="264">
        <v>1200</v>
      </c>
      <c r="Q338" s="265">
        <v>1</v>
      </c>
      <c r="R338" s="30">
        <f>MBQ[[#This Row],[HEIGHT (mm)]]*MBQ[[#This Row],[QTY TOTAL]]/1000</f>
        <v>1.3</v>
      </c>
      <c r="S338" s="30">
        <f>MBQ[[#This Row],[WIDTH (mm)]]*MBQ[[#This Row],[QTY TOTAL]]/1000</f>
        <v>1.2</v>
      </c>
      <c r="T338" s="9">
        <f>(MBQ[[#This Row],[HEIGHT (mm)]]+MBQ[[#This Row],[WIDTH (mm)]])/1000*2*MBQ[[#This Row],[QTY TOTAL]]</f>
        <v>5</v>
      </c>
      <c r="U338" s="266">
        <f>MBQ[[#This Row],[MULTIPLIER]]*MBQ[[#This Row],[QTY]]</f>
        <v>1</v>
      </c>
      <c r="V338" s="9">
        <f>MBQ[[#This Row],[HEIGHT (mm)]]/1000*MBQ[[#This Row],[WIDTH (mm)]]/1000*MBQ[[#This Row],[QTY TOTAL]]</f>
        <v>1.56</v>
      </c>
      <c r="W338" s="287">
        <f>ROUNDUP(MBQ[[#This Row],[HEIGHT (mm)]]/450*MBQ[[#This Row],[QTY]]*2,0)+ROUNDUP(MBQ[[#This Row],[WIDTH (mm)]]/450*MBQ[[#This Row],[QTY]]*2,0)</f>
        <v>12</v>
      </c>
    </row>
    <row r="339" spans="1:23" hidden="1">
      <c r="A339" s="258">
        <v>1</v>
      </c>
      <c r="B339" s="286" t="s">
        <v>535</v>
      </c>
      <c r="C339" s="278" t="s">
        <v>554</v>
      </c>
      <c r="D339" s="277" t="s">
        <v>551</v>
      </c>
      <c r="E339" s="277" t="s">
        <v>537</v>
      </c>
      <c r="F339" s="261"/>
      <c r="G339" s="262"/>
      <c r="H339" s="262"/>
      <c r="I339" s="260" t="s">
        <v>442</v>
      </c>
      <c r="J339" s="278" t="s">
        <v>443</v>
      </c>
      <c r="K339" s="285" t="s">
        <v>580</v>
      </c>
      <c r="L339" s="277" t="s">
        <v>541</v>
      </c>
      <c r="M339" s="263"/>
      <c r="N339" s="263"/>
      <c r="O339" s="264">
        <v>1700</v>
      </c>
      <c r="P339" s="264">
        <v>1200</v>
      </c>
      <c r="Q339" s="265">
        <v>1</v>
      </c>
      <c r="R339" s="30">
        <f>MBQ[[#This Row],[HEIGHT (mm)]]*MBQ[[#This Row],[QTY TOTAL]]/1000</f>
        <v>1.7</v>
      </c>
      <c r="S339" s="30">
        <f>MBQ[[#This Row],[WIDTH (mm)]]*MBQ[[#This Row],[QTY TOTAL]]/1000</f>
        <v>1.2</v>
      </c>
      <c r="T339" s="9">
        <f>(MBQ[[#This Row],[HEIGHT (mm)]]+MBQ[[#This Row],[WIDTH (mm)]])/1000*2*MBQ[[#This Row],[QTY TOTAL]]</f>
        <v>5.8</v>
      </c>
      <c r="U339" s="266">
        <f>MBQ[[#This Row],[MULTIPLIER]]*MBQ[[#This Row],[QTY]]</f>
        <v>1</v>
      </c>
      <c r="V339" s="9">
        <f>MBQ[[#This Row],[HEIGHT (mm)]]/1000*MBQ[[#This Row],[WIDTH (mm)]]/1000*MBQ[[#This Row],[QTY TOTAL]]</f>
        <v>2.04</v>
      </c>
      <c r="W339" s="287">
        <f>ROUNDUP(MBQ[[#This Row],[HEIGHT (mm)]]/450*MBQ[[#This Row],[QTY]]*2,0)+ROUNDUP(MBQ[[#This Row],[WIDTH (mm)]]/450*MBQ[[#This Row],[QTY]]*2,0)</f>
        <v>14</v>
      </c>
    </row>
    <row r="340" spans="1:23" hidden="1">
      <c r="A340" s="258">
        <v>1</v>
      </c>
      <c r="B340" s="286" t="s">
        <v>535</v>
      </c>
      <c r="C340" s="278" t="s">
        <v>554</v>
      </c>
      <c r="D340" s="277" t="s">
        <v>551</v>
      </c>
      <c r="E340" s="277" t="s">
        <v>537</v>
      </c>
      <c r="F340" s="261"/>
      <c r="G340" s="262"/>
      <c r="H340" s="262"/>
      <c r="I340" s="260" t="s">
        <v>442</v>
      </c>
      <c r="J340" s="278" t="s">
        <v>443</v>
      </c>
      <c r="K340" s="285" t="s">
        <v>580</v>
      </c>
      <c r="L340" s="277" t="s">
        <v>540</v>
      </c>
      <c r="M340" s="263"/>
      <c r="N340" s="263"/>
      <c r="O340" s="264">
        <v>1000</v>
      </c>
      <c r="P340" s="264">
        <v>1200</v>
      </c>
      <c r="Q340" s="265">
        <v>1</v>
      </c>
      <c r="R340" s="30">
        <f>MBQ[[#This Row],[HEIGHT (mm)]]*MBQ[[#This Row],[QTY TOTAL]]/1000</f>
        <v>1</v>
      </c>
      <c r="S340" s="30">
        <f>MBQ[[#This Row],[WIDTH (mm)]]*MBQ[[#This Row],[QTY TOTAL]]/1000</f>
        <v>1.2</v>
      </c>
      <c r="T340" s="9">
        <f>(MBQ[[#This Row],[HEIGHT (mm)]]+MBQ[[#This Row],[WIDTH (mm)]])/1000*2*MBQ[[#This Row],[QTY TOTAL]]</f>
        <v>4.4000000000000004</v>
      </c>
      <c r="U340" s="266">
        <f>MBQ[[#This Row],[MULTIPLIER]]*MBQ[[#This Row],[QTY]]</f>
        <v>1</v>
      </c>
      <c r="V340" s="9">
        <f>MBQ[[#This Row],[HEIGHT (mm)]]/1000*MBQ[[#This Row],[WIDTH (mm)]]/1000*MBQ[[#This Row],[QTY TOTAL]]</f>
        <v>1.2</v>
      </c>
      <c r="W340" s="287">
        <f>ROUNDUP(MBQ[[#This Row],[HEIGHT (mm)]]/450*MBQ[[#This Row],[QTY]]*2,0)+ROUNDUP(MBQ[[#This Row],[WIDTH (mm)]]/450*MBQ[[#This Row],[QTY]]*2,0)</f>
        <v>11</v>
      </c>
    </row>
    <row r="341" spans="1:23" hidden="1">
      <c r="A341" s="258">
        <v>1</v>
      </c>
      <c r="B341" s="286" t="s">
        <v>535</v>
      </c>
      <c r="C341" s="278" t="s">
        <v>554</v>
      </c>
      <c r="D341" s="277" t="s">
        <v>551</v>
      </c>
      <c r="E341" s="277" t="s">
        <v>537</v>
      </c>
      <c r="F341" s="261"/>
      <c r="G341" s="262"/>
      <c r="H341" s="262"/>
      <c r="I341" s="260" t="s">
        <v>442</v>
      </c>
      <c r="J341" s="278" t="s">
        <v>443</v>
      </c>
      <c r="K341" s="285" t="s">
        <v>580</v>
      </c>
      <c r="L341" s="277" t="s">
        <v>540</v>
      </c>
      <c r="M341" s="263"/>
      <c r="N341" s="263"/>
      <c r="O341" s="264">
        <v>1300</v>
      </c>
      <c r="P341" s="264">
        <v>1200</v>
      </c>
      <c r="Q341" s="265">
        <v>1</v>
      </c>
      <c r="R341" s="30">
        <f>MBQ[[#This Row],[HEIGHT (mm)]]*MBQ[[#This Row],[QTY TOTAL]]/1000</f>
        <v>1.3</v>
      </c>
      <c r="S341" s="30">
        <f>MBQ[[#This Row],[WIDTH (mm)]]*MBQ[[#This Row],[QTY TOTAL]]/1000</f>
        <v>1.2</v>
      </c>
      <c r="T341" s="9">
        <f>(MBQ[[#This Row],[HEIGHT (mm)]]+MBQ[[#This Row],[WIDTH (mm)]])/1000*2*MBQ[[#This Row],[QTY TOTAL]]</f>
        <v>5</v>
      </c>
      <c r="U341" s="266">
        <f>MBQ[[#This Row],[MULTIPLIER]]*MBQ[[#This Row],[QTY]]</f>
        <v>1</v>
      </c>
      <c r="V341" s="9">
        <f>MBQ[[#This Row],[HEIGHT (mm)]]/1000*MBQ[[#This Row],[WIDTH (mm)]]/1000*MBQ[[#This Row],[QTY TOTAL]]</f>
        <v>1.56</v>
      </c>
      <c r="W341" s="287">
        <f>ROUNDUP(MBQ[[#This Row],[HEIGHT (mm)]]/450*MBQ[[#This Row],[QTY]]*2,0)+ROUNDUP(MBQ[[#This Row],[WIDTH (mm)]]/450*MBQ[[#This Row],[QTY]]*2,0)</f>
        <v>12</v>
      </c>
    </row>
    <row r="342" spans="1:23" hidden="1">
      <c r="A342" s="258">
        <v>1</v>
      </c>
      <c r="B342" s="286" t="s">
        <v>535</v>
      </c>
      <c r="C342" s="278" t="s">
        <v>554</v>
      </c>
      <c r="D342" s="277" t="s">
        <v>551</v>
      </c>
      <c r="E342" s="277" t="s">
        <v>537</v>
      </c>
      <c r="F342" s="261"/>
      <c r="G342" s="262"/>
      <c r="H342" s="262"/>
      <c r="I342" s="260" t="s">
        <v>442</v>
      </c>
      <c r="J342" s="278" t="s">
        <v>443</v>
      </c>
      <c r="K342" s="285" t="s">
        <v>580</v>
      </c>
      <c r="L342" s="277" t="s">
        <v>541</v>
      </c>
      <c r="M342" s="263"/>
      <c r="N342" s="263"/>
      <c r="O342" s="264">
        <v>1700</v>
      </c>
      <c r="P342" s="264">
        <v>1200</v>
      </c>
      <c r="Q342" s="265">
        <v>1</v>
      </c>
      <c r="R342" s="30">
        <f>MBQ[[#This Row],[HEIGHT (mm)]]*MBQ[[#This Row],[QTY TOTAL]]/1000</f>
        <v>1.7</v>
      </c>
      <c r="S342" s="30">
        <f>MBQ[[#This Row],[WIDTH (mm)]]*MBQ[[#This Row],[QTY TOTAL]]/1000</f>
        <v>1.2</v>
      </c>
      <c r="T342" s="9">
        <f>(MBQ[[#This Row],[HEIGHT (mm)]]+MBQ[[#This Row],[WIDTH (mm)]])/1000*2*MBQ[[#This Row],[QTY TOTAL]]</f>
        <v>5.8</v>
      </c>
      <c r="U342" s="266">
        <f>MBQ[[#This Row],[MULTIPLIER]]*MBQ[[#This Row],[QTY]]</f>
        <v>1</v>
      </c>
      <c r="V342" s="9">
        <f>MBQ[[#This Row],[HEIGHT (mm)]]/1000*MBQ[[#This Row],[WIDTH (mm)]]/1000*MBQ[[#This Row],[QTY TOTAL]]</f>
        <v>2.04</v>
      </c>
      <c r="W342" s="287">
        <f>ROUNDUP(MBQ[[#This Row],[HEIGHT (mm)]]/450*MBQ[[#This Row],[QTY]]*2,0)+ROUNDUP(MBQ[[#This Row],[WIDTH (mm)]]/450*MBQ[[#This Row],[QTY]]*2,0)</f>
        <v>14</v>
      </c>
    </row>
    <row r="343" spans="1:23" hidden="1">
      <c r="A343" s="258">
        <v>1</v>
      </c>
      <c r="B343" s="286" t="s">
        <v>535</v>
      </c>
      <c r="C343" s="278" t="s">
        <v>554</v>
      </c>
      <c r="D343" s="277" t="s">
        <v>551</v>
      </c>
      <c r="E343" s="277" t="s">
        <v>537</v>
      </c>
      <c r="F343" s="261"/>
      <c r="G343" s="262"/>
      <c r="H343" s="262"/>
      <c r="I343" s="260" t="s">
        <v>442</v>
      </c>
      <c r="J343" s="278" t="s">
        <v>443</v>
      </c>
      <c r="K343" s="285" t="s">
        <v>580</v>
      </c>
      <c r="L343" s="277" t="s">
        <v>540</v>
      </c>
      <c r="M343" s="263"/>
      <c r="N343" s="263"/>
      <c r="O343" s="264">
        <v>1000</v>
      </c>
      <c r="P343" s="264">
        <v>1200</v>
      </c>
      <c r="Q343" s="265">
        <v>1</v>
      </c>
      <c r="R343" s="30">
        <f>MBQ[[#This Row],[HEIGHT (mm)]]*MBQ[[#This Row],[QTY TOTAL]]/1000</f>
        <v>1</v>
      </c>
      <c r="S343" s="30">
        <f>MBQ[[#This Row],[WIDTH (mm)]]*MBQ[[#This Row],[QTY TOTAL]]/1000</f>
        <v>1.2</v>
      </c>
      <c r="T343" s="9">
        <f>(MBQ[[#This Row],[HEIGHT (mm)]]+MBQ[[#This Row],[WIDTH (mm)]])/1000*2*MBQ[[#This Row],[QTY TOTAL]]</f>
        <v>4.4000000000000004</v>
      </c>
      <c r="U343" s="266">
        <f>MBQ[[#This Row],[MULTIPLIER]]*MBQ[[#This Row],[QTY]]</f>
        <v>1</v>
      </c>
      <c r="V343" s="9">
        <f>MBQ[[#This Row],[HEIGHT (mm)]]/1000*MBQ[[#This Row],[WIDTH (mm)]]/1000*MBQ[[#This Row],[QTY TOTAL]]</f>
        <v>1.2</v>
      </c>
      <c r="W343" s="287">
        <f>ROUNDUP(MBQ[[#This Row],[HEIGHT (mm)]]/450*MBQ[[#This Row],[QTY]]*2,0)+ROUNDUP(MBQ[[#This Row],[WIDTH (mm)]]/450*MBQ[[#This Row],[QTY]]*2,0)</f>
        <v>11</v>
      </c>
    </row>
    <row r="344" spans="1:23" hidden="1">
      <c r="A344" s="258">
        <v>1</v>
      </c>
      <c r="B344" s="286" t="s">
        <v>535</v>
      </c>
      <c r="C344" s="278" t="s">
        <v>554</v>
      </c>
      <c r="D344" s="277" t="s">
        <v>551</v>
      </c>
      <c r="E344" s="277" t="s">
        <v>537</v>
      </c>
      <c r="F344" s="261"/>
      <c r="G344" s="262"/>
      <c r="H344" s="262"/>
      <c r="I344" s="260" t="s">
        <v>442</v>
      </c>
      <c r="J344" s="278" t="s">
        <v>443</v>
      </c>
      <c r="K344" s="285" t="s">
        <v>580</v>
      </c>
      <c r="L344" s="277" t="s">
        <v>540</v>
      </c>
      <c r="M344" s="263"/>
      <c r="N344" s="263"/>
      <c r="O344" s="264">
        <v>1300</v>
      </c>
      <c r="P344" s="264">
        <v>1200</v>
      </c>
      <c r="Q344" s="265">
        <v>1</v>
      </c>
      <c r="R344" s="30">
        <f>MBQ[[#This Row],[HEIGHT (mm)]]*MBQ[[#This Row],[QTY TOTAL]]/1000</f>
        <v>1.3</v>
      </c>
      <c r="S344" s="30">
        <f>MBQ[[#This Row],[WIDTH (mm)]]*MBQ[[#This Row],[QTY TOTAL]]/1000</f>
        <v>1.2</v>
      </c>
      <c r="T344" s="9">
        <f>(MBQ[[#This Row],[HEIGHT (mm)]]+MBQ[[#This Row],[WIDTH (mm)]])/1000*2*MBQ[[#This Row],[QTY TOTAL]]</f>
        <v>5</v>
      </c>
      <c r="U344" s="266">
        <f>MBQ[[#This Row],[MULTIPLIER]]*MBQ[[#This Row],[QTY]]</f>
        <v>1</v>
      </c>
      <c r="V344" s="9">
        <f>MBQ[[#This Row],[HEIGHT (mm)]]/1000*MBQ[[#This Row],[WIDTH (mm)]]/1000*MBQ[[#This Row],[QTY TOTAL]]</f>
        <v>1.56</v>
      </c>
      <c r="W344" s="287">
        <f>ROUNDUP(MBQ[[#This Row],[HEIGHT (mm)]]/450*MBQ[[#This Row],[QTY]]*2,0)+ROUNDUP(MBQ[[#This Row],[WIDTH (mm)]]/450*MBQ[[#This Row],[QTY]]*2,0)</f>
        <v>12</v>
      </c>
    </row>
    <row r="345" spans="1:23" hidden="1">
      <c r="A345" s="258">
        <v>1</v>
      </c>
      <c r="B345" s="286" t="s">
        <v>535</v>
      </c>
      <c r="C345" s="278" t="s">
        <v>554</v>
      </c>
      <c r="D345" s="277" t="s">
        <v>551</v>
      </c>
      <c r="E345" s="277" t="s">
        <v>537</v>
      </c>
      <c r="F345" s="261"/>
      <c r="G345" s="262"/>
      <c r="H345" s="262"/>
      <c r="I345" s="260" t="s">
        <v>442</v>
      </c>
      <c r="J345" s="278" t="s">
        <v>443</v>
      </c>
      <c r="K345" s="285" t="s">
        <v>580</v>
      </c>
      <c r="L345" s="277" t="s">
        <v>541</v>
      </c>
      <c r="M345" s="263"/>
      <c r="N345" s="263"/>
      <c r="O345" s="264">
        <v>1700</v>
      </c>
      <c r="P345" s="264">
        <v>1200</v>
      </c>
      <c r="Q345" s="265">
        <v>1</v>
      </c>
      <c r="R345" s="30">
        <f>MBQ[[#This Row],[HEIGHT (mm)]]*MBQ[[#This Row],[QTY TOTAL]]/1000</f>
        <v>1.7</v>
      </c>
      <c r="S345" s="30">
        <f>MBQ[[#This Row],[WIDTH (mm)]]*MBQ[[#This Row],[QTY TOTAL]]/1000</f>
        <v>1.2</v>
      </c>
      <c r="T345" s="9">
        <f>(MBQ[[#This Row],[HEIGHT (mm)]]+MBQ[[#This Row],[WIDTH (mm)]])/1000*2*MBQ[[#This Row],[QTY TOTAL]]</f>
        <v>5.8</v>
      </c>
      <c r="U345" s="266">
        <f>MBQ[[#This Row],[MULTIPLIER]]*MBQ[[#This Row],[QTY]]</f>
        <v>1</v>
      </c>
      <c r="V345" s="9">
        <f>MBQ[[#This Row],[HEIGHT (mm)]]/1000*MBQ[[#This Row],[WIDTH (mm)]]/1000*MBQ[[#This Row],[QTY TOTAL]]</f>
        <v>2.04</v>
      </c>
      <c r="W345" s="287">
        <f>ROUNDUP(MBQ[[#This Row],[HEIGHT (mm)]]/450*MBQ[[#This Row],[QTY]]*2,0)+ROUNDUP(MBQ[[#This Row],[WIDTH (mm)]]/450*MBQ[[#This Row],[QTY]]*2,0)</f>
        <v>14</v>
      </c>
    </row>
    <row r="346" spans="1:23" hidden="1">
      <c r="A346" s="258">
        <v>1</v>
      </c>
      <c r="B346" s="286" t="s">
        <v>535</v>
      </c>
      <c r="C346" s="278" t="s">
        <v>554</v>
      </c>
      <c r="D346" s="277" t="s">
        <v>551</v>
      </c>
      <c r="E346" s="277" t="s">
        <v>537</v>
      </c>
      <c r="F346" s="261"/>
      <c r="G346" s="262"/>
      <c r="H346" s="262"/>
      <c r="I346" s="260" t="s">
        <v>442</v>
      </c>
      <c r="J346" s="278" t="s">
        <v>443</v>
      </c>
      <c r="K346" s="285" t="s">
        <v>580</v>
      </c>
      <c r="L346" s="277" t="s">
        <v>540</v>
      </c>
      <c r="M346" s="263"/>
      <c r="N346" s="263"/>
      <c r="O346" s="264">
        <v>1000</v>
      </c>
      <c r="P346" s="264">
        <v>1200</v>
      </c>
      <c r="Q346" s="265">
        <v>1</v>
      </c>
      <c r="R346" s="30">
        <f>MBQ[[#This Row],[HEIGHT (mm)]]*MBQ[[#This Row],[QTY TOTAL]]/1000</f>
        <v>1</v>
      </c>
      <c r="S346" s="30">
        <f>MBQ[[#This Row],[WIDTH (mm)]]*MBQ[[#This Row],[QTY TOTAL]]/1000</f>
        <v>1.2</v>
      </c>
      <c r="T346" s="9">
        <f>(MBQ[[#This Row],[HEIGHT (mm)]]+MBQ[[#This Row],[WIDTH (mm)]])/1000*2*MBQ[[#This Row],[QTY TOTAL]]</f>
        <v>4.4000000000000004</v>
      </c>
      <c r="U346" s="266">
        <f>MBQ[[#This Row],[MULTIPLIER]]*MBQ[[#This Row],[QTY]]</f>
        <v>1</v>
      </c>
      <c r="V346" s="9">
        <f>MBQ[[#This Row],[HEIGHT (mm)]]/1000*MBQ[[#This Row],[WIDTH (mm)]]/1000*MBQ[[#This Row],[QTY TOTAL]]</f>
        <v>1.2</v>
      </c>
      <c r="W346" s="287">
        <f>ROUNDUP(MBQ[[#This Row],[HEIGHT (mm)]]/450*MBQ[[#This Row],[QTY]]*2,0)+ROUNDUP(MBQ[[#This Row],[WIDTH (mm)]]/450*MBQ[[#This Row],[QTY]]*2,0)</f>
        <v>11</v>
      </c>
    </row>
    <row r="347" spans="1:23" hidden="1">
      <c r="A347" s="258">
        <v>1</v>
      </c>
      <c r="B347" s="286" t="s">
        <v>535</v>
      </c>
      <c r="C347" s="278" t="s">
        <v>554</v>
      </c>
      <c r="D347" s="277" t="s">
        <v>551</v>
      </c>
      <c r="E347" s="277" t="s">
        <v>537</v>
      </c>
      <c r="F347" s="261"/>
      <c r="G347" s="262"/>
      <c r="H347" s="262"/>
      <c r="I347" s="260" t="s">
        <v>442</v>
      </c>
      <c r="J347" s="278" t="s">
        <v>443</v>
      </c>
      <c r="K347" s="285" t="s">
        <v>580</v>
      </c>
      <c r="L347" s="277" t="s">
        <v>540</v>
      </c>
      <c r="M347" s="263"/>
      <c r="N347" s="263"/>
      <c r="O347" s="264">
        <v>1300</v>
      </c>
      <c r="P347" s="264">
        <v>1200</v>
      </c>
      <c r="Q347" s="265">
        <v>1</v>
      </c>
      <c r="R347" s="30">
        <f>MBQ[[#This Row],[HEIGHT (mm)]]*MBQ[[#This Row],[QTY TOTAL]]/1000</f>
        <v>1.3</v>
      </c>
      <c r="S347" s="30">
        <f>MBQ[[#This Row],[WIDTH (mm)]]*MBQ[[#This Row],[QTY TOTAL]]/1000</f>
        <v>1.2</v>
      </c>
      <c r="T347" s="9">
        <f>(MBQ[[#This Row],[HEIGHT (mm)]]+MBQ[[#This Row],[WIDTH (mm)]])/1000*2*MBQ[[#This Row],[QTY TOTAL]]</f>
        <v>5</v>
      </c>
      <c r="U347" s="266">
        <f>MBQ[[#This Row],[MULTIPLIER]]*MBQ[[#This Row],[QTY]]</f>
        <v>1</v>
      </c>
      <c r="V347" s="9">
        <f>MBQ[[#This Row],[HEIGHT (mm)]]/1000*MBQ[[#This Row],[WIDTH (mm)]]/1000*MBQ[[#This Row],[QTY TOTAL]]</f>
        <v>1.56</v>
      </c>
      <c r="W347" s="287">
        <f>ROUNDUP(MBQ[[#This Row],[HEIGHT (mm)]]/450*MBQ[[#This Row],[QTY]]*2,0)+ROUNDUP(MBQ[[#This Row],[WIDTH (mm)]]/450*MBQ[[#This Row],[QTY]]*2,0)</f>
        <v>12</v>
      </c>
    </row>
    <row r="348" spans="1:23" hidden="1">
      <c r="A348" s="258">
        <v>1</v>
      </c>
      <c r="B348" s="286" t="s">
        <v>535</v>
      </c>
      <c r="C348" s="278" t="s">
        <v>554</v>
      </c>
      <c r="D348" s="277" t="s">
        <v>551</v>
      </c>
      <c r="E348" s="277" t="s">
        <v>537</v>
      </c>
      <c r="F348" s="261"/>
      <c r="G348" s="262"/>
      <c r="H348" s="262"/>
      <c r="I348" s="260" t="s">
        <v>442</v>
      </c>
      <c r="J348" s="278" t="s">
        <v>443</v>
      </c>
      <c r="K348" s="285" t="s">
        <v>580</v>
      </c>
      <c r="L348" s="277" t="s">
        <v>541</v>
      </c>
      <c r="M348" s="263"/>
      <c r="N348" s="263"/>
      <c r="O348" s="264">
        <v>1700</v>
      </c>
      <c r="P348" s="264">
        <v>1200</v>
      </c>
      <c r="Q348" s="265">
        <v>1</v>
      </c>
      <c r="R348" s="30">
        <f>MBQ[[#This Row],[HEIGHT (mm)]]*MBQ[[#This Row],[QTY TOTAL]]/1000</f>
        <v>1.7</v>
      </c>
      <c r="S348" s="30">
        <f>MBQ[[#This Row],[WIDTH (mm)]]*MBQ[[#This Row],[QTY TOTAL]]/1000</f>
        <v>1.2</v>
      </c>
      <c r="T348" s="9">
        <f>(MBQ[[#This Row],[HEIGHT (mm)]]+MBQ[[#This Row],[WIDTH (mm)]])/1000*2*MBQ[[#This Row],[QTY TOTAL]]</f>
        <v>5.8</v>
      </c>
      <c r="U348" s="266">
        <f>MBQ[[#This Row],[MULTIPLIER]]*MBQ[[#This Row],[QTY]]</f>
        <v>1</v>
      </c>
      <c r="V348" s="9">
        <f>MBQ[[#This Row],[HEIGHT (mm)]]/1000*MBQ[[#This Row],[WIDTH (mm)]]/1000*MBQ[[#This Row],[QTY TOTAL]]</f>
        <v>2.04</v>
      </c>
      <c r="W348" s="287">
        <f>ROUNDUP(MBQ[[#This Row],[HEIGHT (mm)]]/450*MBQ[[#This Row],[QTY]]*2,0)+ROUNDUP(MBQ[[#This Row],[WIDTH (mm)]]/450*MBQ[[#This Row],[QTY]]*2,0)</f>
        <v>14</v>
      </c>
    </row>
    <row r="349" spans="1:23" hidden="1">
      <c r="A349" s="258">
        <v>1</v>
      </c>
      <c r="B349" s="286" t="s">
        <v>535</v>
      </c>
      <c r="C349" s="278" t="s">
        <v>554</v>
      </c>
      <c r="D349" s="277" t="s">
        <v>551</v>
      </c>
      <c r="E349" s="277" t="s">
        <v>537</v>
      </c>
      <c r="F349" s="261"/>
      <c r="G349" s="262"/>
      <c r="H349" s="262"/>
      <c r="I349" s="260" t="s">
        <v>442</v>
      </c>
      <c r="J349" s="278" t="s">
        <v>443</v>
      </c>
      <c r="K349" s="285" t="s">
        <v>580</v>
      </c>
      <c r="L349" s="277" t="s">
        <v>540</v>
      </c>
      <c r="M349" s="263"/>
      <c r="N349" s="263"/>
      <c r="O349" s="264">
        <v>1000</v>
      </c>
      <c r="P349" s="264">
        <v>1200</v>
      </c>
      <c r="Q349" s="265">
        <v>1</v>
      </c>
      <c r="R349" s="30">
        <f>MBQ[[#This Row],[HEIGHT (mm)]]*MBQ[[#This Row],[QTY TOTAL]]/1000</f>
        <v>1</v>
      </c>
      <c r="S349" s="30">
        <f>MBQ[[#This Row],[WIDTH (mm)]]*MBQ[[#This Row],[QTY TOTAL]]/1000</f>
        <v>1.2</v>
      </c>
      <c r="T349" s="9">
        <f>(MBQ[[#This Row],[HEIGHT (mm)]]+MBQ[[#This Row],[WIDTH (mm)]])/1000*2*MBQ[[#This Row],[QTY TOTAL]]</f>
        <v>4.4000000000000004</v>
      </c>
      <c r="U349" s="266">
        <f>MBQ[[#This Row],[MULTIPLIER]]*MBQ[[#This Row],[QTY]]</f>
        <v>1</v>
      </c>
      <c r="V349" s="9">
        <f>MBQ[[#This Row],[HEIGHT (mm)]]/1000*MBQ[[#This Row],[WIDTH (mm)]]/1000*MBQ[[#This Row],[QTY TOTAL]]</f>
        <v>1.2</v>
      </c>
      <c r="W349" s="287">
        <f>ROUNDUP(MBQ[[#This Row],[HEIGHT (mm)]]/450*MBQ[[#This Row],[QTY]]*2,0)+ROUNDUP(MBQ[[#This Row],[WIDTH (mm)]]/450*MBQ[[#This Row],[QTY]]*2,0)</f>
        <v>11</v>
      </c>
    </row>
    <row r="350" spans="1:23" hidden="1">
      <c r="A350" s="258">
        <v>1</v>
      </c>
      <c r="B350" s="276" t="s">
        <v>536</v>
      </c>
      <c r="C350" s="278" t="s">
        <v>554</v>
      </c>
      <c r="D350" s="277" t="s">
        <v>551</v>
      </c>
      <c r="E350" s="277" t="s">
        <v>537</v>
      </c>
      <c r="F350" s="261"/>
      <c r="G350" s="262"/>
      <c r="H350" s="262"/>
      <c r="I350" s="260" t="s">
        <v>442</v>
      </c>
      <c r="J350" s="278" t="s">
        <v>443</v>
      </c>
      <c r="K350" s="285" t="s">
        <v>580</v>
      </c>
      <c r="L350" s="277" t="s">
        <v>540</v>
      </c>
      <c r="M350" s="263"/>
      <c r="N350" s="263"/>
      <c r="O350" s="264">
        <v>1300</v>
      </c>
      <c r="P350" s="264">
        <v>1200</v>
      </c>
      <c r="Q350" s="265">
        <v>1</v>
      </c>
      <c r="R350" s="30">
        <f>MBQ[[#This Row],[HEIGHT (mm)]]*MBQ[[#This Row],[QTY TOTAL]]/1000</f>
        <v>1.3</v>
      </c>
      <c r="S350" s="30">
        <f>MBQ[[#This Row],[WIDTH (mm)]]*MBQ[[#This Row],[QTY TOTAL]]/1000</f>
        <v>1.2</v>
      </c>
      <c r="T350" s="9">
        <f>(MBQ[[#This Row],[HEIGHT (mm)]]+MBQ[[#This Row],[WIDTH (mm)]])/1000*2*MBQ[[#This Row],[QTY TOTAL]]</f>
        <v>5</v>
      </c>
      <c r="U350" s="266">
        <f>MBQ[[#This Row],[MULTIPLIER]]*MBQ[[#This Row],[QTY]]</f>
        <v>1</v>
      </c>
      <c r="V350" s="9">
        <f>MBQ[[#This Row],[HEIGHT (mm)]]/1000*MBQ[[#This Row],[WIDTH (mm)]]/1000*MBQ[[#This Row],[QTY TOTAL]]</f>
        <v>1.56</v>
      </c>
      <c r="W350" s="287">
        <f>ROUNDUP(MBQ[[#This Row],[HEIGHT (mm)]]/450*MBQ[[#This Row],[QTY]]*2,0)+ROUNDUP(MBQ[[#This Row],[WIDTH (mm)]]/450*MBQ[[#This Row],[QTY]]*2,0)</f>
        <v>12</v>
      </c>
    </row>
    <row r="351" spans="1:23" hidden="1">
      <c r="A351" s="258">
        <v>1</v>
      </c>
      <c r="B351" s="276" t="s">
        <v>536</v>
      </c>
      <c r="C351" s="278" t="s">
        <v>554</v>
      </c>
      <c r="D351" s="277" t="s">
        <v>551</v>
      </c>
      <c r="E351" s="277" t="s">
        <v>537</v>
      </c>
      <c r="F351" s="261"/>
      <c r="G351" s="262"/>
      <c r="H351" s="262"/>
      <c r="I351" s="260" t="s">
        <v>442</v>
      </c>
      <c r="J351" s="278" t="s">
        <v>443</v>
      </c>
      <c r="K351" s="285" t="s">
        <v>580</v>
      </c>
      <c r="L351" s="277" t="s">
        <v>541</v>
      </c>
      <c r="M351" s="263"/>
      <c r="N351" s="263"/>
      <c r="O351" s="264">
        <v>1700</v>
      </c>
      <c r="P351" s="264">
        <v>1200</v>
      </c>
      <c r="Q351" s="265">
        <v>1</v>
      </c>
      <c r="R351" s="30">
        <f>MBQ[[#This Row],[HEIGHT (mm)]]*MBQ[[#This Row],[QTY TOTAL]]/1000</f>
        <v>1.7</v>
      </c>
      <c r="S351" s="30">
        <f>MBQ[[#This Row],[WIDTH (mm)]]*MBQ[[#This Row],[QTY TOTAL]]/1000</f>
        <v>1.2</v>
      </c>
      <c r="T351" s="9">
        <f>(MBQ[[#This Row],[HEIGHT (mm)]]+MBQ[[#This Row],[WIDTH (mm)]])/1000*2*MBQ[[#This Row],[QTY TOTAL]]</f>
        <v>5.8</v>
      </c>
      <c r="U351" s="266">
        <f>MBQ[[#This Row],[MULTIPLIER]]*MBQ[[#This Row],[QTY]]</f>
        <v>1</v>
      </c>
      <c r="V351" s="9">
        <f>MBQ[[#This Row],[HEIGHT (mm)]]/1000*MBQ[[#This Row],[WIDTH (mm)]]/1000*MBQ[[#This Row],[QTY TOTAL]]</f>
        <v>2.04</v>
      </c>
      <c r="W351" s="287">
        <f>ROUNDUP(MBQ[[#This Row],[HEIGHT (mm)]]/450*MBQ[[#This Row],[QTY]]*2,0)+ROUNDUP(MBQ[[#This Row],[WIDTH (mm)]]/450*MBQ[[#This Row],[QTY]]*2,0)</f>
        <v>14</v>
      </c>
    </row>
    <row r="352" spans="1:23" hidden="1">
      <c r="A352" s="258">
        <v>1</v>
      </c>
      <c r="B352" s="276" t="s">
        <v>536</v>
      </c>
      <c r="C352" s="278" t="s">
        <v>554</v>
      </c>
      <c r="D352" s="277" t="s">
        <v>551</v>
      </c>
      <c r="E352" s="277" t="s">
        <v>537</v>
      </c>
      <c r="F352" s="261"/>
      <c r="G352" s="262"/>
      <c r="H352" s="262"/>
      <c r="I352" s="260" t="s">
        <v>442</v>
      </c>
      <c r="J352" s="278" t="s">
        <v>443</v>
      </c>
      <c r="K352" s="285" t="s">
        <v>580</v>
      </c>
      <c r="L352" s="277" t="s">
        <v>540</v>
      </c>
      <c r="M352" s="263"/>
      <c r="N352" s="263"/>
      <c r="O352" s="264">
        <v>1000</v>
      </c>
      <c r="P352" s="264">
        <v>1200</v>
      </c>
      <c r="Q352" s="265">
        <v>1</v>
      </c>
      <c r="R352" s="30">
        <f>MBQ[[#This Row],[HEIGHT (mm)]]*MBQ[[#This Row],[QTY TOTAL]]/1000</f>
        <v>1</v>
      </c>
      <c r="S352" s="30">
        <f>MBQ[[#This Row],[WIDTH (mm)]]*MBQ[[#This Row],[QTY TOTAL]]/1000</f>
        <v>1.2</v>
      </c>
      <c r="T352" s="9">
        <f>(MBQ[[#This Row],[HEIGHT (mm)]]+MBQ[[#This Row],[WIDTH (mm)]])/1000*2*MBQ[[#This Row],[QTY TOTAL]]</f>
        <v>4.4000000000000004</v>
      </c>
      <c r="U352" s="266">
        <f>MBQ[[#This Row],[MULTIPLIER]]*MBQ[[#This Row],[QTY]]</f>
        <v>1</v>
      </c>
      <c r="V352" s="9">
        <f>MBQ[[#This Row],[HEIGHT (mm)]]/1000*MBQ[[#This Row],[WIDTH (mm)]]/1000*MBQ[[#This Row],[QTY TOTAL]]</f>
        <v>1.2</v>
      </c>
      <c r="W352" s="287">
        <f>ROUNDUP(MBQ[[#This Row],[HEIGHT (mm)]]/450*MBQ[[#This Row],[QTY]]*2,0)+ROUNDUP(MBQ[[#This Row],[WIDTH (mm)]]/450*MBQ[[#This Row],[QTY]]*2,0)</f>
        <v>11</v>
      </c>
    </row>
    <row r="353" spans="1:23" hidden="1">
      <c r="A353" s="258">
        <v>1</v>
      </c>
      <c r="B353" s="276" t="s">
        <v>536</v>
      </c>
      <c r="C353" s="278" t="s">
        <v>554</v>
      </c>
      <c r="D353" s="277" t="s">
        <v>551</v>
      </c>
      <c r="E353" s="277" t="s">
        <v>537</v>
      </c>
      <c r="F353" s="261"/>
      <c r="G353" s="262"/>
      <c r="H353" s="262"/>
      <c r="I353" s="260" t="s">
        <v>442</v>
      </c>
      <c r="J353" s="278" t="s">
        <v>443</v>
      </c>
      <c r="K353" s="285" t="s">
        <v>580</v>
      </c>
      <c r="L353" s="277" t="s">
        <v>540</v>
      </c>
      <c r="M353" s="263"/>
      <c r="N353" s="263"/>
      <c r="O353" s="264">
        <v>1300</v>
      </c>
      <c r="P353" s="264">
        <v>1200</v>
      </c>
      <c r="Q353" s="265">
        <v>1</v>
      </c>
      <c r="R353" s="30">
        <f>MBQ[[#This Row],[HEIGHT (mm)]]*MBQ[[#This Row],[QTY TOTAL]]/1000</f>
        <v>1.3</v>
      </c>
      <c r="S353" s="30">
        <f>MBQ[[#This Row],[WIDTH (mm)]]*MBQ[[#This Row],[QTY TOTAL]]/1000</f>
        <v>1.2</v>
      </c>
      <c r="T353" s="9">
        <f>(MBQ[[#This Row],[HEIGHT (mm)]]+MBQ[[#This Row],[WIDTH (mm)]])/1000*2*MBQ[[#This Row],[QTY TOTAL]]</f>
        <v>5</v>
      </c>
      <c r="U353" s="266">
        <f>MBQ[[#This Row],[MULTIPLIER]]*MBQ[[#This Row],[QTY]]</f>
        <v>1</v>
      </c>
      <c r="V353" s="9">
        <f>MBQ[[#This Row],[HEIGHT (mm)]]/1000*MBQ[[#This Row],[WIDTH (mm)]]/1000*MBQ[[#This Row],[QTY TOTAL]]</f>
        <v>1.56</v>
      </c>
      <c r="W353" s="287">
        <f>ROUNDUP(MBQ[[#This Row],[HEIGHT (mm)]]/450*MBQ[[#This Row],[QTY]]*2,0)+ROUNDUP(MBQ[[#This Row],[WIDTH (mm)]]/450*MBQ[[#This Row],[QTY]]*2,0)</f>
        <v>12</v>
      </c>
    </row>
    <row r="354" spans="1:23" hidden="1">
      <c r="A354" s="258">
        <v>1</v>
      </c>
      <c r="B354" s="276" t="s">
        <v>536</v>
      </c>
      <c r="C354" s="278" t="s">
        <v>554</v>
      </c>
      <c r="D354" s="277" t="s">
        <v>551</v>
      </c>
      <c r="E354" s="277" t="s">
        <v>537</v>
      </c>
      <c r="F354" s="261"/>
      <c r="G354" s="262"/>
      <c r="H354" s="262"/>
      <c r="I354" s="260" t="s">
        <v>442</v>
      </c>
      <c r="J354" s="278" t="s">
        <v>443</v>
      </c>
      <c r="K354" s="285" t="s">
        <v>580</v>
      </c>
      <c r="L354" s="277" t="s">
        <v>541</v>
      </c>
      <c r="M354" s="263"/>
      <c r="N354" s="263"/>
      <c r="O354" s="264">
        <v>1700</v>
      </c>
      <c r="P354" s="264">
        <v>1200</v>
      </c>
      <c r="Q354" s="265">
        <v>1</v>
      </c>
      <c r="R354" s="30">
        <f>MBQ[[#This Row],[HEIGHT (mm)]]*MBQ[[#This Row],[QTY TOTAL]]/1000</f>
        <v>1.7</v>
      </c>
      <c r="S354" s="30">
        <f>MBQ[[#This Row],[WIDTH (mm)]]*MBQ[[#This Row],[QTY TOTAL]]/1000</f>
        <v>1.2</v>
      </c>
      <c r="T354" s="9">
        <f>(MBQ[[#This Row],[HEIGHT (mm)]]+MBQ[[#This Row],[WIDTH (mm)]])/1000*2*MBQ[[#This Row],[QTY TOTAL]]</f>
        <v>5.8</v>
      </c>
      <c r="U354" s="266">
        <f>MBQ[[#This Row],[MULTIPLIER]]*MBQ[[#This Row],[QTY]]</f>
        <v>1</v>
      </c>
      <c r="V354" s="9">
        <f>MBQ[[#This Row],[HEIGHT (mm)]]/1000*MBQ[[#This Row],[WIDTH (mm)]]/1000*MBQ[[#This Row],[QTY TOTAL]]</f>
        <v>2.04</v>
      </c>
      <c r="W354" s="287">
        <f>ROUNDUP(MBQ[[#This Row],[HEIGHT (mm)]]/450*MBQ[[#This Row],[QTY]]*2,0)+ROUNDUP(MBQ[[#This Row],[WIDTH (mm)]]/450*MBQ[[#This Row],[QTY]]*2,0)</f>
        <v>14</v>
      </c>
    </row>
    <row r="355" spans="1:23" hidden="1">
      <c r="A355" s="258">
        <v>1</v>
      </c>
      <c r="B355" s="276" t="s">
        <v>536</v>
      </c>
      <c r="C355" s="278" t="s">
        <v>554</v>
      </c>
      <c r="D355" s="277" t="s">
        <v>551</v>
      </c>
      <c r="E355" s="277" t="s">
        <v>537</v>
      </c>
      <c r="F355" s="261"/>
      <c r="G355" s="262"/>
      <c r="H355" s="262"/>
      <c r="I355" s="260" t="s">
        <v>442</v>
      </c>
      <c r="J355" s="278" t="s">
        <v>443</v>
      </c>
      <c r="K355" s="285" t="s">
        <v>580</v>
      </c>
      <c r="L355" s="277" t="s">
        <v>540</v>
      </c>
      <c r="M355" s="263"/>
      <c r="N355" s="263"/>
      <c r="O355" s="264">
        <v>1000</v>
      </c>
      <c r="P355" s="264">
        <v>1200</v>
      </c>
      <c r="Q355" s="265">
        <v>1</v>
      </c>
      <c r="R355" s="30">
        <f>MBQ[[#This Row],[HEIGHT (mm)]]*MBQ[[#This Row],[QTY TOTAL]]/1000</f>
        <v>1</v>
      </c>
      <c r="S355" s="30">
        <f>MBQ[[#This Row],[WIDTH (mm)]]*MBQ[[#This Row],[QTY TOTAL]]/1000</f>
        <v>1.2</v>
      </c>
      <c r="T355" s="9">
        <f>(MBQ[[#This Row],[HEIGHT (mm)]]+MBQ[[#This Row],[WIDTH (mm)]])/1000*2*MBQ[[#This Row],[QTY TOTAL]]</f>
        <v>4.4000000000000004</v>
      </c>
      <c r="U355" s="266">
        <f>MBQ[[#This Row],[MULTIPLIER]]*MBQ[[#This Row],[QTY]]</f>
        <v>1</v>
      </c>
      <c r="V355" s="9">
        <f>MBQ[[#This Row],[HEIGHT (mm)]]/1000*MBQ[[#This Row],[WIDTH (mm)]]/1000*MBQ[[#This Row],[QTY TOTAL]]</f>
        <v>1.2</v>
      </c>
      <c r="W355" s="287">
        <f>ROUNDUP(MBQ[[#This Row],[HEIGHT (mm)]]/450*MBQ[[#This Row],[QTY]]*2,0)+ROUNDUP(MBQ[[#This Row],[WIDTH (mm)]]/450*MBQ[[#This Row],[QTY]]*2,0)</f>
        <v>11</v>
      </c>
    </row>
    <row r="356" spans="1:23" hidden="1">
      <c r="A356" s="258">
        <v>1</v>
      </c>
      <c r="B356" s="276" t="s">
        <v>536</v>
      </c>
      <c r="C356" s="278" t="s">
        <v>554</v>
      </c>
      <c r="D356" s="277" t="s">
        <v>551</v>
      </c>
      <c r="E356" s="277" t="s">
        <v>537</v>
      </c>
      <c r="F356" s="261"/>
      <c r="G356" s="262"/>
      <c r="H356" s="262"/>
      <c r="I356" s="260" t="s">
        <v>442</v>
      </c>
      <c r="J356" s="278" t="s">
        <v>443</v>
      </c>
      <c r="K356" s="285" t="s">
        <v>580</v>
      </c>
      <c r="L356" s="277" t="s">
        <v>540</v>
      </c>
      <c r="M356" s="263"/>
      <c r="N356" s="263"/>
      <c r="O356" s="264">
        <v>1300</v>
      </c>
      <c r="P356" s="264">
        <v>1200</v>
      </c>
      <c r="Q356" s="265">
        <v>1</v>
      </c>
      <c r="R356" s="30">
        <f>MBQ[[#This Row],[HEIGHT (mm)]]*MBQ[[#This Row],[QTY TOTAL]]/1000</f>
        <v>1.3</v>
      </c>
      <c r="S356" s="30">
        <f>MBQ[[#This Row],[WIDTH (mm)]]*MBQ[[#This Row],[QTY TOTAL]]/1000</f>
        <v>1.2</v>
      </c>
      <c r="T356" s="9">
        <f>(MBQ[[#This Row],[HEIGHT (mm)]]+MBQ[[#This Row],[WIDTH (mm)]])/1000*2*MBQ[[#This Row],[QTY TOTAL]]</f>
        <v>5</v>
      </c>
      <c r="U356" s="266">
        <f>MBQ[[#This Row],[MULTIPLIER]]*MBQ[[#This Row],[QTY]]</f>
        <v>1</v>
      </c>
      <c r="V356" s="9">
        <f>MBQ[[#This Row],[HEIGHT (mm)]]/1000*MBQ[[#This Row],[WIDTH (mm)]]/1000*MBQ[[#This Row],[QTY TOTAL]]</f>
        <v>1.56</v>
      </c>
      <c r="W356" s="287">
        <f>ROUNDUP(MBQ[[#This Row],[HEIGHT (mm)]]/450*MBQ[[#This Row],[QTY]]*2,0)+ROUNDUP(MBQ[[#This Row],[WIDTH (mm)]]/450*MBQ[[#This Row],[QTY]]*2,0)</f>
        <v>12</v>
      </c>
    </row>
    <row r="357" spans="1:23" hidden="1">
      <c r="A357" s="258">
        <v>1</v>
      </c>
      <c r="B357" s="276" t="s">
        <v>536</v>
      </c>
      <c r="C357" s="278" t="s">
        <v>554</v>
      </c>
      <c r="D357" s="277" t="s">
        <v>551</v>
      </c>
      <c r="E357" s="277" t="s">
        <v>537</v>
      </c>
      <c r="F357" s="261"/>
      <c r="G357" s="262"/>
      <c r="H357" s="262"/>
      <c r="I357" s="260" t="s">
        <v>442</v>
      </c>
      <c r="J357" s="278" t="s">
        <v>443</v>
      </c>
      <c r="K357" s="285" t="s">
        <v>580</v>
      </c>
      <c r="L357" s="277" t="s">
        <v>541</v>
      </c>
      <c r="M357" s="263"/>
      <c r="N357" s="263"/>
      <c r="O357" s="264">
        <v>1700</v>
      </c>
      <c r="P357" s="264">
        <v>1200</v>
      </c>
      <c r="Q357" s="265">
        <v>1</v>
      </c>
      <c r="R357" s="30">
        <f>MBQ[[#This Row],[HEIGHT (mm)]]*MBQ[[#This Row],[QTY TOTAL]]/1000</f>
        <v>1.7</v>
      </c>
      <c r="S357" s="30">
        <f>MBQ[[#This Row],[WIDTH (mm)]]*MBQ[[#This Row],[QTY TOTAL]]/1000</f>
        <v>1.2</v>
      </c>
      <c r="T357" s="9">
        <f>(MBQ[[#This Row],[HEIGHT (mm)]]+MBQ[[#This Row],[WIDTH (mm)]])/1000*2*MBQ[[#This Row],[QTY TOTAL]]</f>
        <v>5.8</v>
      </c>
      <c r="U357" s="266">
        <f>MBQ[[#This Row],[MULTIPLIER]]*MBQ[[#This Row],[QTY]]</f>
        <v>1</v>
      </c>
      <c r="V357" s="9">
        <f>MBQ[[#This Row],[HEIGHT (mm)]]/1000*MBQ[[#This Row],[WIDTH (mm)]]/1000*MBQ[[#This Row],[QTY TOTAL]]</f>
        <v>2.04</v>
      </c>
      <c r="W357" s="287">
        <f>ROUNDUP(MBQ[[#This Row],[HEIGHT (mm)]]/450*MBQ[[#This Row],[QTY]]*2,0)+ROUNDUP(MBQ[[#This Row],[WIDTH (mm)]]/450*MBQ[[#This Row],[QTY]]*2,0)</f>
        <v>14</v>
      </c>
    </row>
    <row r="358" spans="1:23" hidden="1">
      <c r="A358" s="258">
        <v>1</v>
      </c>
      <c r="B358" s="276" t="s">
        <v>536</v>
      </c>
      <c r="C358" s="278" t="s">
        <v>554</v>
      </c>
      <c r="D358" s="277" t="s">
        <v>551</v>
      </c>
      <c r="E358" s="277" t="s">
        <v>537</v>
      </c>
      <c r="F358" s="261"/>
      <c r="G358" s="262"/>
      <c r="H358" s="262"/>
      <c r="I358" s="260" t="s">
        <v>442</v>
      </c>
      <c r="J358" s="278" t="s">
        <v>443</v>
      </c>
      <c r="K358" s="285" t="s">
        <v>580</v>
      </c>
      <c r="L358" s="277" t="s">
        <v>540</v>
      </c>
      <c r="M358" s="263"/>
      <c r="N358" s="263"/>
      <c r="O358" s="264">
        <v>1000</v>
      </c>
      <c r="P358" s="264">
        <v>1200</v>
      </c>
      <c r="Q358" s="265">
        <v>1</v>
      </c>
      <c r="R358" s="30">
        <f>MBQ[[#This Row],[HEIGHT (mm)]]*MBQ[[#This Row],[QTY TOTAL]]/1000</f>
        <v>1</v>
      </c>
      <c r="S358" s="30">
        <f>MBQ[[#This Row],[WIDTH (mm)]]*MBQ[[#This Row],[QTY TOTAL]]/1000</f>
        <v>1.2</v>
      </c>
      <c r="T358" s="9">
        <f>(MBQ[[#This Row],[HEIGHT (mm)]]+MBQ[[#This Row],[WIDTH (mm)]])/1000*2*MBQ[[#This Row],[QTY TOTAL]]</f>
        <v>4.4000000000000004</v>
      </c>
      <c r="U358" s="266">
        <f>MBQ[[#This Row],[MULTIPLIER]]*MBQ[[#This Row],[QTY]]</f>
        <v>1</v>
      </c>
      <c r="V358" s="9">
        <f>MBQ[[#This Row],[HEIGHT (mm)]]/1000*MBQ[[#This Row],[WIDTH (mm)]]/1000*MBQ[[#This Row],[QTY TOTAL]]</f>
        <v>1.2</v>
      </c>
      <c r="W358" s="287">
        <f>ROUNDUP(MBQ[[#This Row],[HEIGHT (mm)]]/450*MBQ[[#This Row],[QTY]]*2,0)+ROUNDUP(MBQ[[#This Row],[WIDTH (mm)]]/450*MBQ[[#This Row],[QTY]]*2,0)</f>
        <v>11</v>
      </c>
    </row>
    <row r="359" spans="1:23" hidden="1">
      <c r="A359" s="258">
        <v>1</v>
      </c>
      <c r="B359" s="276" t="s">
        <v>536</v>
      </c>
      <c r="C359" s="278" t="s">
        <v>554</v>
      </c>
      <c r="D359" s="277" t="s">
        <v>551</v>
      </c>
      <c r="E359" s="277" t="s">
        <v>537</v>
      </c>
      <c r="F359" s="261"/>
      <c r="G359" s="262"/>
      <c r="H359" s="262"/>
      <c r="I359" s="260" t="s">
        <v>442</v>
      </c>
      <c r="J359" s="278" t="s">
        <v>443</v>
      </c>
      <c r="K359" s="285" t="s">
        <v>580</v>
      </c>
      <c r="L359" s="277" t="s">
        <v>540</v>
      </c>
      <c r="M359" s="263"/>
      <c r="N359" s="263"/>
      <c r="O359" s="264">
        <v>1300</v>
      </c>
      <c r="P359" s="264">
        <v>1200</v>
      </c>
      <c r="Q359" s="265">
        <v>1</v>
      </c>
      <c r="R359" s="30">
        <f>MBQ[[#This Row],[HEIGHT (mm)]]*MBQ[[#This Row],[QTY TOTAL]]/1000</f>
        <v>1.3</v>
      </c>
      <c r="S359" s="30">
        <f>MBQ[[#This Row],[WIDTH (mm)]]*MBQ[[#This Row],[QTY TOTAL]]/1000</f>
        <v>1.2</v>
      </c>
      <c r="T359" s="9">
        <f>(MBQ[[#This Row],[HEIGHT (mm)]]+MBQ[[#This Row],[WIDTH (mm)]])/1000*2*MBQ[[#This Row],[QTY TOTAL]]</f>
        <v>5</v>
      </c>
      <c r="U359" s="266">
        <f>MBQ[[#This Row],[MULTIPLIER]]*MBQ[[#This Row],[QTY]]</f>
        <v>1</v>
      </c>
      <c r="V359" s="9">
        <f>MBQ[[#This Row],[HEIGHT (mm)]]/1000*MBQ[[#This Row],[WIDTH (mm)]]/1000*MBQ[[#This Row],[QTY TOTAL]]</f>
        <v>1.56</v>
      </c>
      <c r="W359" s="287">
        <f>ROUNDUP(MBQ[[#This Row],[HEIGHT (mm)]]/450*MBQ[[#This Row],[QTY]]*2,0)+ROUNDUP(MBQ[[#This Row],[WIDTH (mm)]]/450*MBQ[[#This Row],[QTY]]*2,0)</f>
        <v>12</v>
      </c>
    </row>
    <row r="360" spans="1:23" hidden="1">
      <c r="A360" s="258">
        <v>1</v>
      </c>
      <c r="B360" s="276" t="s">
        <v>536</v>
      </c>
      <c r="C360" s="278" t="s">
        <v>554</v>
      </c>
      <c r="D360" s="277" t="s">
        <v>551</v>
      </c>
      <c r="E360" s="277" t="s">
        <v>537</v>
      </c>
      <c r="F360" s="261"/>
      <c r="G360" s="262"/>
      <c r="H360" s="262"/>
      <c r="I360" s="260" t="s">
        <v>442</v>
      </c>
      <c r="J360" s="278" t="s">
        <v>443</v>
      </c>
      <c r="K360" s="285" t="s">
        <v>580</v>
      </c>
      <c r="L360" s="277" t="s">
        <v>541</v>
      </c>
      <c r="M360" s="263"/>
      <c r="N360" s="263"/>
      <c r="O360" s="264">
        <v>1700</v>
      </c>
      <c r="P360" s="264">
        <v>1200</v>
      </c>
      <c r="Q360" s="265">
        <v>1</v>
      </c>
      <c r="R360" s="30">
        <f>MBQ[[#This Row],[HEIGHT (mm)]]*MBQ[[#This Row],[QTY TOTAL]]/1000</f>
        <v>1.7</v>
      </c>
      <c r="S360" s="30">
        <f>MBQ[[#This Row],[WIDTH (mm)]]*MBQ[[#This Row],[QTY TOTAL]]/1000</f>
        <v>1.2</v>
      </c>
      <c r="T360" s="9">
        <f>(MBQ[[#This Row],[HEIGHT (mm)]]+MBQ[[#This Row],[WIDTH (mm)]])/1000*2*MBQ[[#This Row],[QTY TOTAL]]</f>
        <v>5.8</v>
      </c>
      <c r="U360" s="266">
        <f>MBQ[[#This Row],[MULTIPLIER]]*MBQ[[#This Row],[QTY]]</f>
        <v>1</v>
      </c>
      <c r="V360" s="9">
        <f>MBQ[[#This Row],[HEIGHT (mm)]]/1000*MBQ[[#This Row],[WIDTH (mm)]]/1000*MBQ[[#This Row],[QTY TOTAL]]</f>
        <v>2.04</v>
      </c>
      <c r="W360" s="287">
        <f>ROUNDUP(MBQ[[#This Row],[HEIGHT (mm)]]/450*MBQ[[#This Row],[QTY]]*2,0)+ROUNDUP(MBQ[[#This Row],[WIDTH (mm)]]/450*MBQ[[#This Row],[QTY]]*2,0)</f>
        <v>14</v>
      </c>
    </row>
    <row r="361" spans="1:23" hidden="1">
      <c r="A361" s="258">
        <v>1</v>
      </c>
      <c r="B361" s="276" t="s">
        <v>536</v>
      </c>
      <c r="C361" s="278" t="s">
        <v>554</v>
      </c>
      <c r="D361" s="277" t="s">
        <v>551</v>
      </c>
      <c r="E361" s="277" t="s">
        <v>537</v>
      </c>
      <c r="F361" s="261"/>
      <c r="G361" s="262"/>
      <c r="H361" s="262"/>
      <c r="I361" s="260" t="s">
        <v>442</v>
      </c>
      <c r="J361" s="278" t="s">
        <v>443</v>
      </c>
      <c r="K361" s="285" t="s">
        <v>580</v>
      </c>
      <c r="L361" s="277" t="s">
        <v>540</v>
      </c>
      <c r="M361" s="263"/>
      <c r="N361" s="263"/>
      <c r="O361" s="264">
        <v>1000</v>
      </c>
      <c r="P361" s="264">
        <v>1200</v>
      </c>
      <c r="Q361" s="265">
        <v>1</v>
      </c>
      <c r="R361" s="30">
        <f>MBQ[[#This Row],[HEIGHT (mm)]]*MBQ[[#This Row],[QTY TOTAL]]/1000</f>
        <v>1</v>
      </c>
      <c r="S361" s="30">
        <f>MBQ[[#This Row],[WIDTH (mm)]]*MBQ[[#This Row],[QTY TOTAL]]/1000</f>
        <v>1.2</v>
      </c>
      <c r="T361" s="9">
        <f>(MBQ[[#This Row],[HEIGHT (mm)]]+MBQ[[#This Row],[WIDTH (mm)]])/1000*2*MBQ[[#This Row],[QTY TOTAL]]</f>
        <v>4.4000000000000004</v>
      </c>
      <c r="U361" s="266">
        <f>MBQ[[#This Row],[MULTIPLIER]]*MBQ[[#This Row],[QTY]]</f>
        <v>1</v>
      </c>
      <c r="V361" s="9">
        <f>MBQ[[#This Row],[HEIGHT (mm)]]/1000*MBQ[[#This Row],[WIDTH (mm)]]/1000*MBQ[[#This Row],[QTY TOTAL]]</f>
        <v>1.2</v>
      </c>
      <c r="W361" s="287">
        <f>ROUNDUP(MBQ[[#This Row],[HEIGHT (mm)]]/450*MBQ[[#This Row],[QTY]]*2,0)+ROUNDUP(MBQ[[#This Row],[WIDTH (mm)]]/450*MBQ[[#This Row],[QTY]]*2,0)</f>
        <v>11</v>
      </c>
    </row>
    <row r="362" spans="1:23" hidden="1">
      <c r="A362" s="258">
        <v>1</v>
      </c>
      <c r="B362" s="276" t="s">
        <v>536</v>
      </c>
      <c r="C362" s="278" t="s">
        <v>554</v>
      </c>
      <c r="D362" s="277" t="s">
        <v>551</v>
      </c>
      <c r="E362" s="277" t="s">
        <v>537</v>
      </c>
      <c r="F362" s="261"/>
      <c r="G362" s="262"/>
      <c r="H362" s="262"/>
      <c r="I362" s="260" t="s">
        <v>442</v>
      </c>
      <c r="J362" s="278" t="s">
        <v>443</v>
      </c>
      <c r="K362" s="285" t="s">
        <v>580</v>
      </c>
      <c r="L362" s="277" t="s">
        <v>540</v>
      </c>
      <c r="M362" s="263"/>
      <c r="N362" s="263"/>
      <c r="O362" s="264">
        <v>1300</v>
      </c>
      <c r="P362" s="264">
        <v>1200</v>
      </c>
      <c r="Q362" s="265">
        <v>1</v>
      </c>
      <c r="R362" s="30">
        <f>MBQ[[#This Row],[HEIGHT (mm)]]*MBQ[[#This Row],[QTY TOTAL]]/1000</f>
        <v>1.3</v>
      </c>
      <c r="S362" s="30">
        <f>MBQ[[#This Row],[WIDTH (mm)]]*MBQ[[#This Row],[QTY TOTAL]]/1000</f>
        <v>1.2</v>
      </c>
      <c r="T362" s="9">
        <f>(MBQ[[#This Row],[HEIGHT (mm)]]+MBQ[[#This Row],[WIDTH (mm)]])/1000*2*MBQ[[#This Row],[QTY TOTAL]]</f>
        <v>5</v>
      </c>
      <c r="U362" s="266">
        <f>MBQ[[#This Row],[MULTIPLIER]]*MBQ[[#This Row],[QTY]]</f>
        <v>1</v>
      </c>
      <c r="V362" s="9">
        <f>MBQ[[#This Row],[HEIGHT (mm)]]/1000*MBQ[[#This Row],[WIDTH (mm)]]/1000*MBQ[[#This Row],[QTY TOTAL]]</f>
        <v>1.56</v>
      </c>
      <c r="W362" s="287">
        <f>ROUNDUP(MBQ[[#This Row],[HEIGHT (mm)]]/450*MBQ[[#This Row],[QTY]]*2,0)+ROUNDUP(MBQ[[#This Row],[WIDTH (mm)]]/450*MBQ[[#This Row],[QTY]]*2,0)</f>
        <v>12</v>
      </c>
    </row>
    <row r="363" spans="1:23" hidden="1">
      <c r="A363" s="258">
        <v>1</v>
      </c>
      <c r="B363" s="276" t="s">
        <v>536</v>
      </c>
      <c r="C363" s="278" t="s">
        <v>554</v>
      </c>
      <c r="D363" s="277" t="s">
        <v>551</v>
      </c>
      <c r="E363" s="277" t="s">
        <v>537</v>
      </c>
      <c r="F363" s="261"/>
      <c r="G363" s="262"/>
      <c r="H363" s="262"/>
      <c r="I363" s="260" t="s">
        <v>442</v>
      </c>
      <c r="J363" s="278" t="s">
        <v>443</v>
      </c>
      <c r="K363" s="285" t="s">
        <v>580</v>
      </c>
      <c r="L363" s="277" t="s">
        <v>541</v>
      </c>
      <c r="M363" s="263"/>
      <c r="N363" s="263"/>
      <c r="O363" s="264">
        <v>1700</v>
      </c>
      <c r="P363" s="264">
        <v>1200</v>
      </c>
      <c r="Q363" s="265">
        <v>1</v>
      </c>
      <c r="R363" s="30">
        <f>MBQ[[#This Row],[HEIGHT (mm)]]*MBQ[[#This Row],[QTY TOTAL]]/1000</f>
        <v>1.7</v>
      </c>
      <c r="S363" s="30">
        <f>MBQ[[#This Row],[WIDTH (mm)]]*MBQ[[#This Row],[QTY TOTAL]]/1000</f>
        <v>1.2</v>
      </c>
      <c r="T363" s="9">
        <f>(MBQ[[#This Row],[HEIGHT (mm)]]+MBQ[[#This Row],[WIDTH (mm)]])/1000*2*MBQ[[#This Row],[QTY TOTAL]]</f>
        <v>5.8</v>
      </c>
      <c r="U363" s="266">
        <f>MBQ[[#This Row],[MULTIPLIER]]*MBQ[[#This Row],[QTY]]</f>
        <v>1</v>
      </c>
      <c r="V363" s="9">
        <f>MBQ[[#This Row],[HEIGHT (mm)]]/1000*MBQ[[#This Row],[WIDTH (mm)]]/1000*MBQ[[#This Row],[QTY TOTAL]]</f>
        <v>2.04</v>
      </c>
      <c r="W363" s="287">
        <f>ROUNDUP(MBQ[[#This Row],[HEIGHT (mm)]]/450*MBQ[[#This Row],[QTY]]*2,0)+ROUNDUP(MBQ[[#This Row],[WIDTH (mm)]]/450*MBQ[[#This Row],[QTY]]*2,0)</f>
        <v>14</v>
      </c>
    </row>
    <row r="364" spans="1:23" hidden="1">
      <c r="A364" s="258">
        <v>1</v>
      </c>
      <c r="B364" s="276" t="s">
        <v>536</v>
      </c>
      <c r="C364" s="278" t="s">
        <v>554</v>
      </c>
      <c r="D364" s="277" t="s">
        <v>551</v>
      </c>
      <c r="E364" s="277" t="s">
        <v>537</v>
      </c>
      <c r="F364" s="261"/>
      <c r="G364" s="262"/>
      <c r="H364" s="262"/>
      <c r="I364" s="260" t="s">
        <v>442</v>
      </c>
      <c r="J364" s="278" t="s">
        <v>443</v>
      </c>
      <c r="K364" s="285" t="s">
        <v>580</v>
      </c>
      <c r="L364" s="277" t="s">
        <v>540</v>
      </c>
      <c r="M364" s="263"/>
      <c r="N364" s="263"/>
      <c r="O364" s="264">
        <v>1000</v>
      </c>
      <c r="P364" s="264">
        <v>1200</v>
      </c>
      <c r="Q364" s="265">
        <v>1</v>
      </c>
      <c r="R364" s="30">
        <f>MBQ[[#This Row],[HEIGHT (mm)]]*MBQ[[#This Row],[QTY TOTAL]]/1000</f>
        <v>1</v>
      </c>
      <c r="S364" s="30">
        <f>MBQ[[#This Row],[WIDTH (mm)]]*MBQ[[#This Row],[QTY TOTAL]]/1000</f>
        <v>1.2</v>
      </c>
      <c r="T364" s="9">
        <f>(MBQ[[#This Row],[HEIGHT (mm)]]+MBQ[[#This Row],[WIDTH (mm)]])/1000*2*MBQ[[#This Row],[QTY TOTAL]]</f>
        <v>4.4000000000000004</v>
      </c>
      <c r="U364" s="266">
        <f>MBQ[[#This Row],[MULTIPLIER]]*MBQ[[#This Row],[QTY]]</f>
        <v>1</v>
      </c>
      <c r="V364" s="9">
        <f>MBQ[[#This Row],[HEIGHT (mm)]]/1000*MBQ[[#This Row],[WIDTH (mm)]]/1000*MBQ[[#This Row],[QTY TOTAL]]</f>
        <v>1.2</v>
      </c>
      <c r="W364" s="287">
        <f>ROUNDUP(MBQ[[#This Row],[HEIGHT (mm)]]/450*MBQ[[#This Row],[QTY]]*2,0)+ROUNDUP(MBQ[[#This Row],[WIDTH (mm)]]/450*MBQ[[#This Row],[QTY]]*2,0)</f>
        <v>11</v>
      </c>
    </row>
    <row r="365" spans="1:23" hidden="1">
      <c r="A365" s="258">
        <v>1</v>
      </c>
      <c r="B365" s="276" t="s">
        <v>536</v>
      </c>
      <c r="C365" s="278" t="s">
        <v>554</v>
      </c>
      <c r="D365" s="277" t="s">
        <v>551</v>
      </c>
      <c r="E365" s="277" t="s">
        <v>537</v>
      </c>
      <c r="F365" s="261"/>
      <c r="G365" s="262"/>
      <c r="H365" s="262"/>
      <c r="I365" s="260" t="s">
        <v>442</v>
      </c>
      <c r="J365" s="278" t="s">
        <v>443</v>
      </c>
      <c r="K365" s="285" t="s">
        <v>580</v>
      </c>
      <c r="L365" s="277" t="s">
        <v>540</v>
      </c>
      <c r="M365" s="263"/>
      <c r="N365" s="263"/>
      <c r="O365" s="264">
        <v>1300</v>
      </c>
      <c r="P365" s="264">
        <v>1200</v>
      </c>
      <c r="Q365" s="265">
        <v>1</v>
      </c>
      <c r="R365" s="30">
        <f>MBQ[[#This Row],[HEIGHT (mm)]]*MBQ[[#This Row],[QTY TOTAL]]/1000</f>
        <v>1.3</v>
      </c>
      <c r="S365" s="30">
        <f>MBQ[[#This Row],[WIDTH (mm)]]*MBQ[[#This Row],[QTY TOTAL]]/1000</f>
        <v>1.2</v>
      </c>
      <c r="T365" s="9">
        <f>(MBQ[[#This Row],[HEIGHT (mm)]]+MBQ[[#This Row],[WIDTH (mm)]])/1000*2*MBQ[[#This Row],[QTY TOTAL]]</f>
        <v>5</v>
      </c>
      <c r="U365" s="266">
        <f>MBQ[[#This Row],[MULTIPLIER]]*MBQ[[#This Row],[QTY]]</f>
        <v>1</v>
      </c>
      <c r="V365" s="9">
        <f>MBQ[[#This Row],[HEIGHT (mm)]]/1000*MBQ[[#This Row],[WIDTH (mm)]]/1000*MBQ[[#This Row],[QTY TOTAL]]</f>
        <v>1.56</v>
      </c>
      <c r="W365" s="287">
        <f>ROUNDUP(MBQ[[#This Row],[HEIGHT (mm)]]/450*MBQ[[#This Row],[QTY]]*2,0)+ROUNDUP(MBQ[[#This Row],[WIDTH (mm)]]/450*MBQ[[#This Row],[QTY]]*2,0)</f>
        <v>12</v>
      </c>
    </row>
    <row r="366" spans="1:23" hidden="1">
      <c r="A366" s="258">
        <v>1</v>
      </c>
      <c r="B366" s="276" t="s">
        <v>536</v>
      </c>
      <c r="C366" s="278" t="s">
        <v>554</v>
      </c>
      <c r="D366" s="277" t="s">
        <v>551</v>
      </c>
      <c r="E366" s="277" t="s">
        <v>537</v>
      </c>
      <c r="F366" s="261"/>
      <c r="G366" s="262"/>
      <c r="H366" s="262"/>
      <c r="I366" s="260" t="s">
        <v>442</v>
      </c>
      <c r="J366" s="278" t="s">
        <v>443</v>
      </c>
      <c r="K366" s="285" t="s">
        <v>580</v>
      </c>
      <c r="L366" s="277" t="s">
        <v>541</v>
      </c>
      <c r="M366" s="263"/>
      <c r="N366" s="263"/>
      <c r="O366" s="264">
        <v>1700</v>
      </c>
      <c r="P366" s="264">
        <v>1200</v>
      </c>
      <c r="Q366" s="265">
        <v>1</v>
      </c>
      <c r="R366" s="30">
        <f>MBQ[[#This Row],[HEIGHT (mm)]]*MBQ[[#This Row],[QTY TOTAL]]/1000</f>
        <v>1.7</v>
      </c>
      <c r="S366" s="30">
        <f>MBQ[[#This Row],[WIDTH (mm)]]*MBQ[[#This Row],[QTY TOTAL]]/1000</f>
        <v>1.2</v>
      </c>
      <c r="T366" s="9">
        <f>(MBQ[[#This Row],[HEIGHT (mm)]]+MBQ[[#This Row],[WIDTH (mm)]])/1000*2*MBQ[[#This Row],[QTY TOTAL]]</f>
        <v>5.8</v>
      </c>
      <c r="U366" s="266">
        <f>MBQ[[#This Row],[MULTIPLIER]]*MBQ[[#This Row],[QTY]]</f>
        <v>1</v>
      </c>
      <c r="V366" s="9">
        <f>MBQ[[#This Row],[HEIGHT (mm)]]/1000*MBQ[[#This Row],[WIDTH (mm)]]/1000*MBQ[[#This Row],[QTY TOTAL]]</f>
        <v>2.04</v>
      </c>
      <c r="W366" s="287">
        <f>ROUNDUP(MBQ[[#This Row],[HEIGHT (mm)]]/450*MBQ[[#This Row],[QTY]]*2,0)+ROUNDUP(MBQ[[#This Row],[WIDTH (mm)]]/450*MBQ[[#This Row],[QTY]]*2,0)</f>
        <v>14</v>
      </c>
    </row>
    <row r="367" spans="1:23" hidden="1">
      <c r="A367" s="258">
        <v>1</v>
      </c>
      <c r="B367" s="276" t="s">
        <v>536</v>
      </c>
      <c r="C367" s="278" t="s">
        <v>554</v>
      </c>
      <c r="D367" s="277" t="s">
        <v>551</v>
      </c>
      <c r="E367" s="277" t="s">
        <v>537</v>
      </c>
      <c r="F367" s="261"/>
      <c r="G367" s="262"/>
      <c r="H367" s="262"/>
      <c r="I367" s="260" t="s">
        <v>442</v>
      </c>
      <c r="J367" s="278" t="s">
        <v>443</v>
      </c>
      <c r="K367" s="285" t="s">
        <v>580</v>
      </c>
      <c r="L367" s="277" t="s">
        <v>540</v>
      </c>
      <c r="M367" s="263"/>
      <c r="N367" s="263"/>
      <c r="O367" s="264">
        <v>1000</v>
      </c>
      <c r="P367" s="264">
        <v>1200</v>
      </c>
      <c r="Q367" s="265">
        <v>1</v>
      </c>
      <c r="R367" s="30">
        <f>MBQ[[#This Row],[HEIGHT (mm)]]*MBQ[[#This Row],[QTY TOTAL]]/1000</f>
        <v>1</v>
      </c>
      <c r="S367" s="30">
        <f>MBQ[[#This Row],[WIDTH (mm)]]*MBQ[[#This Row],[QTY TOTAL]]/1000</f>
        <v>1.2</v>
      </c>
      <c r="T367" s="9">
        <f>(MBQ[[#This Row],[HEIGHT (mm)]]+MBQ[[#This Row],[WIDTH (mm)]])/1000*2*MBQ[[#This Row],[QTY TOTAL]]</f>
        <v>4.4000000000000004</v>
      </c>
      <c r="U367" s="266">
        <f>MBQ[[#This Row],[MULTIPLIER]]*MBQ[[#This Row],[QTY]]</f>
        <v>1</v>
      </c>
      <c r="V367" s="9">
        <f>MBQ[[#This Row],[HEIGHT (mm)]]/1000*MBQ[[#This Row],[WIDTH (mm)]]/1000*MBQ[[#This Row],[QTY TOTAL]]</f>
        <v>1.2</v>
      </c>
      <c r="W367" s="287">
        <f>ROUNDUP(MBQ[[#This Row],[HEIGHT (mm)]]/450*MBQ[[#This Row],[QTY]]*2,0)+ROUNDUP(MBQ[[#This Row],[WIDTH (mm)]]/450*MBQ[[#This Row],[QTY]]*2,0)</f>
        <v>11</v>
      </c>
    </row>
    <row r="368" spans="1:23" hidden="1">
      <c r="A368" s="258">
        <v>1</v>
      </c>
      <c r="B368" s="276" t="s">
        <v>536</v>
      </c>
      <c r="C368" s="278" t="s">
        <v>554</v>
      </c>
      <c r="D368" s="277" t="s">
        <v>551</v>
      </c>
      <c r="E368" s="277" t="s">
        <v>537</v>
      </c>
      <c r="F368" s="261"/>
      <c r="G368" s="262"/>
      <c r="H368" s="262"/>
      <c r="I368" s="260" t="s">
        <v>442</v>
      </c>
      <c r="J368" s="278" t="s">
        <v>443</v>
      </c>
      <c r="K368" s="285" t="s">
        <v>580</v>
      </c>
      <c r="L368" s="277" t="s">
        <v>540</v>
      </c>
      <c r="M368" s="263"/>
      <c r="N368" s="263"/>
      <c r="O368" s="264">
        <v>1300</v>
      </c>
      <c r="P368" s="264">
        <v>1200</v>
      </c>
      <c r="Q368" s="265">
        <v>1</v>
      </c>
      <c r="R368" s="30">
        <f>MBQ[[#This Row],[HEIGHT (mm)]]*MBQ[[#This Row],[QTY TOTAL]]/1000</f>
        <v>1.3</v>
      </c>
      <c r="S368" s="30">
        <f>MBQ[[#This Row],[WIDTH (mm)]]*MBQ[[#This Row],[QTY TOTAL]]/1000</f>
        <v>1.2</v>
      </c>
      <c r="T368" s="9">
        <f>(MBQ[[#This Row],[HEIGHT (mm)]]+MBQ[[#This Row],[WIDTH (mm)]])/1000*2*MBQ[[#This Row],[QTY TOTAL]]</f>
        <v>5</v>
      </c>
      <c r="U368" s="266">
        <f>MBQ[[#This Row],[MULTIPLIER]]*MBQ[[#This Row],[QTY]]</f>
        <v>1</v>
      </c>
      <c r="V368" s="9">
        <f>MBQ[[#This Row],[HEIGHT (mm)]]/1000*MBQ[[#This Row],[WIDTH (mm)]]/1000*MBQ[[#This Row],[QTY TOTAL]]</f>
        <v>1.56</v>
      </c>
      <c r="W368" s="287">
        <f>ROUNDUP(MBQ[[#This Row],[HEIGHT (mm)]]/450*MBQ[[#This Row],[QTY]]*2,0)+ROUNDUP(MBQ[[#This Row],[WIDTH (mm)]]/450*MBQ[[#This Row],[QTY]]*2,0)</f>
        <v>12</v>
      </c>
    </row>
    <row r="369" spans="1:23" hidden="1">
      <c r="A369" s="258">
        <v>1</v>
      </c>
      <c r="B369" s="276" t="s">
        <v>536</v>
      </c>
      <c r="C369" s="278" t="s">
        <v>554</v>
      </c>
      <c r="D369" s="277" t="s">
        <v>551</v>
      </c>
      <c r="E369" s="277" t="s">
        <v>537</v>
      </c>
      <c r="F369" s="261"/>
      <c r="G369" s="262"/>
      <c r="H369" s="262"/>
      <c r="I369" s="260" t="s">
        <v>442</v>
      </c>
      <c r="J369" s="278" t="s">
        <v>443</v>
      </c>
      <c r="K369" s="285" t="s">
        <v>580</v>
      </c>
      <c r="L369" s="277" t="s">
        <v>541</v>
      </c>
      <c r="M369" s="263"/>
      <c r="N369" s="263"/>
      <c r="O369" s="264">
        <v>1700</v>
      </c>
      <c r="P369" s="264">
        <v>1200</v>
      </c>
      <c r="Q369" s="265">
        <v>1</v>
      </c>
      <c r="R369" s="30">
        <f>MBQ[[#This Row],[HEIGHT (mm)]]*MBQ[[#This Row],[QTY TOTAL]]/1000</f>
        <v>1.7</v>
      </c>
      <c r="S369" s="30">
        <f>MBQ[[#This Row],[WIDTH (mm)]]*MBQ[[#This Row],[QTY TOTAL]]/1000</f>
        <v>1.2</v>
      </c>
      <c r="T369" s="9">
        <f>(MBQ[[#This Row],[HEIGHT (mm)]]+MBQ[[#This Row],[WIDTH (mm)]])/1000*2*MBQ[[#This Row],[QTY TOTAL]]</f>
        <v>5.8</v>
      </c>
      <c r="U369" s="266">
        <f>MBQ[[#This Row],[MULTIPLIER]]*MBQ[[#This Row],[QTY]]</f>
        <v>1</v>
      </c>
      <c r="V369" s="9">
        <f>MBQ[[#This Row],[HEIGHT (mm)]]/1000*MBQ[[#This Row],[WIDTH (mm)]]/1000*MBQ[[#This Row],[QTY TOTAL]]</f>
        <v>2.04</v>
      </c>
      <c r="W369" s="287">
        <f>ROUNDUP(MBQ[[#This Row],[HEIGHT (mm)]]/450*MBQ[[#This Row],[QTY]]*2,0)+ROUNDUP(MBQ[[#This Row],[WIDTH (mm)]]/450*MBQ[[#This Row],[QTY]]*2,0)</f>
        <v>14</v>
      </c>
    </row>
    <row r="370" spans="1:23" hidden="1">
      <c r="A370" s="258">
        <v>1</v>
      </c>
      <c r="B370" s="276" t="s">
        <v>536</v>
      </c>
      <c r="C370" s="278" t="s">
        <v>554</v>
      </c>
      <c r="D370" s="277" t="s">
        <v>551</v>
      </c>
      <c r="E370" s="277" t="s">
        <v>537</v>
      </c>
      <c r="F370" s="261"/>
      <c r="G370" s="262"/>
      <c r="H370" s="262"/>
      <c r="I370" s="260" t="s">
        <v>442</v>
      </c>
      <c r="J370" s="278" t="s">
        <v>443</v>
      </c>
      <c r="K370" s="285" t="s">
        <v>580</v>
      </c>
      <c r="L370" s="277" t="s">
        <v>540</v>
      </c>
      <c r="M370" s="263"/>
      <c r="N370" s="263"/>
      <c r="O370" s="264">
        <v>1000</v>
      </c>
      <c r="P370" s="264">
        <v>1200</v>
      </c>
      <c r="Q370" s="265">
        <v>1</v>
      </c>
      <c r="R370" s="30">
        <f>MBQ[[#This Row],[HEIGHT (mm)]]*MBQ[[#This Row],[QTY TOTAL]]/1000</f>
        <v>1</v>
      </c>
      <c r="S370" s="30">
        <f>MBQ[[#This Row],[WIDTH (mm)]]*MBQ[[#This Row],[QTY TOTAL]]/1000</f>
        <v>1.2</v>
      </c>
      <c r="T370" s="9">
        <f>(MBQ[[#This Row],[HEIGHT (mm)]]+MBQ[[#This Row],[WIDTH (mm)]])/1000*2*MBQ[[#This Row],[QTY TOTAL]]</f>
        <v>4.4000000000000004</v>
      </c>
      <c r="U370" s="266">
        <f>MBQ[[#This Row],[MULTIPLIER]]*MBQ[[#This Row],[QTY]]</f>
        <v>1</v>
      </c>
      <c r="V370" s="9">
        <f>MBQ[[#This Row],[HEIGHT (mm)]]/1000*MBQ[[#This Row],[WIDTH (mm)]]/1000*MBQ[[#This Row],[QTY TOTAL]]</f>
        <v>1.2</v>
      </c>
      <c r="W370" s="287">
        <f>ROUNDUP(MBQ[[#This Row],[HEIGHT (mm)]]/450*MBQ[[#This Row],[QTY]]*2,0)+ROUNDUP(MBQ[[#This Row],[WIDTH (mm)]]/450*MBQ[[#This Row],[QTY]]*2,0)</f>
        <v>11</v>
      </c>
    </row>
    <row r="371" spans="1:23" hidden="1">
      <c r="A371" s="258">
        <v>1</v>
      </c>
      <c r="B371" s="276" t="s">
        <v>536</v>
      </c>
      <c r="C371" s="278" t="s">
        <v>554</v>
      </c>
      <c r="D371" s="277" t="s">
        <v>551</v>
      </c>
      <c r="E371" s="277" t="s">
        <v>537</v>
      </c>
      <c r="F371" s="261"/>
      <c r="G371" s="262"/>
      <c r="H371" s="262"/>
      <c r="I371" s="260" t="s">
        <v>442</v>
      </c>
      <c r="J371" s="278" t="s">
        <v>443</v>
      </c>
      <c r="K371" s="285" t="s">
        <v>580</v>
      </c>
      <c r="L371" s="277" t="s">
        <v>540</v>
      </c>
      <c r="M371" s="263"/>
      <c r="N371" s="263"/>
      <c r="O371" s="264">
        <v>1300</v>
      </c>
      <c r="P371" s="264">
        <v>1200</v>
      </c>
      <c r="Q371" s="265">
        <v>1</v>
      </c>
      <c r="R371" s="30">
        <f>MBQ[[#This Row],[HEIGHT (mm)]]*MBQ[[#This Row],[QTY TOTAL]]/1000</f>
        <v>1.3</v>
      </c>
      <c r="S371" s="30">
        <f>MBQ[[#This Row],[WIDTH (mm)]]*MBQ[[#This Row],[QTY TOTAL]]/1000</f>
        <v>1.2</v>
      </c>
      <c r="T371" s="9">
        <f>(MBQ[[#This Row],[HEIGHT (mm)]]+MBQ[[#This Row],[WIDTH (mm)]])/1000*2*MBQ[[#This Row],[QTY TOTAL]]</f>
        <v>5</v>
      </c>
      <c r="U371" s="266">
        <f>MBQ[[#This Row],[MULTIPLIER]]*MBQ[[#This Row],[QTY]]</f>
        <v>1</v>
      </c>
      <c r="V371" s="9">
        <f>MBQ[[#This Row],[HEIGHT (mm)]]/1000*MBQ[[#This Row],[WIDTH (mm)]]/1000*MBQ[[#This Row],[QTY TOTAL]]</f>
        <v>1.56</v>
      </c>
      <c r="W371" s="287">
        <f>ROUNDUP(MBQ[[#This Row],[HEIGHT (mm)]]/450*MBQ[[#This Row],[QTY]]*2,0)+ROUNDUP(MBQ[[#This Row],[WIDTH (mm)]]/450*MBQ[[#This Row],[QTY]]*2,0)</f>
        <v>12</v>
      </c>
    </row>
    <row r="372" spans="1:23" hidden="1">
      <c r="A372" s="258">
        <v>1</v>
      </c>
      <c r="B372" s="276" t="s">
        <v>536</v>
      </c>
      <c r="C372" s="278" t="s">
        <v>554</v>
      </c>
      <c r="D372" s="277" t="s">
        <v>551</v>
      </c>
      <c r="E372" s="277" t="s">
        <v>537</v>
      </c>
      <c r="F372" s="261"/>
      <c r="G372" s="262"/>
      <c r="H372" s="262"/>
      <c r="I372" s="260" t="s">
        <v>442</v>
      </c>
      <c r="J372" s="278" t="s">
        <v>443</v>
      </c>
      <c r="K372" s="285" t="s">
        <v>580</v>
      </c>
      <c r="L372" s="277" t="s">
        <v>541</v>
      </c>
      <c r="M372" s="263"/>
      <c r="N372" s="263"/>
      <c r="O372" s="264">
        <v>1700</v>
      </c>
      <c r="P372" s="264">
        <v>1200</v>
      </c>
      <c r="Q372" s="265">
        <v>1</v>
      </c>
      <c r="R372" s="30">
        <f>MBQ[[#This Row],[HEIGHT (mm)]]*MBQ[[#This Row],[QTY TOTAL]]/1000</f>
        <v>1.7</v>
      </c>
      <c r="S372" s="30">
        <f>MBQ[[#This Row],[WIDTH (mm)]]*MBQ[[#This Row],[QTY TOTAL]]/1000</f>
        <v>1.2</v>
      </c>
      <c r="T372" s="9">
        <f>(MBQ[[#This Row],[HEIGHT (mm)]]+MBQ[[#This Row],[WIDTH (mm)]])/1000*2*MBQ[[#This Row],[QTY TOTAL]]</f>
        <v>5.8</v>
      </c>
      <c r="U372" s="266">
        <f>MBQ[[#This Row],[MULTIPLIER]]*MBQ[[#This Row],[QTY]]</f>
        <v>1</v>
      </c>
      <c r="V372" s="9">
        <f>MBQ[[#This Row],[HEIGHT (mm)]]/1000*MBQ[[#This Row],[WIDTH (mm)]]/1000*MBQ[[#This Row],[QTY TOTAL]]</f>
        <v>2.04</v>
      </c>
      <c r="W372" s="287">
        <f>ROUNDUP(MBQ[[#This Row],[HEIGHT (mm)]]/450*MBQ[[#This Row],[QTY]]*2,0)+ROUNDUP(MBQ[[#This Row],[WIDTH (mm)]]/450*MBQ[[#This Row],[QTY]]*2,0)</f>
        <v>14</v>
      </c>
    </row>
    <row r="373" spans="1:23" hidden="1">
      <c r="A373" s="258">
        <v>1</v>
      </c>
      <c r="B373" s="276" t="s">
        <v>536</v>
      </c>
      <c r="C373" s="278" t="s">
        <v>554</v>
      </c>
      <c r="D373" s="277" t="s">
        <v>551</v>
      </c>
      <c r="E373" s="277" t="s">
        <v>537</v>
      </c>
      <c r="F373" s="261"/>
      <c r="G373" s="262"/>
      <c r="H373" s="262"/>
      <c r="I373" s="260" t="s">
        <v>442</v>
      </c>
      <c r="J373" s="278" t="s">
        <v>443</v>
      </c>
      <c r="K373" s="285" t="s">
        <v>580</v>
      </c>
      <c r="L373" s="277" t="s">
        <v>540</v>
      </c>
      <c r="M373" s="263"/>
      <c r="N373" s="263"/>
      <c r="O373" s="264">
        <v>1000</v>
      </c>
      <c r="P373" s="264">
        <v>1200</v>
      </c>
      <c r="Q373" s="265">
        <v>1</v>
      </c>
      <c r="R373" s="30">
        <f>MBQ[[#This Row],[HEIGHT (mm)]]*MBQ[[#This Row],[QTY TOTAL]]/1000</f>
        <v>1</v>
      </c>
      <c r="S373" s="30">
        <f>MBQ[[#This Row],[WIDTH (mm)]]*MBQ[[#This Row],[QTY TOTAL]]/1000</f>
        <v>1.2</v>
      </c>
      <c r="T373" s="9">
        <f>(MBQ[[#This Row],[HEIGHT (mm)]]+MBQ[[#This Row],[WIDTH (mm)]])/1000*2*MBQ[[#This Row],[QTY TOTAL]]</f>
        <v>4.4000000000000004</v>
      </c>
      <c r="U373" s="266">
        <f>MBQ[[#This Row],[MULTIPLIER]]*MBQ[[#This Row],[QTY]]</f>
        <v>1</v>
      </c>
      <c r="V373" s="9">
        <f>MBQ[[#This Row],[HEIGHT (mm)]]/1000*MBQ[[#This Row],[WIDTH (mm)]]/1000*MBQ[[#This Row],[QTY TOTAL]]</f>
        <v>1.2</v>
      </c>
      <c r="W373" s="287">
        <f>ROUNDUP(MBQ[[#This Row],[HEIGHT (mm)]]/450*MBQ[[#This Row],[QTY]]*2,0)+ROUNDUP(MBQ[[#This Row],[WIDTH (mm)]]/450*MBQ[[#This Row],[QTY]]*2,0)</f>
        <v>11</v>
      </c>
    </row>
    <row r="374" spans="1:23" hidden="1">
      <c r="A374" s="258">
        <v>1</v>
      </c>
      <c r="B374" s="276" t="s">
        <v>536</v>
      </c>
      <c r="C374" s="278" t="s">
        <v>554</v>
      </c>
      <c r="D374" s="277" t="s">
        <v>551</v>
      </c>
      <c r="E374" s="277" t="s">
        <v>537</v>
      </c>
      <c r="F374" s="261"/>
      <c r="G374" s="262"/>
      <c r="H374" s="262"/>
      <c r="I374" s="260" t="s">
        <v>442</v>
      </c>
      <c r="J374" s="278" t="s">
        <v>443</v>
      </c>
      <c r="K374" s="285" t="s">
        <v>580</v>
      </c>
      <c r="L374" s="277" t="s">
        <v>540</v>
      </c>
      <c r="M374" s="263"/>
      <c r="N374" s="263"/>
      <c r="O374" s="264">
        <v>1300</v>
      </c>
      <c r="P374" s="264">
        <v>1200</v>
      </c>
      <c r="Q374" s="265">
        <v>1</v>
      </c>
      <c r="R374" s="30">
        <f>MBQ[[#This Row],[HEIGHT (mm)]]*MBQ[[#This Row],[QTY TOTAL]]/1000</f>
        <v>1.3</v>
      </c>
      <c r="S374" s="30">
        <f>MBQ[[#This Row],[WIDTH (mm)]]*MBQ[[#This Row],[QTY TOTAL]]/1000</f>
        <v>1.2</v>
      </c>
      <c r="T374" s="9">
        <f>(MBQ[[#This Row],[HEIGHT (mm)]]+MBQ[[#This Row],[WIDTH (mm)]])/1000*2*MBQ[[#This Row],[QTY TOTAL]]</f>
        <v>5</v>
      </c>
      <c r="U374" s="266">
        <f>MBQ[[#This Row],[MULTIPLIER]]*MBQ[[#This Row],[QTY]]</f>
        <v>1</v>
      </c>
      <c r="V374" s="9">
        <f>MBQ[[#This Row],[HEIGHT (mm)]]/1000*MBQ[[#This Row],[WIDTH (mm)]]/1000*MBQ[[#This Row],[QTY TOTAL]]</f>
        <v>1.56</v>
      </c>
      <c r="W374" s="287">
        <f>ROUNDUP(MBQ[[#This Row],[HEIGHT (mm)]]/450*MBQ[[#This Row],[QTY]]*2,0)+ROUNDUP(MBQ[[#This Row],[WIDTH (mm)]]/450*MBQ[[#This Row],[QTY]]*2,0)</f>
        <v>12</v>
      </c>
    </row>
    <row r="375" spans="1:23" hidden="1">
      <c r="A375" s="258">
        <v>1</v>
      </c>
      <c r="B375" s="276" t="s">
        <v>536</v>
      </c>
      <c r="C375" s="278" t="s">
        <v>554</v>
      </c>
      <c r="D375" s="277" t="s">
        <v>551</v>
      </c>
      <c r="E375" s="277" t="s">
        <v>537</v>
      </c>
      <c r="F375" s="261"/>
      <c r="G375" s="262"/>
      <c r="H375" s="262"/>
      <c r="I375" s="260" t="s">
        <v>442</v>
      </c>
      <c r="J375" s="278" t="s">
        <v>443</v>
      </c>
      <c r="K375" s="285" t="s">
        <v>580</v>
      </c>
      <c r="L375" s="277" t="s">
        <v>541</v>
      </c>
      <c r="M375" s="263"/>
      <c r="N375" s="263"/>
      <c r="O375" s="264">
        <v>1700</v>
      </c>
      <c r="P375" s="264">
        <v>1200</v>
      </c>
      <c r="Q375" s="265">
        <v>1</v>
      </c>
      <c r="R375" s="30">
        <f>MBQ[[#This Row],[HEIGHT (mm)]]*MBQ[[#This Row],[QTY TOTAL]]/1000</f>
        <v>1.7</v>
      </c>
      <c r="S375" s="30">
        <f>MBQ[[#This Row],[WIDTH (mm)]]*MBQ[[#This Row],[QTY TOTAL]]/1000</f>
        <v>1.2</v>
      </c>
      <c r="T375" s="9">
        <f>(MBQ[[#This Row],[HEIGHT (mm)]]+MBQ[[#This Row],[WIDTH (mm)]])/1000*2*MBQ[[#This Row],[QTY TOTAL]]</f>
        <v>5.8</v>
      </c>
      <c r="U375" s="266">
        <f>MBQ[[#This Row],[MULTIPLIER]]*MBQ[[#This Row],[QTY]]</f>
        <v>1</v>
      </c>
      <c r="V375" s="9">
        <f>MBQ[[#This Row],[HEIGHT (mm)]]/1000*MBQ[[#This Row],[WIDTH (mm)]]/1000*MBQ[[#This Row],[QTY TOTAL]]</f>
        <v>2.04</v>
      </c>
      <c r="W375" s="287">
        <f>ROUNDUP(MBQ[[#This Row],[HEIGHT (mm)]]/450*MBQ[[#This Row],[QTY]]*2,0)+ROUNDUP(MBQ[[#This Row],[WIDTH (mm)]]/450*MBQ[[#This Row],[QTY]]*2,0)</f>
        <v>14</v>
      </c>
    </row>
    <row r="376" spans="1:23" hidden="1">
      <c r="A376" s="258">
        <v>1</v>
      </c>
      <c r="B376" s="276" t="s">
        <v>536</v>
      </c>
      <c r="C376" s="278" t="s">
        <v>554</v>
      </c>
      <c r="D376" s="277" t="s">
        <v>551</v>
      </c>
      <c r="E376" s="277" t="s">
        <v>537</v>
      </c>
      <c r="F376" s="261"/>
      <c r="G376" s="262"/>
      <c r="H376" s="262"/>
      <c r="I376" s="260" t="s">
        <v>442</v>
      </c>
      <c r="J376" s="278" t="s">
        <v>443</v>
      </c>
      <c r="K376" s="285" t="s">
        <v>580</v>
      </c>
      <c r="L376" s="277" t="s">
        <v>540</v>
      </c>
      <c r="M376" s="263"/>
      <c r="N376" s="263"/>
      <c r="O376" s="264">
        <v>1000</v>
      </c>
      <c r="P376" s="264">
        <v>1200</v>
      </c>
      <c r="Q376" s="265">
        <v>1</v>
      </c>
      <c r="R376" s="30">
        <f>MBQ[[#This Row],[HEIGHT (mm)]]*MBQ[[#This Row],[QTY TOTAL]]/1000</f>
        <v>1</v>
      </c>
      <c r="S376" s="30">
        <f>MBQ[[#This Row],[WIDTH (mm)]]*MBQ[[#This Row],[QTY TOTAL]]/1000</f>
        <v>1.2</v>
      </c>
      <c r="T376" s="9">
        <f>(MBQ[[#This Row],[HEIGHT (mm)]]+MBQ[[#This Row],[WIDTH (mm)]])/1000*2*MBQ[[#This Row],[QTY TOTAL]]</f>
        <v>4.4000000000000004</v>
      </c>
      <c r="U376" s="266">
        <f>MBQ[[#This Row],[MULTIPLIER]]*MBQ[[#This Row],[QTY]]</f>
        <v>1</v>
      </c>
      <c r="V376" s="9">
        <f>MBQ[[#This Row],[HEIGHT (mm)]]/1000*MBQ[[#This Row],[WIDTH (mm)]]/1000*MBQ[[#This Row],[QTY TOTAL]]</f>
        <v>1.2</v>
      </c>
      <c r="W376" s="287">
        <f>ROUNDUP(MBQ[[#This Row],[HEIGHT (mm)]]/450*MBQ[[#This Row],[QTY]]*2,0)+ROUNDUP(MBQ[[#This Row],[WIDTH (mm)]]/450*MBQ[[#This Row],[QTY]]*2,0)</f>
        <v>11</v>
      </c>
    </row>
    <row r="377" spans="1:23" hidden="1">
      <c r="A377" s="258">
        <v>1</v>
      </c>
      <c r="B377" s="276" t="s">
        <v>536</v>
      </c>
      <c r="C377" s="278" t="s">
        <v>544</v>
      </c>
      <c r="D377" s="277" t="s">
        <v>552</v>
      </c>
      <c r="E377" s="277" t="s">
        <v>537</v>
      </c>
      <c r="F377" s="261"/>
      <c r="G377" s="262"/>
      <c r="H377" s="262"/>
      <c r="I377" s="260" t="s">
        <v>441</v>
      </c>
      <c r="J377" s="263"/>
      <c r="K377" s="285" t="s">
        <v>580</v>
      </c>
      <c r="L377" s="260"/>
      <c r="M377" s="263"/>
      <c r="N377" s="263"/>
      <c r="O377" s="264">
        <v>8000</v>
      </c>
      <c r="P377" s="264">
        <v>4800</v>
      </c>
      <c r="Q377" s="265">
        <v>1</v>
      </c>
      <c r="R377" s="30">
        <f>MBQ[[#This Row],[HEIGHT (mm)]]*MBQ[[#This Row],[QTY TOTAL]]/1000</f>
        <v>8</v>
      </c>
      <c r="S377" s="30">
        <f>MBQ[[#This Row],[WIDTH (mm)]]*MBQ[[#This Row],[QTY TOTAL]]/1000</f>
        <v>4.8</v>
      </c>
      <c r="T377" s="9">
        <f>(MBQ[[#This Row],[HEIGHT (mm)]]+MBQ[[#This Row],[WIDTH (mm)]])/1000*2*MBQ[[#This Row],[QTY TOTAL]]</f>
        <v>25.6</v>
      </c>
      <c r="U377" s="266">
        <f>MBQ[[#This Row],[MULTIPLIER]]*MBQ[[#This Row],[QTY]]</f>
        <v>1</v>
      </c>
      <c r="V377" s="9">
        <f>MBQ[[#This Row],[HEIGHT (mm)]]/1000*MBQ[[#This Row],[WIDTH (mm)]]/1000*MBQ[[#This Row],[QTY TOTAL]]</f>
        <v>38.4</v>
      </c>
      <c r="W377" s="287">
        <f>ROUNDUP(MBQ[[#This Row],[HEIGHT (mm)]]/450*MBQ[[#This Row],[QTY]]*2,0)+ROUNDUP(MBQ[[#This Row],[WIDTH (mm)]]/450*MBQ[[#This Row],[QTY]]*2,0)</f>
        <v>58</v>
      </c>
    </row>
    <row r="378" spans="1:23" ht="30">
      <c r="A378" s="258">
        <v>1</v>
      </c>
      <c r="B378" s="286" t="s">
        <v>535</v>
      </c>
      <c r="C378" s="278" t="s">
        <v>544</v>
      </c>
      <c r="D378" s="277" t="s">
        <v>552</v>
      </c>
      <c r="E378" s="277" t="s">
        <v>537</v>
      </c>
      <c r="F378" s="261"/>
      <c r="G378" s="262"/>
      <c r="H378" s="262"/>
      <c r="I378" s="260" t="s">
        <v>439</v>
      </c>
      <c r="J378" s="278" t="s">
        <v>538</v>
      </c>
      <c r="K378" s="285" t="s">
        <v>580</v>
      </c>
      <c r="L378" s="277" t="s">
        <v>539</v>
      </c>
      <c r="M378" s="263"/>
      <c r="N378" s="263"/>
      <c r="O378" s="264">
        <v>3800</v>
      </c>
      <c r="P378" s="264">
        <v>1200</v>
      </c>
      <c r="Q378" s="265">
        <v>1</v>
      </c>
      <c r="R378" s="30">
        <f>MBQ[[#This Row],[HEIGHT (mm)]]*MBQ[[#This Row],[QTY TOTAL]]/1000</f>
        <v>3.8</v>
      </c>
      <c r="S378" s="30">
        <f>MBQ[[#This Row],[WIDTH (mm)]]*MBQ[[#This Row],[QTY TOTAL]]/1000</f>
        <v>1.2</v>
      </c>
      <c r="T378" s="9">
        <f>(MBQ[[#This Row],[HEIGHT (mm)]]+MBQ[[#This Row],[WIDTH (mm)]])/1000*2*MBQ[[#This Row],[QTY TOTAL]]</f>
        <v>10</v>
      </c>
      <c r="U378" s="266">
        <f>MBQ[[#This Row],[MULTIPLIER]]*MBQ[[#This Row],[QTY]]</f>
        <v>1</v>
      </c>
      <c r="V378" s="9">
        <f>MBQ[[#This Row],[HEIGHT (mm)]]/1000*MBQ[[#This Row],[WIDTH (mm)]]/1000*MBQ[[#This Row],[QTY TOTAL]]</f>
        <v>4.5599999999999996</v>
      </c>
      <c r="W378" s="287">
        <f>ROUNDUP(MBQ[[#This Row],[HEIGHT (mm)]]/450*MBQ[[#This Row],[QTY]]*2,0)+ROUNDUP(MBQ[[#This Row],[WIDTH (mm)]]/450*MBQ[[#This Row],[QTY]]*2,0)</f>
        <v>23</v>
      </c>
    </row>
    <row r="379" spans="1:23" ht="30">
      <c r="A379" s="258">
        <v>1</v>
      </c>
      <c r="B379" s="286" t="s">
        <v>535</v>
      </c>
      <c r="C379" s="278" t="s">
        <v>544</v>
      </c>
      <c r="D379" s="277" t="s">
        <v>552</v>
      </c>
      <c r="E379" s="277" t="s">
        <v>537</v>
      </c>
      <c r="F379" s="261"/>
      <c r="G379" s="262"/>
      <c r="H379" s="262"/>
      <c r="I379" s="260" t="s">
        <v>439</v>
      </c>
      <c r="J379" s="278" t="s">
        <v>538</v>
      </c>
      <c r="K379" s="285" t="s">
        <v>580</v>
      </c>
      <c r="L379" s="277" t="s">
        <v>539</v>
      </c>
      <c r="M379" s="263"/>
      <c r="N379" s="263"/>
      <c r="O379" s="264">
        <v>3800</v>
      </c>
      <c r="P379" s="264">
        <v>1200</v>
      </c>
      <c r="Q379" s="265">
        <v>1</v>
      </c>
      <c r="R379" s="30">
        <f>MBQ[[#This Row],[HEIGHT (mm)]]*MBQ[[#This Row],[QTY TOTAL]]/1000</f>
        <v>3.8</v>
      </c>
      <c r="S379" s="30">
        <f>MBQ[[#This Row],[WIDTH (mm)]]*MBQ[[#This Row],[QTY TOTAL]]/1000</f>
        <v>1.2</v>
      </c>
      <c r="T379" s="9">
        <f>(MBQ[[#This Row],[HEIGHT (mm)]]+MBQ[[#This Row],[WIDTH (mm)]])/1000*2*MBQ[[#This Row],[QTY TOTAL]]</f>
        <v>10</v>
      </c>
      <c r="U379" s="266">
        <f>MBQ[[#This Row],[MULTIPLIER]]*MBQ[[#This Row],[QTY]]</f>
        <v>1</v>
      </c>
      <c r="V379" s="9">
        <f>MBQ[[#This Row],[HEIGHT (mm)]]/1000*MBQ[[#This Row],[WIDTH (mm)]]/1000*MBQ[[#This Row],[QTY TOTAL]]</f>
        <v>4.5599999999999996</v>
      </c>
      <c r="W379" s="287">
        <f>ROUNDUP(MBQ[[#This Row],[HEIGHT (mm)]]/450*MBQ[[#This Row],[QTY]]*2,0)+ROUNDUP(MBQ[[#This Row],[WIDTH (mm)]]/450*MBQ[[#This Row],[QTY]]*2,0)</f>
        <v>23</v>
      </c>
    </row>
    <row r="380" spans="1:23" ht="30">
      <c r="A380" s="258">
        <v>1</v>
      </c>
      <c r="B380" s="286" t="s">
        <v>535</v>
      </c>
      <c r="C380" s="278" t="s">
        <v>544</v>
      </c>
      <c r="D380" s="277" t="s">
        <v>552</v>
      </c>
      <c r="E380" s="277" t="s">
        <v>537</v>
      </c>
      <c r="F380" s="261"/>
      <c r="G380" s="262"/>
      <c r="H380" s="262"/>
      <c r="I380" s="260" t="s">
        <v>439</v>
      </c>
      <c r="J380" s="278" t="s">
        <v>538</v>
      </c>
      <c r="K380" s="285" t="s">
        <v>580</v>
      </c>
      <c r="L380" s="277" t="s">
        <v>539</v>
      </c>
      <c r="M380" s="263"/>
      <c r="N380" s="263"/>
      <c r="O380" s="264">
        <v>3800</v>
      </c>
      <c r="P380" s="264">
        <v>1200</v>
      </c>
      <c r="Q380" s="265">
        <v>1</v>
      </c>
      <c r="R380" s="30">
        <f>MBQ[[#This Row],[HEIGHT (mm)]]*MBQ[[#This Row],[QTY TOTAL]]/1000</f>
        <v>3.8</v>
      </c>
      <c r="S380" s="30">
        <f>MBQ[[#This Row],[WIDTH (mm)]]*MBQ[[#This Row],[QTY TOTAL]]/1000</f>
        <v>1.2</v>
      </c>
      <c r="T380" s="9">
        <f>(MBQ[[#This Row],[HEIGHT (mm)]]+MBQ[[#This Row],[WIDTH (mm)]])/1000*2*MBQ[[#This Row],[QTY TOTAL]]</f>
        <v>10</v>
      </c>
      <c r="U380" s="266">
        <f>MBQ[[#This Row],[MULTIPLIER]]*MBQ[[#This Row],[QTY]]</f>
        <v>1</v>
      </c>
      <c r="V380" s="9">
        <f>MBQ[[#This Row],[HEIGHT (mm)]]/1000*MBQ[[#This Row],[WIDTH (mm)]]/1000*MBQ[[#This Row],[QTY TOTAL]]</f>
        <v>4.5599999999999996</v>
      </c>
      <c r="W380" s="287">
        <f>ROUNDUP(MBQ[[#This Row],[HEIGHT (mm)]]/450*MBQ[[#This Row],[QTY]]*2,0)+ROUNDUP(MBQ[[#This Row],[WIDTH (mm)]]/450*MBQ[[#This Row],[QTY]]*2,0)</f>
        <v>23</v>
      </c>
    </row>
    <row r="381" spans="1:23" ht="30">
      <c r="A381" s="258">
        <v>1</v>
      </c>
      <c r="B381" s="286" t="s">
        <v>535</v>
      </c>
      <c r="C381" s="278" t="s">
        <v>544</v>
      </c>
      <c r="D381" s="277" t="s">
        <v>552</v>
      </c>
      <c r="E381" s="277" t="s">
        <v>537</v>
      </c>
      <c r="F381" s="261"/>
      <c r="G381" s="262"/>
      <c r="H381" s="262"/>
      <c r="I381" s="260" t="s">
        <v>439</v>
      </c>
      <c r="J381" s="278" t="s">
        <v>538</v>
      </c>
      <c r="K381" s="285" t="s">
        <v>580</v>
      </c>
      <c r="L381" s="277" t="s">
        <v>539</v>
      </c>
      <c r="M381" s="263"/>
      <c r="N381" s="263"/>
      <c r="O381" s="264">
        <v>4000</v>
      </c>
      <c r="P381" s="264">
        <v>1200</v>
      </c>
      <c r="Q381" s="265">
        <v>1</v>
      </c>
      <c r="R381" s="30">
        <f>MBQ[[#This Row],[HEIGHT (mm)]]*MBQ[[#This Row],[QTY TOTAL]]/1000</f>
        <v>4</v>
      </c>
      <c r="S381" s="30">
        <f>MBQ[[#This Row],[WIDTH (mm)]]*MBQ[[#This Row],[QTY TOTAL]]/1000</f>
        <v>1.2</v>
      </c>
      <c r="T381" s="9">
        <f>(MBQ[[#This Row],[HEIGHT (mm)]]+MBQ[[#This Row],[WIDTH (mm)]])/1000*2*MBQ[[#This Row],[QTY TOTAL]]</f>
        <v>10.4</v>
      </c>
      <c r="U381" s="266">
        <f>MBQ[[#This Row],[MULTIPLIER]]*MBQ[[#This Row],[QTY]]</f>
        <v>1</v>
      </c>
      <c r="V381" s="9">
        <f>MBQ[[#This Row],[HEIGHT (mm)]]/1000*MBQ[[#This Row],[WIDTH (mm)]]/1000*MBQ[[#This Row],[QTY TOTAL]]</f>
        <v>4.8</v>
      </c>
      <c r="W381" s="287">
        <f>ROUNDUP(MBQ[[#This Row],[HEIGHT (mm)]]/450*MBQ[[#This Row],[QTY]]*2,0)+ROUNDUP(MBQ[[#This Row],[WIDTH (mm)]]/450*MBQ[[#This Row],[QTY]]*2,0)</f>
        <v>24</v>
      </c>
    </row>
    <row r="382" spans="1:23" ht="30">
      <c r="A382" s="258">
        <v>1</v>
      </c>
      <c r="B382" s="276" t="s">
        <v>536</v>
      </c>
      <c r="C382" s="278" t="s">
        <v>544</v>
      </c>
      <c r="D382" s="277" t="s">
        <v>552</v>
      </c>
      <c r="E382" s="277" t="s">
        <v>537</v>
      </c>
      <c r="F382" s="261"/>
      <c r="G382" s="262"/>
      <c r="H382" s="262"/>
      <c r="I382" s="260" t="s">
        <v>439</v>
      </c>
      <c r="J382" s="278" t="s">
        <v>538</v>
      </c>
      <c r="K382" s="285" t="s">
        <v>580</v>
      </c>
      <c r="L382" s="277" t="s">
        <v>539</v>
      </c>
      <c r="M382" s="263"/>
      <c r="N382" s="263"/>
      <c r="O382" s="264">
        <v>4000</v>
      </c>
      <c r="P382" s="264">
        <v>1200</v>
      </c>
      <c r="Q382" s="265">
        <v>1</v>
      </c>
      <c r="R382" s="30">
        <f>MBQ[[#This Row],[HEIGHT (mm)]]*MBQ[[#This Row],[QTY TOTAL]]/1000</f>
        <v>4</v>
      </c>
      <c r="S382" s="30">
        <f>MBQ[[#This Row],[WIDTH (mm)]]*MBQ[[#This Row],[QTY TOTAL]]/1000</f>
        <v>1.2</v>
      </c>
      <c r="T382" s="9">
        <f>(MBQ[[#This Row],[HEIGHT (mm)]]+MBQ[[#This Row],[WIDTH (mm)]])/1000*2*MBQ[[#This Row],[QTY TOTAL]]</f>
        <v>10.4</v>
      </c>
      <c r="U382" s="266">
        <f>MBQ[[#This Row],[MULTIPLIER]]*MBQ[[#This Row],[QTY]]</f>
        <v>1</v>
      </c>
      <c r="V382" s="9">
        <f>MBQ[[#This Row],[HEIGHT (mm)]]/1000*MBQ[[#This Row],[WIDTH (mm)]]/1000*MBQ[[#This Row],[QTY TOTAL]]</f>
        <v>4.8</v>
      </c>
      <c r="W382" s="287">
        <f>ROUNDUP(MBQ[[#This Row],[HEIGHT (mm)]]/450*MBQ[[#This Row],[QTY]]*2,0)+ROUNDUP(MBQ[[#This Row],[WIDTH (mm)]]/450*MBQ[[#This Row],[QTY]]*2,0)</f>
        <v>24</v>
      </c>
    </row>
    <row r="383" spans="1:23" ht="30">
      <c r="A383" s="258">
        <v>1</v>
      </c>
      <c r="B383" s="276" t="s">
        <v>536</v>
      </c>
      <c r="C383" s="278" t="s">
        <v>544</v>
      </c>
      <c r="D383" s="277" t="s">
        <v>552</v>
      </c>
      <c r="E383" s="277" t="s">
        <v>537</v>
      </c>
      <c r="F383" s="261"/>
      <c r="G383" s="262"/>
      <c r="H383" s="262"/>
      <c r="I383" s="260" t="s">
        <v>439</v>
      </c>
      <c r="J383" s="278" t="s">
        <v>538</v>
      </c>
      <c r="K383" s="285" t="s">
        <v>580</v>
      </c>
      <c r="L383" s="277" t="s">
        <v>539</v>
      </c>
      <c r="M383" s="263"/>
      <c r="N383" s="263"/>
      <c r="O383" s="264">
        <v>4000</v>
      </c>
      <c r="P383" s="264">
        <v>1200</v>
      </c>
      <c r="Q383" s="265">
        <v>1</v>
      </c>
      <c r="R383" s="30">
        <f>MBQ[[#This Row],[HEIGHT (mm)]]*MBQ[[#This Row],[QTY TOTAL]]/1000</f>
        <v>4</v>
      </c>
      <c r="S383" s="30">
        <f>MBQ[[#This Row],[WIDTH (mm)]]*MBQ[[#This Row],[QTY TOTAL]]/1000</f>
        <v>1.2</v>
      </c>
      <c r="T383" s="9">
        <f>(MBQ[[#This Row],[HEIGHT (mm)]]+MBQ[[#This Row],[WIDTH (mm)]])/1000*2*MBQ[[#This Row],[QTY TOTAL]]</f>
        <v>10.4</v>
      </c>
      <c r="U383" s="266">
        <f>MBQ[[#This Row],[MULTIPLIER]]*MBQ[[#This Row],[QTY]]</f>
        <v>1</v>
      </c>
      <c r="V383" s="9">
        <f>MBQ[[#This Row],[HEIGHT (mm)]]/1000*MBQ[[#This Row],[WIDTH (mm)]]/1000*MBQ[[#This Row],[QTY TOTAL]]</f>
        <v>4.8</v>
      </c>
      <c r="W383" s="287">
        <f>ROUNDUP(MBQ[[#This Row],[HEIGHT (mm)]]/450*MBQ[[#This Row],[QTY]]*2,0)+ROUNDUP(MBQ[[#This Row],[WIDTH (mm)]]/450*MBQ[[#This Row],[QTY]]*2,0)</f>
        <v>24</v>
      </c>
    </row>
    <row r="384" spans="1:23" ht="30" hidden="1">
      <c r="A384" s="258">
        <v>1</v>
      </c>
      <c r="B384" s="276" t="s">
        <v>536</v>
      </c>
      <c r="C384" s="278" t="s">
        <v>544</v>
      </c>
      <c r="D384" s="277" t="s">
        <v>552</v>
      </c>
      <c r="E384" s="277" t="s">
        <v>537</v>
      </c>
      <c r="F384" s="261"/>
      <c r="G384" s="262"/>
      <c r="H384" s="262"/>
      <c r="I384" s="260" t="s">
        <v>439</v>
      </c>
      <c r="J384" s="278" t="s">
        <v>555</v>
      </c>
      <c r="K384" s="285" t="s">
        <v>580</v>
      </c>
      <c r="L384" s="277" t="s">
        <v>548</v>
      </c>
      <c r="M384" s="263"/>
      <c r="N384" s="263"/>
      <c r="O384" s="264">
        <v>2700</v>
      </c>
      <c r="P384" s="264">
        <v>1200</v>
      </c>
      <c r="Q384" s="265">
        <v>1</v>
      </c>
      <c r="R384" s="30">
        <f>MBQ[[#This Row],[HEIGHT (mm)]]*MBQ[[#This Row],[QTY TOTAL]]/1000</f>
        <v>2.7</v>
      </c>
      <c r="S384" s="30">
        <f>MBQ[[#This Row],[WIDTH (mm)]]*MBQ[[#This Row],[QTY TOTAL]]/1000</f>
        <v>1.2</v>
      </c>
      <c r="T384" s="9">
        <f>(MBQ[[#This Row],[HEIGHT (mm)]]+MBQ[[#This Row],[WIDTH (mm)]])/1000*2*MBQ[[#This Row],[QTY TOTAL]]</f>
        <v>7.8</v>
      </c>
      <c r="U384" s="266">
        <f>MBQ[[#This Row],[MULTIPLIER]]*MBQ[[#This Row],[QTY]]</f>
        <v>1</v>
      </c>
      <c r="V384" s="9">
        <f>MBQ[[#This Row],[HEIGHT (mm)]]/1000*MBQ[[#This Row],[WIDTH (mm)]]/1000*MBQ[[#This Row],[QTY TOTAL]]</f>
        <v>3.24</v>
      </c>
      <c r="W384" s="287">
        <f>ROUNDUP(MBQ[[#This Row],[HEIGHT (mm)]]/450*MBQ[[#This Row],[QTY]]*2,0)+ROUNDUP(MBQ[[#This Row],[WIDTH (mm)]]/450*MBQ[[#This Row],[QTY]]*2,0)</f>
        <v>18</v>
      </c>
    </row>
    <row r="385" spans="1:23" ht="30" hidden="1">
      <c r="A385" s="258">
        <v>1</v>
      </c>
      <c r="B385" s="276" t="s">
        <v>536</v>
      </c>
      <c r="C385" s="278" t="s">
        <v>544</v>
      </c>
      <c r="D385" s="277" t="s">
        <v>552</v>
      </c>
      <c r="E385" s="277" t="s">
        <v>537</v>
      </c>
      <c r="F385" s="261"/>
      <c r="G385" s="262"/>
      <c r="H385" s="262"/>
      <c r="I385" s="260" t="s">
        <v>439</v>
      </c>
      <c r="J385" s="278" t="s">
        <v>555</v>
      </c>
      <c r="K385" s="285" t="s">
        <v>580</v>
      </c>
      <c r="L385" s="277" t="s">
        <v>548</v>
      </c>
      <c r="M385" s="263"/>
      <c r="N385" s="263"/>
      <c r="O385" s="264">
        <v>2700</v>
      </c>
      <c r="P385" s="264">
        <v>1200</v>
      </c>
      <c r="Q385" s="265">
        <v>1</v>
      </c>
      <c r="R385" s="30">
        <f>MBQ[[#This Row],[HEIGHT (mm)]]*MBQ[[#This Row],[QTY TOTAL]]/1000</f>
        <v>2.7</v>
      </c>
      <c r="S385" s="30">
        <f>MBQ[[#This Row],[WIDTH (mm)]]*MBQ[[#This Row],[QTY TOTAL]]/1000</f>
        <v>1.2</v>
      </c>
      <c r="T385" s="9">
        <f>(MBQ[[#This Row],[HEIGHT (mm)]]+MBQ[[#This Row],[WIDTH (mm)]])/1000*2*MBQ[[#This Row],[QTY TOTAL]]</f>
        <v>7.8</v>
      </c>
      <c r="U385" s="266">
        <f>MBQ[[#This Row],[MULTIPLIER]]*MBQ[[#This Row],[QTY]]</f>
        <v>1</v>
      </c>
      <c r="V385" s="9">
        <f>MBQ[[#This Row],[HEIGHT (mm)]]/1000*MBQ[[#This Row],[WIDTH (mm)]]/1000*MBQ[[#This Row],[QTY TOTAL]]</f>
        <v>3.24</v>
      </c>
      <c r="W385" s="287">
        <f>ROUNDUP(MBQ[[#This Row],[HEIGHT (mm)]]/450*MBQ[[#This Row],[QTY]]*2,0)+ROUNDUP(MBQ[[#This Row],[WIDTH (mm)]]/450*MBQ[[#This Row],[QTY]]*2,0)</f>
        <v>18</v>
      </c>
    </row>
    <row r="386" spans="1:23">
      <c r="A386" s="258">
        <v>1</v>
      </c>
      <c r="B386" s="276" t="s">
        <v>536</v>
      </c>
      <c r="C386" s="278" t="s">
        <v>544</v>
      </c>
      <c r="D386" s="277" t="s">
        <v>552</v>
      </c>
      <c r="E386" s="277" t="s">
        <v>537</v>
      </c>
      <c r="F386" s="261"/>
      <c r="G386" s="262"/>
      <c r="H386" s="262"/>
      <c r="I386" s="260" t="s">
        <v>439</v>
      </c>
      <c r="J386" s="278" t="s">
        <v>443</v>
      </c>
      <c r="K386" s="285" t="s">
        <v>580</v>
      </c>
      <c r="L386" s="277" t="s">
        <v>540</v>
      </c>
      <c r="M386" s="263"/>
      <c r="N386" s="263"/>
      <c r="O386" s="264">
        <v>1300</v>
      </c>
      <c r="P386" s="264">
        <v>1200</v>
      </c>
      <c r="Q386" s="265">
        <v>1</v>
      </c>
      <c r="R386" s="30">
        <f>MBQ[[#This Row],[HEIGHT (mm)]]*MBQ[[#This Row],[QTY TOTAL]]/1000</f>
        <v>1.3</v>
      </c>
      <c r="S386" s="30">
        <f>MBQ[[#This Row],[WIDTH (mm)]]*MBQ[[#This Row],[QTY TOTAL]]/1000</f>
        <v>1.2</v>
      </c>
      <c r="T386" s="9">
        <f>(MBQ[[#This Row],[HEIGHT (mm)]]+MBQ[[#This Row],[WIDTH (mm)]])/1000*2*MBQ[[#This Row],[QTY TOTAL]]</f>
        <v>5</v>
      </c>
      <c r="U386" s="266">
        <f>MBQ[[#This Row],[MULTIPLIER]]*MBQ[[#This Row],[QTY]]</f>
        <v>1</v>
      </c>
      <c r="V386" s="9">
        <f>MBQ[[#This Row],[HEIGHT (mm)]]/1000*MBQ[[#This Row],[WIDTH (mm)]]/1000*MBQ[[#This Row],[QTY TOTAL]]</f>
        <v>1.56</v>
      </c>
      <c r="W386" s="287">
        <f>ROUNDUP(MBQ[[#This Row],[HEIGHT (mm)]]/450*MBQ[[#This Row],[QTY]]*2,0)+ROUNDUP(MBQ[[#This Row],[WIDTH (mm)]]/450*MBQ[[#This Row],[QTY]]*2,0)</f>
        <v>12</v>
      </c>
    </row>
    <row r="387" spans="1:23">
      <c r="A387" s="258">
        <v>1</v>
      </c>
      <c r="B387" s="276" t="s">
        <v>536</v>
      </c>
      <c r="C387" s="278" t="s">
        <v>544</v>
      </c>
      <c r="D387" s="277" t="s">
        <v>552</v>
      </c>
      <c r="E387" s="277" t="s">
        <v>537</v>
      </c>
      <c r="F387" s="261"/>
      <c r="G387" s="262"/>
      <c r="H387" s="262"/>
      <c r="I387" s="260" t="s">
        <v>439</v>
      </c>
      <c r="J387" s="278" t="s">
        <v>443</v>
      </c>
      <c r="K387" s="285" t="s">
        <v>580</v>
      </c>
      <c r="L387" s="277" t="s">
        <v>540</v>
      </c>
      <c r="M387" s="263"/>
      <c r="N387" s="263"/>
      <c r="O387" s="264">
        <v>1300</v>
      </c>
      <c r="P387" s="264">
        <v>1200</v>
      </c>
      <c r="Q387" s="265">
        <v>1</v>
      </c>
      <c r="R387" s="30">
        <f>MBQ[[#This Row],[HEIGHT (mm)]]*MBQ[[#This Row],[QTY TOTAL]]/1000</f>
        <v>1.3</v>
      </c>
      <c r="S387" s="30">
        <f>MBQ[[#This Row],[WIDTH (mm)]]*MBQ[[#This Row],[QTY TOTAL]]/1000</f>
        <v>1.2</v>
      </c>
      <c r="T387" s="9">
        <f>(MBQ[[#This Row],[HEIGHT (mm)]]+MBQ[[#This Row],[WIDTH (mm)]])/1000*2*MBQ[[#This Row],[QTY TOTAL]]</f>
        <v>5</v>
      </c>
      <c r="U387" s="266">
        <f>MBQ[[#This Row],[MULTIPLIER]]*MBQ[[#This Row],[QTY]]</f>
        <v>1</v>
      </c>
      <c r="V387" s="9">
        <f>MBQ[[#This Row],[HEIGHT (mm)]]/1000*MBQ[[#This Row],[WIDTH (mm)]]/1000*MBQ[[#This Row],[QTY TOTAL]]</f>
        <v>1.56</v>
      </c>
      <c r="W387" s="287">
        <f>ROUNDUP(MBQ[[#This Row],[HEIGHT (mm)]]/450*MBQ[[#This Row],[QTY]]*2,0)+ROUNDUP(MBQ[[#This Row],[WIDTH (mm)]]/450*MBQ[[#This Row],[QTY]]*2,0)</f>
        <v>12</v>
      </c>
    </row>
    <row r="388" spans="1:23" hidden="1">
      <c r="A388" s="258">
        <v>1</v>
      </c>
      <c r="B388" s="286" t="s">
        <v>535</v>
      </c>
      <c r="C388" s="278" t="s">
        <v>544</v>
      </c>
      <c r="D388" s="277" t="s">
        <v>552</v>
      </c>
      <c r="E388" s="277" t="s">
        <v>537</v>
      </c>
      <c r="F388" s="261"/>
      <c r="G388" s="262"/>
      <c r="H388" s="262"/>
      <c r="I388" s="260" t="s">
        <v>442</v>
      </c>
      <c r="J388" s="278" t="s">
        <v>443</v>
      </c>
      <c r="K388" s="285" t="s">
        <v>580</v>
      </c>
      <c r="L388" s="277" t="s">
        <v>540</v>
      </c>
      <c r="M388" s="263"/>
      <c r="N388" s="263"/>
      <c r="O388" s="264">
        <v>1100</v>
      </c>
      <c r="P388" s="264">
        <v>1200</v>
      </c>
      <c r="Q388" s="265">
        <v>1</v>
      </c>
      <c r="R388" s="30">
        <f>MBQ[[#This Row],[HEIGHT (mm)]]*MBQ[[#This Row],[QTY TOTAL]]/1000</f>
        <v>1.1000000000000001</v>
      </c>
      <c r="S388" s="30">
        <f>MBQ[[#This Row],[WIDTH (mm)]]*MBQ[[#This Row],[QTY TOTAL]]/1000</f>
        <v>1.2</v>
      </c>
      <c r="T388" s="9">
        <f>(MBQ[[#This Row],[HEIGHT (mm)]]+MBQ[[#This Row],[WIDTH (mm)]])/1000*2*MBQ[[#This Row],[QTY TOTAL]]</f>
        <v>4.5999999999999996</v>
      </c>
      <c r="U388" s="266">
        <f>MBQ[[#This Row],[MULTIPLIER]]*MBQ[[#This Row],[QTY]]</f>
        <v>1</v>
      </c>
      <c r="V388" s="9">
        <f>MBQ[[#This Row],[HEIGHT (mm)]]/1000*MBQ[[#This Row],[WIDTH (mm)]]/1000*MBQ[[#This Row],[QTY TOTAL]]</f>
        <v>1.32</v>
      </c>
      <c r="W388" s="287">
        <f>ROUNDUP(MBQ[[#This Row],[HEIGHT (mm)]]/450*MBQ[[#This Row],[QTY]]*2,0)+ROUNDUP(MBQ[[#This Row],[WIDTH (mm)]]/450*MBQ[[#This Row],[QTY]]*2,0)</f>
        <v>11</v>
      </c>
    </row>
    <row r="389" spans="1:23" hidden="1">
      <c r="A389" s="258">
        <v>1</v>
      </c>
      <c r="B389" s="286" t="s">
        <v>535</v>
      </c>
      <c r="C389" s="278" t="s">
        <v>544</v>
      </c>
      <c r="D389" s="277" t="s">
        <v>552</v>
      </c>
      <c r="E389" s="277" t="s">
        <v>537</v>
      </c>
      <c r="F389" s="261"/>
      <c r="G389" s="262"/>
      <c r="H389" s="262"/>
      <c r="I389" s="260" t="s">
        <v>442</v>
      </c>
      <c r="J389" s="278" t="s">
        <v>443</v>
      </c>
      <c r="K389" s="285" t="s">
        <v>580</v>
      </c>
      <c r="L389" s="277" t="s">
        <v>541</v>
      </c>
      <c r="M389" s="263"/>
      <c r="N389" s="263"/>
      <c r="O389" s="264">
        <v>1700</v>
      </c>
      <c r="P389" s="264">
        <v>1200</v>
      </c>
      <c r="Q389" s="265">
        <v>1</v>
      </c>
      <c r="R389" s="30">
        <f>MBQ[[#This Row],[HEIGHT (mm)]]*MBQ[[#This Row],[QTY TOTAL]]/1000</f>
        <v>1.7</v>
      </c>
      <c r="S389" s="30">
        <f>MBQ[[#This Row],[WIDTH (mm)]]*MBQ[[#This Row],[QTY TOTAL]]/1000</f>
        <v>1.2</v>
      </c>
      <c r="T389" s="9">
        <f>(MBQ[[#This Row],[HEIGHT (mm)]]+MBQ[[#This Row],[WIDTH (mm)]])/1000*2*MBQ[[#This Row],[QTY TOTAL]]</f>
        <v>5.8</v>
      </c>
      <c r="U389" s="266">
        <f>MBQ[[#This Row],[MULTIPLIER]]*MBQ[[#This Row],[QTY]]</f>
        <v>1</v>
      </c>
      <c r="V389" s="9">
        <f>MBQ[[#This Row],[HEIGHT (mm)]]/1000*MBQ[[#This Row],[WIDTH (mm)]]/1000*MBQ[[#This Row],[QTY TOTAL]]</f>
        <v>2.04</v>
      </c>
      <c r="W389" s="287">
        <f>ROUNDUP(MBQ[[#This Row],[HEIGHT (mm)]]/450*MBQ[[#This Row],[QTY]]*2,0)+ROUNDUP(MBQ[[#This Row],[WIDTH (mm)]]/450*MBQ[[#This Row],[QTY]]*2,0)</f>
        <v>14</v>
      </c>
    </row>
    <row r="390" spans="1:23" hidden="1">
      <c r="A390" s="258">
        <v>1</v>
      </c>
      <c r="B390" s="286" t="s">
        <v>535</v>
      </c>
      <c r="C390" s="278" t="s">
        <v>544</v>
      </c>
      <c r="D390" s="277" t="s">
        <v>552</v>
      </c>
      <c r="E390" s="277" t="s">
        <v>537</v>
      </c>
      <c r="F390" s="261"/>
      <c r="G390" s="262"/>
      <c r="H390" s="262"/>
      <c r="I390" s="260" t="s">
        <v>442</v>
      </c>
      <c r="J390" s="278" t="s">
        <v>443</v>
      </c>
      <c r="K390" s="285" t="s">
        <v>580</v>
      </c>
      <c r="L390" s="277" t="s">
        <v>540</v>
      </c>
      <c r="M390" s="263"/>
      <c r="N390" s="263"/>
      <c r="O390" s="264">
        <v>1000</v>
      </c>
      <c r="P390" s="264">
        <v>1200</v>
      </c>
      <c r="Q390" s="265">
        <v>1</v>
      </c>
      <c r="R390" s="30">
        <f>MBQ[[#This Row],[HEIGHT (mm)]]*MBQ[[#This Row],[QTY TOTAL]]/1000</f>
        <v>1</v>
      </c>
      <c r="S390" s="30">
        <f>MBQ[[#This Row],[WIDTH (mm)]]*MBQ[[#This Row],[QTY TOTAL]]/1000</f>
        <v>1.2</v>
      </c>
      <c r="T390" s="9">
        <f>(MBQ[[#This Row],[HEIGHT (mm)]]+MBQ[[#This Row],[WIDTH (mm)]])/1000*2*MBQ[[#This Row],[QTY TOTAL]]</f>
        <v>4.4000000000000004</v>
      </c>
      <c r="U390" s="266">
        <f>MBQ[[#This Row],[MULTIPLIER]]*MBQ[[#This Row],[QTY]]</f>
        <v>1</v>
      </c>
      <c r="V390" s="9">
        <f>MBQ[[#This Row],[HEIGHT (mm)]]/1000*MBQ[[#This Row],[WIDTH (mm)]]/1000*MBQ[[#This Row],[QTY TOTAL]]</f>
        <v>1.2</v>
      </c>
      <c r="W390" s="287">
        <f>ROUNDUP(MBQ[[#This Row],[HEIGHT (mm)]]/450*MBQ[[#This Row],[QTY]]*2,0)+ROUNDUP(MBQ[[#This Row],[WIDTH (mm)]]/450*MBQ[[#This Row],[QTY]]*2,0)</f>
        <v>11</v>
      </c>
    </row>
    <row r="391" spans="1:23" hidden="1">
      <c r="A391" s="258">
        <v>1</v>
      </c>
      <c r="B391" s="286" t="s">
        <v>535</v>
      </c>
      <c r="C391" s="278" t="s">
        <v>544</v>
      </c>
      <c r="D391" s="277" t="s">
        <v>552</v>
      </c>
      <c r="E391" s="277" t="s">
        <v>537</v>
      </c>
      <c r="F391" s="261"/>
      <c r="G391" s="262"/>
      <c r="H391" s="262"/>
      <c r="I391" s="260" t="s">
        <v>442</v>
      </c>
      <c r="J391" s="278" t="s">
        <v>443</v>
      </c>
      <c r="K391" s="285" t="s">
        <v>580</v>
      </c>
      <c r="L391" s="277" t="s">
        <v>540</v>
      </c>
      <c r="M391" s="263"/>
      <c r="N391" s="263"/>
      <c r="O391" s="264">
        <v>1300</v>
      </c>
      <c r="P391" s="264">
        <v>1200</v>
      </c>
      <c r="Q391" s="265">
        <v>1</v>
      </c>
      <c r="R391" s="30">
        <f>MBQ[[#This Row],[HEIGHT (mm)]]*MBQ[[#This Row],[QTY TOTAL]]/1000</f>
        <v>1.3</v>
      </c>
      <c r="S391" s="30">
        <f>MBQ[[#This Row],[WIDTH (mm)]]*MBQ[[#This Row],[QTY TOTAL]]/1000</f>
        <v>1.2</v>
      </c>
      <c r="T391" s="9">
        <f>(MBQ[[#This Row],[HEIGHT (mm)]]+MBQ[[#This Row],[WIDTH (mm)]])/1000*2*MBQ[[#This Row],[QTY TOTAL]]</f>
        <v>5</v>
      </c>
      <c r="U391" s="266">
        <f>MBQ[[#This Row],[MULTIPLIER]]*MBQ[[#This Row],[QTY]]</f>
        <v>1</v>
      </c>
      <c r="V391" s="9">
        <f>MBQ[[#This Row],[HEIGHT (mm)]]/1000*MBQ[[#This Row],[WIDTH (mm)]]/1000*MBQ[[#This Row],[QTY TOTAL]]</f>
        <v>1.56</v>
      </c>
      <c r="W391" s="287">
        <f>ROUNDUP(MBQ[[#This Row],[HEIGHT (mm)]]/450*MBQ[[#This Row],[QTY]]*2,0)+ROUNDUP(MBQ[[#This Row],[WIDTH (mm)]]/450*MBQ[[#This Row],[QTY]]*2,0)</f>
        <v>12</v>
      </c>
    </row>
    <row r="392" spans="1:23" hidden="1">
      <c r="A392" s="258">
        <v>1</v>
      </c>
      <c r="B392" s="286" t="s">
        <v>535</v>
      </c>
      <c r="C392" s="278" t="s">
        <v>544</v>
      </c>
      <c r="D392" s="277" t="s">
        <v>552</v>
      </c>
      <c r="E392" s="277" t="s">
        <v>537</v>
      </c>
      <c r="F392" s="261"/>
      <c r="G392" s="262"/>
      <c r="H392" s="262"/>
      <c r="I392" s="260" t="s">
        <v>442</v>
      </c>
      <c r="J392" s="278" t="s">
        <v>443</v>
      </c>
      <c r="K392" s="285" t="s">
        <v>580</v>
      </c>
      <c r="L392" s="277" t="s">
        <v>541</v>
      </c>
      <c r="M392" s="263"/>
      <c r="N392" s="263"/>
      <c r="O392" s="264">
        <v>1700</v>
      </c>
      <c r="P392" s="264">
        <v>1200</v>
      </c>
      <c r="Q392" s="265">
        <v>1</v>
      </c>
      <c r="R392" s="30">
        <f>MBQ[[#This Row],[HEIGHT (mm)]]*MBQ[[#This Row],[QTY TOTAL]]/1000</f>
        <v>1.7</v>
      </c>
      <c r="S392" s="30">
        <f>MBQ[[#This Row],[WIDTH (mm)]]*MBQ[[#This Row],[QTY TOTAL]]/1000</f>
        <v>1.2</v>
      </c>
      <c r="T392" s="9">
        <f>(MBQ[[#This Row],[HEIGHT (mm)]]+MBQ[[#This Row],[WIDTH (mm)]])/1000*2*MBQ[[#This Row],[QTY TOTAL]]</f>
        <v>5.8</v>
      </c>
      <c r="U392" s="266">
        <f>MBQ[[#This Row],[MULTIPLIER]]*MBQ[[#This Row],[QTY]]</f>
        <v>1</v>
      </c>
      <c r="V392" s="9">
        <f>MBQ[[#This Row],[HEIGHT (mm)]]/1000*MBQ[[#This Row],[WIDTH (mm)]]/1000*MBQ[[#This Row],[QTY TOTAL]]</f>
        <v>2.04</v>
      </c>
      <c r="W392" s="287">
        <f>ROUNDUP(MBQ[[#This Row],[HEIGHT (mm)]]/450*MBQ[[#This Row],[QTY]]*2,0)+ROUNDUP(MBQ[[#This Row],[WIDTH (mm)]]/450*MBQ[[#This Row],[QTY]]*2,0)</f>
        <v>14</v>
      </c>
    </row>
    <row r="393" spans="1:23" hidden="1">
      <c r="A393" s="258">
        <v>1</v>
      </c>
      <c r="B393" s="286" t="s">
        <v>535</v>
      </c>
      <c r="C393" s="278" t="s">
        <v>544</v>
      </c>
      <c r="D393" s="277" t="s">
        <v>552</v>
      </c>
      <c r="E393" s="277" t="s">
        <v>537</v>
      </c>
      <c r="F393" s="261"/>
      <c r="G393" s="262"/>
      <c r="H393" s="262"/>
      <c r="I393" s="260" t="s">
        <v>442</v>
      </c>
      <c r="J393" s="278" t="s">
        <v>443</v>
      </c>
      <c r="K393" s="285" t="s">
        <v>580</v>
      </c>
      <c r="L393" s="277" t="s">
        <v>540</v>
      </c>
      <c r="M393" s="263"/>
      <c r="N393" s="263"/>
      <c r="O393" s="264">
        <v>1000</v>
      </c>
      <c r="P393" s="264">
        <v>1200</v>
      </c>
      <c r="Q393" s="265">
        <v>1</v>
      </c>
      <c r="R393" s="30">
        <f>MBQ[[#This Row],[HEIGHT (mm)]]*MBQ[[#This Row],[QTY TOTAL]]/1000</f>
        <v>1</v>
      </c>
      <c r="S393" s="30">
        <f>MBQ[[#This Row],[WIDTH (mm)]]*MBQ[[#This Row],[QTY TOTAL]]/1000</f>
        <v>1.2</v>
      </c>
      <c r="T393" s="9">
        <f>(MBQ[[#This Row],[HEIGHT (mm)]]+MBQ[[#This Row],[WIDTH (mm)]])/1000*2*MBQ[[#This Row],[QTY TOTAL]]</f>
        <v>4.4000000000000004</v>
      </c>
      <c r="U393" s="266">
        <f>MBQ[[#This Row],[MULTIPLIER]]*MBQ[[#This Row],[QTY]]</f>
        <v>1</v>
      </c>
      <c r="V393" s="9">
        <f>MBQ[[#This Row],[HEIGHT (mm)]]/1000*MBQ[[#This Row],[WIDTH (mm)]]/1000*MBQ[[#This Row],[QTY TOTAL]]</f>
        <v>1.2</v>
      </c>
      <c r="W393" s="287">
        <f>ROUNDUP(MBQ[[#This Row],[HEIGHT (mm)]]/450*MBQ[[#This Row],[QTY]]*2,0)+ROUNDUP(MBQ[[#This Row],[WIDTH (mm)]]/450*MBQ[[#This Row],[QTY]]*2,0)</f>
        <v>11</v>
      </c>
    </row>
    <row r="394" spans="1:23" hidden="1">
      <c r="A394" s="258">
        <v>1</v>
      </c>
      <c r="B394" s="286" t="s">
        <v>535</v>
      </c>
      <c r="C394" s="278" t="s">
        <v>544</v>
      </c>
      <c r="D394" s="277" t="s">
        <v>552</v>
      </c>
      <c r="E394" s="277" t="s">
        <v>537</v>
      </c>
      <c r="F394" s="261"/>
      <c r="G394" s="262"/>
      <c r="H394" s="262"/>
      <c r="I394" s="260" t="s">
        <v>442</v>
      </c>
      <c r="J394" s="278" t="s">
        <v>443</v>
      </c>
      <c r="K394" s="285" t="s">
        <v>580</v>
      </c>
      <c r="L394" s="277" t="s">
        <v>540</v>
      </c>
      <c r="M394" s="263"/>
      <c r="N394" s="263"/>
      <c r="O394" s="264">
        <v>1100</v>
      </c>
      <c r="P394" s="264">
        <v>1200</v>
      </c>
      <c r="Q394" s="265">
        <v>1</v>
      </c>
      <c r="R394" s="30">
        <f>MBQ[[#This Row],[HEIGHT (mm)]]*MBQ[[#This Row],[QTY TOTAL]]/1000</f>
        <v>1.1000000000000001</v>
      </c>
      <c r="S394" s="30">
        <f>MBQ[[#This Row],[WIDTH (mm)]]*MBQ[[#This Row],[QTY TOTAL]]/1000</f>
        <v>1.2</v>
      </c>
      <c r="T394" s="9">
        <f>(MBQ[[#This Row],[HEIGHT (mm)]]+MBQ[[#This Row],[WIDTH (mm)]])/1000*2*MBQ[[#This Row],[QTY TOTAL]]</f>
        <v>4.5999999999999996</v>
      </c>
      <c r="U394" s="266">
        <f>MBQ[[#This Row],[MULTIPLIER]]*MBQ[[#This Row],[QTY]]</f>
        <v>1</v>
      </c>
      <c r="V394" s="9">
        <f>MBQ[[#This Row],[HEIGHT (mm)]]/1000*MBQ[[#This Row],[WIDTH (mm)]]/1000*MBQ[[#This Row],[QTY TOTAL]]</f>
        <v>1.32</v>
      </c>
      <c r="W394" s="287">
        <f>ROUNDUP(MBQ[[#This Row],[HEIGHT (mm)]]/450*MBQ[[#This Row],[QTY]]*2,0)+ROUNDUP(MBQ[[#This Row],[WIDTH (mm)]]/450*MBQ[[#This Row],[QTY]]*2,0)</f>
        <v>11</v>
      </c>
    </row>
    <row r="395" spans="1:23" hidden="1">
      <c r="A395" s="258">
        <v>1</v>
      </c>
      <c r="B395" s="286" t="s">
        <v>535</v>
      </c>
      <c r="C395" s="278" t="s">
        <v>544</v>
      </c>
      <c r="D395" s="277" t="s">
        <v>552</v>
      </c>
      <c r="E395" s="277" t="s">
        <v>537</v>
      </c>
      <c r="F395" s="261"/>
      <c r="G395" s="262"/>
      <c r="H395" s="262"/>
      <c r="I395" s="260" t="s">
        <v>442</v>
      </c>
      <c r="J395" s="278" t="s">
        <v>443</v>
      </c>
      <c r="K395" s="285" t="s">
        <v>580</v>
      </c>
      <c r="L395" s="277" t="s">
        <v>541</v>
      </c>
      <c r="M395" s="263"/>
      <c r="N395" s="263"/>
      <c r="O395" s="264">
        <v>1700</v>
      </c>
      <c r="P395" s="264">
        <v>1200</v>
      </c>
      <c r="Q395" s="265">
        <v>1</v>
      </c>
      <c r="R395" s="30">
        <f>MBQ[[#This Row],[HEIGHT (mm)]]*MBQ[[#This Row],[QTY TOTAL]]/1000</f>
        <v>1.7</v>
      </c>
      <c r="S395" s="30">
        <f>MBQ[[#This Row],[WIDTH (mm)]]*MBQ[[#This Row],[QTY TOTAL]]/1000</f>
        <v>1.2</v>
      </c>
      <c r="T395" s="9">
        <f>(MBQ[[#This Row],[HEIGHT (mm)]]+MBQ[[#This Row],[WIDTH (mm)]])/1000*2*MBQ[[#This Row],[QTY TOTAL]]</f>
        <v>5.8</v>
      </c>
      <c r="U395" s="266">
        <f>MBQ[[#This Row],[MULTIPLIER]]*MBQ[[#This Row],[QTY]]</f>
        <v>1</v>
      </c>
      <c r="V395" s="9">
        <f>MBQ[[#This Row],[HEIGHT (mm)]]/1000*MBQ[[#This Row],[WIDTH (mm)]]/1000*MBQ[[#This Row],[QTY TOTAL]]</f>
        <v>2.04</v>
      </c>
      <c r="W395" s="287">
        <f>ROUNDUP(MBQ[[#This Row],[HEIGHT (mm)]]/450*MBQ[[#This Row],[QTY]]*2,0)+ROUNDUP(MBQ[[#This Row],[WIDTH (mm)]]/450*MBQ[[#This Row],[QTY]]*2,0)</f>
        <v>14</v>
      </c>
    </row>
    <row r="396" spans="1:23" hidden="1">
      <c r="A396" s="258">
        <v>1</v>
      </c>
      <c r="B396" s="286" t="s">
        <v>535</v>
      </c>
      <c r="C396" s="278" t="s">
        <v>544</v>
      </c>
      <c r="D396" s="277" t="s">
        <v>552</v>
      </c>
      <c r="E396" s="277" t="s">
        <v>537</v>
      </c>
      <c r="F396" s="261"/>
      <c r="G396" s="262"/>
      <c r="H396" s="262"/>
      <c r="I396" s="260" t="s">
        <v>442</v>
      </c>
      <c r="J396" s="278" t="s">
        <v>443</v>
      </c>
      <c r="K396" s="285" t="s">
        <v>580</v>
      </c>
      <c r="L396" s="277" t="s">
        <v>540</v>
      </c>
      <c r="M396" s="263"/>
      <c r="N396" s="263"/>
      <c r="O396" s="264">
        <v>1000</v>
      </c>
      <c r="P396" s="264">
        <v>1200</v>
      </c>
      <c r="Q396" s="265">
        <v>1</v>
      </c>
      <c r="R396" s="30">
        <f>MBQ[[#This Row],[HEIGHT (mm)]]*MBQ[[#This Row],[QTY TOTAL]]/1000</f>
        <v>1</v>
      </c>
      <c r="S396" s="30">
        <f>MBQ[[#This Row],[WIDTH (mm)]]*MBQ[[#This Row],[QTY TOTAL]]/1000</f>
        <v>1.2</v>
      </c>
      <c r="T396" s="9">
        <f>(MBQ[[#This Row],[HEIGHT (mm)]]+MBQ[[#This Row],[WIDTH (mm)]])/1000*2*MBQ[[#This Row],[QTY TOTAL]]</f>
        <v>4.4000000000000004</v>
      </c>
      <c r="U396" s="266">
        <f>MBQ[[#This Row],[MULTIPLIER]]*MBQ[[#This Row],[QTY]]</f>
        <v>1</v>
      </c>
      <c r="V396" s="9">
        <f>MBQ[[#This Row],[HEIGHT (mm)]]/1000*MBQ[[#This Row],[WIDTH (mm)]]/1000*MBQ[[#This Row],[QTY TOTAL]]</f>
        <v>1.2</v>
      </c>
      <c r="W396" s="287">
        <f>ROUNDUP(MBQ[[#This Row],[HEIGHT (mm)]]/450*MBQ[[#This Row],[QTY]]*2,0)+ROUNDUP(MBQ[[#This Row],[WIDTH (mm)]]/450*MBQ[[#This Row],[QTY]]*2,0)</f>
        <v>11</v>
      </c>
    </row>
    <row r="397" spans="1:23" hidden="1">
      <c r="A397" s="258">
        <v>1</v>
      </c>
      <c r="B397" s="276" t="s">
        <v>536</v>
      </c>
      <c r="C397" s="278" t="s">
        <v>544</v>
      </c>
      <c r="D397" s="277" t="s">
        <v>552</v>
      </c>
      <c r="E397" s="277" t="s">
        <v>537</v>
      </c>
      <c r="F397" s="261"/>
      <c r="G397" s="262"/>
      <c r="H397" s="262"/>
      <c r="I397" s="260" t="s">
        <v>442</v>
      </c>
      <c r="J397" s="278" t="s">
        <v>443</v>
      </c>
      <c r="K397" s="285" t="s">
        <v>580</v>
      </c>
      <c r="L397" s="277" t="s">
        <v>540</v>
      </c>
      <c r="M397" s="263"/>
      <c r="N397" s="263"/>
      <c r="O397" s="264">
        <v>1300</v>
      </c>
      <c r="P397" s="264">
        <v>1200</v>
      </c>
      <c r="Q397" s="265">
        <v>1</v>
      </c>
      <c r="R397" s="30">
        <f>MBQ[[#This Row],[HEIGHT (mm)]]*MBQ[[#This Row],[QTY TOTAL]]/1000</f>
        <v>1.3</v>
      </c>
      <c r="S397" s="30">
        <f>MBQ[[#This Row],[WIDTH (mm)]]*MBQ[[#This Row],[QTY TOTAL]]/1000</f>
        <v>1.2</v>
      </c>
      <c r="T397" s="9">
        <f>(MBQ[[#This Row],[HEIGHT (mm)]]+MBQ[[#This Row],[WIDTH (mm)]])/1000*2*MBQ[[#This Row],[QTY TOTAL]]</f>
        <v>5</v>
      </c>
      <c r="U397" s="266">
        <f>MBQ[[#This Row],[MULTIPLIER]]*MBQ[[#This Row],[QTY]]</f>
        <v>1</v>
      </c>
      <c r="V397" s="9">
        <f>MBQ[[#This Row],[HEIGHT (mm)]]/1000*MBQ[[#This Row],[WIDTH (mm)]]/1000*MBQ[[#This Row],[QTY TOTAL]]</f>
        <v>1.56</v>
      </c>
      <c r="W397" s="287">
        <f>ROUNDUP(MBQ[[#This Row],[HEIGHT (mm)]]/450*MBQ[[#This Row],[QTY]]*2,0)+ROUNDUP(MBQ[[#This Row],[WIDTH (mm)]]/450*MBQ[[#This Row],[QTY]]*2,0)</f>
        <v>12</v>
      </c>
    </row>
    <row r="398" spans="1:23" ht="30" hidden="1">
      <c r="A398" s="258">
        <v>1</v>
      </c>
      <c r="B398" s="276" t="s">
        <v>536</v>
      </c>
      <c r="C398" s="278" t="s">
        <v>544</v>
      </c>
      <c r="D398" s="277" t="s">
        <v>552</v>
      </c>
      <c r="E398" s="277" t="s">
        <v>537</v>
      </c>
      <c r="F398" s="261"/>
      <c r="G398" s="262"/>
      <c r="H398" s="262"/>
      <c r="I398" s="260" t="s">
        <v>442</v>
      </c>
      <c r="J398" s="278" t="s">
        <v>555</v>
      </c>
      <c r="K398" s="285" t="s">
        <v>580</v>
      </c>
      <c r="L398" s="277" t="s">
        <v>548</v>
      </c>
      <c r="M398" s="263"/>
      <c r="N398" s="263"/>
      <c r="O398" s="264">
        <v>2700</v>
      </c>
      <c r="P398" s="264">
        <v>2400</v>
      </c>
      <c r="Q398" s="265">
        <v>1</v>
      </c>
      <c r="R398" s="30">
        <f>MBQ[[#This Row],[HEIGHT (mm)]]*MBQ[[#This Row],[QTY TOTAL]]/1000</f>
        <v>2.7</v>
      </c>
      <c r="S398" s="30">
        <f>MBQ[[#This Row],[WIDTH (mm)]]*MBQ[[#This Row],[QTY TOTAL]]/1000</f>
        <v>2.4</v>
      </c>
      <c r="T398" s="9">
        <f>(MBQ[[#This Row],[HEIGHT (mm)]]+MBQ[[#This Row],[WIDTH (mm)]])/1000*2*MBQ[[#This Row],[QTY TOTAL]]</f>
        <v>10.199999999999999</v>
      </c>
      <c r="U398" s="266">
        <f>MBQ[[#This Row],[MULTIPLIER]]*MBQ[[#This Row],[QTY]]</f>
        <v>1</v>
      </c>
      <c r="V398" s="9">
        <f>MBQ[[#This Row],[HEIGHT (mm)]]/1000*MBQ[[#This Row],[WIDTH (mm)]]/1000*MBQ[[#This Row],[QTY TOTAL]]</f>
        <v>6.48</v>
      </c>
      <c r="W398" s="287">
        <f>ROUNDUP(MBQ[[#This Row],[HEIGHT (mm)]]/450*MBQ[[#This Row],[QTY]]*2,0)+ROUNDUP(MBQ[[#This Row],[WIDTH (mm)]]/450*MBQ[[#This Row],[QTY]]*2,0)</f>
        <v>23</v>
      </c>
    </row>
    <row r="399" spans="1:23" hidden="1">
      <c r="A399" s="258">
        <v>1</v>
      </c>
      <c r="B399" s="286" t="s">
        <v>535</v>
      </c>
      <c r="C399" s="278" t="s">
        <v>544</v>
      </c>
      <c r="D399" s="277" t="s">
        <v>552</v>
      </c>
      <c r="E399" s="277" t="s">
        <v>537</v>
      </c>
      <c r="F399" s="261"/>
      <c r="G399" s="262"/>
      <c r="H399" s="262"/>
      <c r="I399" s="260" t="s">
        <v>442</v>
      </c>
      <c r="J399" s="278" t="s">
        <v>443</v>
      </c>
      <c r="K399" s="285" t="s">
        <v>580</v>
      </c>
      <c r="L399" s="277" t="s">
        <v>540</v>
      </c>
      <c r="M399" s="263"/>
      <c r="N399" s="263"/>
      <c r="O399" s="264">
        <v>1100</v>
      </c>
      <c r="P399" s="264">
        <v>1200</v>
      </c>
      <c r="Q399" s="265">
        <v>1</v>
      </c>
      <c r="R399" s="30">
        <f>MBQ[[#This Row],[HEIGHT (mm)]]*MBQ[[#This Row],[QTY TOTAL]]/1000</f>
        <v>1.1000000000000001</v>
      </c>
      <c r="S399" s="30">
        <f>MBQ[[#This Row],[WIDTH (mm)]]*MBQ[[#This Row],[QTY TOTAL]]/1000</f>
        <v>1.2</v>
      </c>
      <c r="T399" s="9">
        <f>(MBQ[[#This Row],[HEIGHT (mm)]]+MBQ[[#This Row],[WIDTH (mm)]])/1000*2*MBQ[[#This Row],[QTY TOTAL]]</f>
        <v>4.5999999999999996</v>
      </c>
      <c r="U399" s="266">
        <f>MBQ[[#This Row],[MULTIPLIER]]*MBQ[[#This Row],[QTY]]</f>
        <v>1</v>
      </c>
      <c r="V399" s="9">
        <f>MBQ[[#This Row],[HEIGHT (mm)]]/1000*MBQ[[#This Row],[WIDTH (mm)]]/1000*MBQ[[#This Row],[QTY TOTAL]]</f>
        <v>1.32</v>
      </c>
      <c r="W399" s="287">
        <f>ROUNDUP(MBQ[[#This Row],[HEIGHT (mm)]]/450*MBQ[[#This Row],[QTY]]*2,0)+ROUNDUP(MBQ[[#This Row],[WIDTH (mm)]]/450*MBQ[[#This Row],[QTY]]*2,0)</f>
        <v>11</v>
      </c>
    </row>
    <row r="400" spans="1:23" hidden="1">
      <c r="A400" s="258">
        <v>1</v>
      </c>
      <c r="B400" s="286" t="s">
        <v>535</v>
      </c>
      <c r="C400" s="278" t="s">
        <v>544</v>
      </c>
      <c r="D400" s="277" t="s">
        <v>552</v>
      </c>
      <c r="E400" s="277" t="s">
        <v>537</v>
      </c>
      <c r="F400" s="261"/>
      <c r="G400" s="262"/>
      <c r="H400" s="262"/>
      <c r="I400" s="260" t="s">
        <v>442</v>
      </c>
      <c r="J400" s="278" t="s">
        <v>443</v>
      </c>
      <c r="K400" s="285" t="s">
        <v>580</v>
      </c>
      <c r="L400" s="277" t="s">
        <v>541</v>
      </c>
      <c r="M400" s="263"/>
      <c r="N400" s="263"/>
      <c r="O400" s="264">
        <v>1700</v>
      </c>
      <c r="P400" s="264">
        <v>1200</v>
      </c>
      <c r="Q400" s="265">
        <v>1</v>
      </c>
      <c r="R400" s="30">
        <f>MBQ[[#This Row],[HEIGHT (mm)]]*MBQ[[#This Row],[QTY TOTAL]]/1000</f>
        <v>1.7</v>
      </c>
      <c r="S400" s="30">
        <f>MBQ[[#This Row],[WIDTH (mm)]]*MBQ[[#This Row],[QTY TOTAL]]/1000</f>
        <v>1.2</v>
      </c>
      <c r="T400" s="9">
        <f>(MBQ[[#This Row],[HEIGHT (mm)]]+MBQ[[#This Row],[WIDTH (mm)]])/1000*2*MBQ[[#This Row],[QTY TOTAL]]</f>
        <v>5.8</v>
      </c>
      <c r="U400" s="266">
        <f>MBQ[[#This Row],[MULTIPLIER]]*MBQ[[#This Row],[QTY]]</f>
        <v>1</v>
      </c>
      <c r="V400" s="9">
        <f>MBQ[[#This Row],[HEIGHT (mm)]]/1000*MBQ[[#This Row],[WIDTH (mm)]]/1000*MBQ[[#This Row],[QTY TOTAL]]</f>
        <v>2.04</v>
      </c>
      <c r="W400" s="287">
        <f>ROUNDUP(MBQ[[#This Row],[HEIGHT (mm)]]/450*MBQ[[#This Row],[QTY]]*2,0)+ROUNDUP(MBQ[[#This Row],[WIDTH (mm)]]/450*MBQ[[#This Row],[QTY]]*2,0)</f>
        <v>14</v>
      </c>
    </row>
    <row r="401" spans="1:23" hidden="1">
      <c r="A401" s="258">
        <v>1</v>
      </c>
      <c r="B401" s="286" t="s">
        <v>535</v>
      </c>
      <c r="C401" s="278" t="s">
        <v>544</v>
      </c>
      <c r="D401" s="277" t="s">
        <v>552</v>
      </c>
      <c r="E401" s="277" t="s">
        <v>537</v>
      </c>
      <c r="F401" s="261"/>
      <c r="G401" s="262"/>
      <c r="H401" s="262"/>
      <c r="I401" s="260" t="s">
        <v>442</v>
      </c>
      <c r="J401" s="278" t="s">
        <v>443</v>
      </c>
      <c r="K401" s="285" t="s">
        <v>580</v>
      </c>
      <c r="L401" s="277" t="s">
        <v>540</v>
      </c>
      <c r="M401" s="263"/>
      <c r="N401" s="263"/>
      <c r="O401" s="264">
        <v>1000</v>
      </c>
      <c r="P401" s="264">
        <v>1200</v>
      </c>
      <c r="Q401" s="265">
        <v>1</v>
      </c>
      <c r="R401" s="30">
        <f>MBQ[[#This Row],[HEIGHT (mm)]]*MBQ[[#This Row],[QTY TOTAL]]/1000</f>
        <v>1</v>
      </c>
      <c r="S401" s="30">
        <f>MBQ[[#This Row],[WIDTH (mm)]]*MBQ[[#This Row],[QTY TOTAL]]/1000</f>
        <v>1.2</v>
      </c>
      <c r="T401" s="9">
        <f>(MBQ[[#This Row],[HEIGHT (mm)]]+MBQ[[#This Row],[WIDTH (mm)]])/1000*2*MBQ[[#This Row],[QTY TOTAL]]</f>
        <v>4.4000000000000004</v>
      </c>
      <c r="U401" s="266">
        <f>MBQ[[#This Row],[MULTIPLIER]]*MBQ[[#This Row],[QTY]]</f>
        <v>1</v>
      </c>
      <c r="V401" s="9">
        <f>MBQ[[#This Row],[HEIGHT (mm)]]/1000*MBQ[[#This Row],[WIDTH (mm)]]/1000*MBQ[[#This Row],[QTY TOTAL]]</f>
        <v>1.2</v>
      </c>
      <c r="W401" s="287">
        <f>ROUNDUP(MBQ[[#This Row],[HEIGHT (mm)]]/450*MBQ[[#This Row],[QTY]]*2,0)+ROUNDUP(MBQ[[#This Row],[WIDTH (mm)]]/450*MBQ[[#This Row],[QTY]]*2,0)</f>
        <v>11</v>
      </c>
    </row>
    <row r="402" spans="1:23" hidden="1">
      <c r="A402" s="258">
        <v>1</v>
      </c>
      <c r="B402" s="276" t="s">
        <v>536</v>
      </c>
      <c r="C402" s="278" t="s">
        <v>544</v>
      </c>
      <c r="D402" s="277" t="s">
        <v>552</v>
      </c>
      <c r="E402" s="277" t="s">
        <v>537</v>
      </c>
      <c r="F402" s="261"/>
      <c r="G402" s="262"/>
      <c r="H402" s="262"/>
      <c r="I402" s="260" t="s">
        <v>442</v>
      </c>
      <c r="J402" s="278" t="s">
        <v>443</v>
      </c>
      <c r="K402" s="285" t="s">
        <v>580</v>
      </c>
      <c r="L402" s="277" t="s">
        <v>540</v>
      </c>
      <c r="M402" s="263"/>
      <c r="N402" s="263"/>
      <c r="O402" s="264">
        <v>1300</v>
      </c>
      <c r="P402" s="264">
        <v>1200</v>
      </c>
      <c r="Q402" s="265">
        <v>1</v>
      </c>
      <c r="R402" s="30">
        <f>MBQ[[#This Row],[HEIGHT (mm)]]*MBQ[[#This Row],[QTY TOTAL]]/1000</f>
        <v>1.3</v>
      </c>
      <c r="S402" s="30">
        <f>MBQ[[#This Row],[WIDTH (mm)]]*MBQ[[#This Row],[QTY TOTAL]]/1000</f>
        <v>1.2</v>
      </c>
      <c r="T402" s="9">
        <f>(MBQ[[#This Row],[HEIGHT (mm)]]+MBQ[[#This Row],[WIDTH (mm)]])/1000*2*MBQ[[#This Row],[QTY TOTAL]]</f>
        <v>5</v>
      </c>
      <c r="U402" s="266">
        <f>MBQ[[#This Row],[MULTIPLIER]]*MBQ[[#This Row],[QTY]]</f>
        <v>1</v>
      </c>
      <c r="V402" s="9">
        <f>MBQ[[#This Row],[HEIGHT (mm)]]/1000*MBQ[[#This Row],[WIDTH (mm)]]/1000*MBQ[[#This Row],[QTY TOTAL]]</f>
        <v>1.56</v>
      </c>
      <c r="W402" s="287">
        <f>ROUNDUP(MBQ[[#This Row],[HEIGHT (mm)]]/450*MBQ[[#This Row],[QTY]]*2,0)+ROUNDUP(MBQ[[#This Row],[WIDTH (mm)]]/450*MBQ[[#This Row],[QTY]]*2,0)</f>
        <v>12</v>
      </c>
    </row>
    <row r="403" spans="1:23" hidden="1">
      <c r="A403" s="258">
        <v>1</v>
      </c>
      <c r="B403" s="276" t="s">
        <v>536</v>
      </c>
      <c r="C403" s="278" t="s">
        <v>544</v>
      </c>
      <c r="D403" s="277" t="s">
        <v>552</v>
      </c>
      <c r="E403" s="277" t="s">
        <v>537</v>
      </c>
      <c r="F403" s="261"/>
      <c r="G403" s="262"/>
      <c r="H403" s="262"/>
      <c r="I403" s="260" t="s">
        <v>442</v>
      </c>
      <c r="J403" s="278" t="s">
        <v>443</v>
      </c>
      <c r="K403" s="285" t="s">
        <v>580</v>
      </c>
      <c r="L403" s="277" t="s">
        <v>540</v>
      </c>
      <c r="M403" s="263"/>
      <c r="N403" s="263"/>
      <c r="O403" s="264">
        <v>1300</v>
      </c>
      <c r="P403" s="264">
        <v>1200</v>
      </c>
      <c r="Q403" s="265">
        <v>1</v>
      </c>
      <c r="R403" s="30">
        <f>MBQ[[#This Row],[HEIGHT (mm)]]*MBQ[[#This Row],[QTY TOTAL]]/1000</f>
        <v>1.3</v>
      </c>
      <c r="S403" s="30">
        <f>MBQ[[#This Row],[WIDTH (mm)]]*MBQ[[#This Row],[QTY TOTAL]]/1000</f>
        <v>1.2</v>
      </c>
      <c r="T403" s="9">
        <f>(MBQ[[#This Row],[HEIGHT (mm)]]+MBQ[[#This Row],[WIDTH (mm)]])/1000*2*MBQ[[#This Row],[QTY TOTAL]]</f>
        <v>5</v>
      </c>
      <c r="U403" s="266">
        <f>MBQ[[#This Row],[MULTIPLIER]]*MBQ[[#This Row],[QTY]]</f>
        <v>1</v>
      </c>
      <c r="V403" s="9">
        <f>MBQ[[#This Row],[HEIGHT (mm)]]/1000*MBQ[[#This Row],[WIDTH (mm)]]/1000*MBQ[[#This Row],[QTY TOTAL]]</f>
        <v>1.56</v>
      </c>
      <c r="W403" s="287">
        <f>ROUNDUP(MBQ[[#This Row],[HEIGHT (mm)]]/450*MBQ[[#This Row],[QTY]]*2,0)+ROUNDUP(MBQ[[#This Row],[WIDTH (mm)]]/450*MBQ[[#This Row],[QTY]]*2,0)</f>
        <v>12</v>
      </c>
    </row>
    <row r="404" spans="1:23" hidden="1">
      <c r="A404" s="258">
        <v>1</v>
      </c>
      <c r="B404" s="276" t="s">
        <v>536</v>
      </c>
      <c r="C404" s="278" t="s">
        <v>544</v>
      </c>
      <c r="D404" s="277" t="s">
        <v>552</v>
      </c>
      <c r="E404" s="277" t="s">
        <v>537</v>
      </c>
      <c r="F404" s="261"/>
      <c r="G404" s="262"/>
      <c r="H404" s="262"/>
      <c r="I404" s="260" t="s">
        <v>442</v>
      </c>
      <c r="J404" s="278" t="s">
        <v>443</v>
      </c>
      <c r="K404" s="285" t="s">
        <v>580</v>
      </c>
      <c r="L404" s="277" t="s">
        <v>541</v>
      </c>
      <c r="M404" s="263"/>
      <c r="N404" s="263"/>
      <c r="O404" s="264">
        <v>1700</v>
      </c>
      <c r="P404" s="264">
        <v>1200</v>
      </c>
      <c r="Q404" s="265">
        <v>1</v>
      </c>
      <c r="R404" s="30">
        <f>MBQ[[#This Row],[HEIGHT (mm)]]*MBQ[[#This Row],[QTY TOTAL]]/1000</f>
        <v>1.7</v>
      </c>
      <c r="S404" s="30">
        <f>MBQ[[#This Row],[WIDTH (mm)]]*MBQ[[#This Row],[QTY TOTAL]]/1000</f>
        <v>1.2</v>
      </c>
      <c r="T404" s="9">
        <f>(MBQ[[#This Row],[HEIGHT (mm)]]+MBQ[[#This Row],[WIDTH (mm)]])/1000*2*MBQ[[#This Row],[QTY TOTAL]]</f>
        <v>5.8</v>
      </c>
      <c r="U404" s="266">
        <f>MBQ[[#This Row],[MULTIPLIER]]*MBQ[[#This Row],[QTY]]</f>
        <v>1</v>
      </c>
      <c r="V404" s="9">
        <f>MBQ[[#This Row],[HEIGHT (mm)]]/1000*MBQ[[#This Row],[WIDTH (mm)]]/1000*MBQ[[#This Row],[QTY TOTAL]]</f>
        <v>2.04</v>
      </c>
      <c r="W404" s="287">
        <f>ROUNDUP(MBQ[[#This Row],[HEIGHT (mm)]]/450*MBQ[[#This Row],[QTY]]*2,0)+ROUNDUP(MBQ[[#This Row],[WIDTH (mm)]]/450*MBQ[[#This Row],[QTY]]*2,0)</f>
        <v>14</v>
      </c>
    </row>
    <row r="405" spans="1:23" hidden="1">
      <c r="A405" s="258">
        <v>1</v>
      </c>
      <c r="B405" s="276" t="s">
        <v>536</v>
      </c>
      <c r="C405" s="278" t="s">
        <v>544</v>
      </c>
      <c r="D405" s="277" t="s">
        <v>552</v>
      </c>
      <c r="E405" s="277" t="s">
        <v>537</v>
      </c>
      <c r="F405" s="261"/>
      <c r="G405" s="262"/>
      <c r="H405" s="262"/>
      <c r="I405" s="260" t="s">
        <v>442</v>
      </c>
      <c r="J405" s="278" t="s">
        <v>443</v>
      </c>
      <c r="K405" s="285" t="s">
        <v>580</v>
      </c>
      <c r="L405" s="277" t="s">
        <v>540</v>
      </c>
      <c r="M405" s="263"/>
      <c r="N405" s="263"/>
      <c r="O405" s="264">
        <v>1000</v>
      </c>
      <c r="P405" s="264">
        <v>1200</v>
      </c>
      <c r="Q405" s="265">
        <v>1</v>
      </c>
      <c r="R405" s="30">
        <f>MBQ[[#This Row],[HEIGHT (mm)]]*MBQ[[#This Row],[QTY TOTAL]]/1000</f>
        <v>1</v>
      </c>
      <c r="S405" s="30">
        <f>MBQ[[#This Row],[WIDTH (mm)]]*MBQ[[#This Row],[QTY TOTAL]]/1000</f>
        <v>1.2</v>
      </c>
      <c r="T405" s="9">
        <f>(MBQ[[#This Row],[HEIGHT (mm)]]+MBQ[[#This Row],[WIDTH (mm)]])/1000*2*MBQ[[#This Row],[QTY TOTAL]]</f>
        <v>4.4000000000000004</v>
      </c>
      <c r="U405" s="266">
        <f>MBQ[[#This Row],[MULTIPLIER]]*MBQ[[#This Row],[QTY]]</f>
        <v>1</v>
      </c>
      <c r="V405" s="9">
        <f>MBQ[[#This Row],[HEIGHT (mm)]]/1000*MBQ[[#This Row],[WIDTH (mm)]]/1000*MBQ[[#This Row],[QTY TOTAL]]</f>
        <v>1.2</v>
      </c>
      <c r="W405" s="287">
        <f>ROUNDUP(MBQ[[#This Row],[HEIGHT (mm)]]/450*MBQ[[#This Row],[QTY]]*2,0)+ROUNDUP(MBQ[[#This Row],[WIDTH (mm)]]/450*MBQ[[#This Row],[QTY]]*2,0)</f>
        <v>11</v>
      </c>
    </row>
    <row r="406" spans="1:23" hidden="1">
      <c r="A406" s="258">
        <v>1</v>
      </c>
      <c r="B406" s="276" t="s">
        <v>536</v>
      </c>
      <c r="C406" s="278" t="s">
        <v>544</v>
      </c>
      <c r="D406" s="277" t="s">
        <v>552</v>
      </c>
      <c r="E406" s="277" t="s">
        <v>537</v>
      </c>
      <c r="F406" s="261"/>
      <c r="G406" s="262"/>
      <c r="H406" s="262"/>
      <c r="I406" s="260" t="s">
        <v>442</v>
      </c>
      <c r="J406" s="278" t="s">
        <v>443</v>
      </c>
      <c r="K406" s="285" t="s">
        <v>580</v>
      </c>
      <c r="L406" s="277" t="s">
        <v>540</v>
      </c>
      <c r="M406" s="263"/>
      <c r="N406" s="263"/>
      <c r="O406" s="264">
        <v>1300</v>
      </c>
      <c r="P406" s="264">
        <v>1200</v>
      </c>
      <c r="Q406" s="265">
        <v>1</v>
      </c>
      <c r="R406" s="30">
        <f>MBQ[[#This Row],[HEIGHT (mm)]]*MBQ[[#This Row],[QTY TOTAL]]/1000</f>
        <v>1.3</v>
      </c>
      <c r="S406" s="30">
        <f>MBQ[[#This Row],[WIDTH (mm)]]*MBQ[[#This Row],[QTY TOTAL]]/1000</f>
        <v>1.2</v>
      </c>
      <c r="T406" s="9">
        <f>(MBQ[[#This Row],[HEIGHT (mm)]]+MBQ[[#This Row],[WIDTH (mm)]])/1000*2*MBQ[[#This Row],[QTY TOTAL]]</f>
        <v>5</v>
      </c>
      <c r="U406" s="266">
        <f>MBQ[[#This Row],[MULTIPLIER]]*MBQ[[#This Row],[QTY]]</f>
        <v>1</v>
      </c>
      <c r="V406" s="9">
        <f>MBQ[[#This Row],[HEIGHT (mm)]]/1000*MBQ[[#This Row],[WIDTH (mm)]]/1000*MBQ[[#This Row],[QTY TOTAL]]</f>
        <v>1.56</v>
      </c>
      <c r="W406" s="287">
        <f>ROUNDUP(MBQ[[#This Row],[HEIGHT (mm)]]/450*MBQ[[#This Row],[QTY]]*2,0)+ROUNDUP(MBQ[[#This Row],[WIDTH (mm)]]/450*MBQ[[#This Row],[QTY]]*2,0)</f>
        <v>12</v>
      </c>
    </row>
    <row r="407" spans="1:23" hidden="1">
      <c r="A407" s="258">
        <v>1</v>
      </c>
      <c r="B407" s="276" t="s">
        <v>536</v>
      </c>
      <c r="C407" s="278" t="s">
        <v>544</v>
      </c>
      <c r="D407" s="277" t="s">
        <v>552</v>
      </c>
      <c r="E407" s="277" t="s">
        <v>537</v>
      </c>
      <c r="F407" s="261"/>
      <c r="G407" s="262"/>
      <c r="H407" s="262"/>
      <c r="I407" s="260" t="s">
        <v>442</v>
      </c>
      <c r="J407" s="278" t="s">
        <v>443</v>
      </c>
      <c r="K407" s="285" t="s">
        <v>580</v>
      </c>
      <c r="L407" s="277" t="s">
        <v>541</v>
      </c>
      <c r="M407" s="263"/>
      <c r="N407" s="263"/>
      <c r="O407" s="264">
        <v>1700</v>
      </c>
      <c r="P407" s="264">
        <v>1200</v>
      </c>
      <c r="Q407" s="265">
        <v>1</v>
      </c>
      <c r="R407" s="30">
        <f>MBQ[[#This Row],[HEIGHT (mm)]]*MBQ[[#This Row],[QTY TOTAL]]/1000</f>
        <v>1.7</v>
      </c>
      <c r="S407" s="30">
        <f>MBQ[[#This Row],[WIDTH (mm)]]*MBQ[[#This Row],[QTY TOTAL]]/1000</f>
        <v>1.2</v>
      </c>
      <c r="T407" s="9">
        <f>(MBQ[[#This Row],[HEIGHT (mm)]]+MBQ[[#This Row],[WIDTH (mm)]])/1000*2*MBQ[[#This Row],[QTY TOTAL]]</f>
        <v>5.8</v>
      </c>
      <c r="U407" s="266">
        <f>MBQ[[#This Row],[MULTIPLIER]]*MBQ[[#This Row],[QTY]]</f>
        <v>1</v>
      </c>
      <c r="V407" s="9">
        <f>MBQ[[#This Row],[HEIGHT (mm)]]/1000*MBQ[[#This Row],[WIDTH (mm)]]/1000*MBQ[[#This Row],[QTY TOTAL]]</f>
        <v>2.04</v>
      </c>
      <c r="W407" s="287">
        <f>ROUNDUP(MBQ[[#This Row],[HEIGHT (mm)]]/450*MBQ[[#This Row],[QTY]]*2,0)+ROUNDUP(MBQ[[#This Row],[WIDTH (mm)]]/450*MBQ[[#This Row],[QTY]]*2,0)</f>
        <v>14</v>
      </c>
    </row>
    <row r="408" spans="1:23" hidden="1">
      <c r="A408" s="258">
        <v>1</v>
      </c>
      <c r="B408" s="276" t="s">
        <v>536</v>
      </c>
      <c r="C408" s="278" t="s">
        <v>544</v>
      </c>
      <c r="D408" s="277" t="s">
        <v>552</v>
      </c>
      <c r="E408" s="277" t="s">
        <v>537</v>
      </c>
      <c r="F408" s="261"/>
      <c r="G408" s="262"/>
      <c r="H408" s="262"/>
      <c r="I408" s="260" t="s">
        <v>442</v>
      </c>
      <c r="J408" s="278" t="s">
        <v>443</v>
      </c>
      <c r="K408" s="285" t="s">
        <v>580</v>
      </c>
      <c r="L408" s="277" t="s">
        <v>540</v>
      </c>
      <c r="M408" s="263"/>
      <c r="N408" s="263"/>
      <c r="O408" s="264">
        <v>1000</v>
      </c>
      <c r="P408" s="264">
        <v>1200</v>
      </c>
      <c r="Q408" s="265">
        <v>1</v>
      </c>
      <c r="R408" s="30">
        <f>MBQ[[#This Row],[HEIGHT (mm)]]*MBQ[[#This Row],[QTY TOTAL]]/1000</f>
        <v>1</v>
      </c>
      <c r="S408" s="30">
        <f>MBQ[[#This Row],[WIDTH (mm)]]*MBQ[[#This Row],[QTY TOTAL]]/1000</f>
        <v>1.2</v>
      </c>
      <c r="T408" s="9">
        <f>(MBQ[[#This Row],[HEIGHT (mm)]]+MBQ[[#This Row],[WIDTH (mm)]])/1000*2*MBQ[[#This Row],[QTY TOTAL]]</f>
        <v>4.4000000000000004</v>
      </c>
      <c r="U408" s="266">
        <f>MBQ[[#This Row],[MULTIPLIER]]*MBQ[[#This Row],[QTY]]</f>
        <v>1</v>
      </c>
      <c r="V408" s="9">
        <f>MBQ[[#This Row],[HEIGHT (mm)]]/1000*MBQ[[#This Row],[WIDTH (mm)]]/1000*MBQ[[#This Row],[QTY TOTAL]]</f>
        <v>1.2</v>
      </c>
      <c r="W408" s="287">
        <f>ROUNDUP(MBQ[[#This Row],[HEIGHT (mm)]]/450*MBQ[[#This Row],[QTY]]*2,0)+ROUNDUP(MBQ[[#This Row],[WIDTH (mm)]]/450*MBQ[[#This Row],[QTY]]*2,0)</f>
        <v>11</v>
      </c>
    </row>
    <row r="409" spans="1:23" hidden="1">
      <c r="A409" s="258">
        <v>1</v>
      </c>
      <c r="B409" s="276" t="s">
        <v>536</v>
      </c>
      <c r="C409" s="278" t="s">
        <v>554</v>
      </c>
      <c r="D409" s="277" t="s">
        <v>553</v>
      </c>
      <c r="E409" s="277" t="s">
        <v>537</v>
      </c>
      <c r="F409" s="261"/>
      <c r="G409" s="262"/>
      <c r="H409" s="262"/>
      <c r="I409" s="260" t="s">
        <v>441</v>
      </c>
      <c r="J409" s="263"/>
      <c r="K409" s="285" t="s">
        <v>580</v>
      </c>
      <c r="L409" s="260"/>
      <c r="M409" s="263"/>
      <c r="N409" s="263"/>
      <c r="O409" s="264">
        <v>8000</v>
      </c>
      <c r="P409" s="264">
        <v>6000</v>
      </c>
      <c r="Q409" s="265">
        <v>1</v>
      </c>
      <c r="R409" s="30">
        <f>MBQ[[#This Row],[HEIGHT (mm)]]*MBQ[[#This Row],[QTY TOTAL]]/1000</f>
        <v>8</v>
      </c>
      <c r="S409" s="30">
        <f>MBQ[[#This Row],[WIDTH (mm)]]*MBQ[[#This Row],[QTY TOTAL]]/1000</f>
        <v>6</v>
      </c>
      <c r="T409" s="9">
        <f>(MBQ[[#This Row],[HEIGHT (mm)]]+MBQ[[#This Row],[WIDTH (mm)]])/1000*2*MBQ[[#This Row],[QTY TOTAL]]</f>
        <v>28</v>
      </c>
      <c r="U409" s="266">
        <f>MBQ[[#This Row],[MULTIPLIER]]*MBQ[[#This Row],[QTY]]</f>
        <v>1</v>
      </c>
      <c r="V409" s="9">
        <f>MBQ[[#This Row],[HEIGHT (mm)]]/1000*MBQ[[#This Row],[WIDTH (mm)]]/1000*MBQ[[#This Row],[QTY TOTAL]]</f>
        <v>48</v>
      </c>
      <c r="W409" s="287">
        <f>ROUNDUP(MBQ[[#This Row],[HEIGHT (mm)]]/450*MBQ[[#This Row],[QTY]]*2,0)+ROUNDUP(MBQ[[#This Row],[WIDTH (mm)]]/450*MBQ[[#This Row],[QTY]]*2,0)</f>
        <v>63</v>
      </c>
    </row>
    <row r="410" spans="1:23" ht="30">
      <c r="A410" s="258">
        <v>1</v>
      </c>
      <c r="B410" s="286" t="s">
        <v>535</v>
      </c>
      <c r="C410" s="278" t="s">
        <v>554</v>
      </c>
      <c r="D410" s="277" t="s">
        <v>553</v>
      </c>
      <c r="E410" s="277" t="s">
        <v>537</v>
      </c>
      <c r="F410" s="261"/>
      <c r="G410" s="262"/>
      <c r="H410" s="262"/>
      <c r="I410" s="260" t="s">
        <v>439</v>
      </c>
      <c r="J410" s="278" t="s">
        <v>538</v>
      </c>
      <c r="K410" s="285" t="s">
        <v>580</v>
      </c>
      <c r="L410" s="277" t="s">
        <v>539</v>
      </c>
      <c r="M410" s="263"/>
      <c r="N410" s="263"/>
      <c r="O410" s="264">
        <v>4000</v>
      </c>
      <c r="P410" s="264">
        <v>1200</v>
      </c>
      <c r="Q410" s="265">
        <v>1</v>
      </c>
      <c r="R410" s="30">
        <f>MBQ[[#This Row],[HEIGHT (mm)]]*MBQ[[#This Row],[QTY TOTAL]]/1000</f>
        <v>4</v>
      </c>
      <c r="S410" s="30">
        <f>MBQ[[#This Row],[WIDTH (mm)]]*MBQ[[#This Row],[QTY TOTAL]]/1000</f>
        <v>1.2</v>
      </c>
      <c r="T410" s="9">
        <f>(MBQ[[#This Row],[HEIGHT (mm)]]+MBQ[[#This Row],[WIDTH (mm)]])/1000*2*MBQ[[#This Row],[QTY TOTAL]]</f>
        <v>10.4</v>
      </c>
      <c r="U410" s="266">
        <f>MBQ[[#This Row],[MULTIPLIER]]*MBQ[[#This Row],[QTY]]</f>
        <v>1</v>
      </c>
      <c r="V410" s="9">
        <f>MBQ[[#This Row],[HEIGHT (mm)]]/1000*MBQ[[#This Row],[WIDTH (mm)]]/1000*MBQ[[#This Row],[QTY TOTAL]]</f>
        <v>4.8</v>
      </c>
      <c r="W410" s="287">
        <f>ROUNDUP(MBQ[[#This Row],[HEIGHT (mm)]]/450*MBQ[[#This Row],[QTY]]*2,0)+ROUNDUP(MBQ[[#This Row],[WIDTH (mm)]]/450*MBQ[[#This Row],[QTY]]*2,0)</f>
        <v>24</v>
      </c>
    </row>
    <row r="411" spans="1:23" ht="30">
      <c r="A411" s="258">
        <v>1</v>
      </c>
      <c r="B411" s="286" t="s">
        <v>535</v>
      </c>
      <c r="C411" s="278" t="s">
        <v>554</v>
      </c>
      <c r="D411" s="277" t="s">
        <v>553</v>
      </c>
      <c r="E411" s="277" t="s">
        <v>537</v>
      </c>
      <c r="F411" s="261"/>
      <c r="G411" s="262"/>
      <c r="H411" s="262"/>
      <c r="I411" s="260" t="s">
        <v>439</v>
      </c>
      <c r="J411" s="278" t="s">
        <v>538</v>
      </c>
      <c r="K411" s="285" t="s">
        <v>580</v>
      </c>
      <c r="L411" s="277" t="s">
        <v>539</v>
      </c>
      <c r="M411" s="263"/>
      <c r="N411" s="263"/>
      <c r="O411" s="264">
        <v>4000</v>
      </c>
      <c r="P411" s="264">
        <v>1200</v>
      </c>
      <c r="Q411" s="265">
        <v>1</v>
      </c>
      <c r="R411" s="30">
        <f>MBQ[[#This Row],[HEIGHT (mm)]]*MBQ[[#This Row],[QTY TOTAL]]/1000</f>
        <v>4</v>
      </c>
      <c r="S411" s="30">
        <f>MBQ[[#This Row],[WIDTH (mm)]]*MBQ[[#This Row],[QTY TOTAL]]/1000</f>
        <v>1.2</v>
      </c>
      <c r="T411" s="9">
        <f>(MBQ[[#This Row],[HEIGHT (mm)]]+MBQ[[#This Row],[WIDTH (mm)]])/1000*2*MBQ[[#This Row],[QTY TOTAL]]</f>
        <v>10.4</v>
      </c>
      <c r="U411" s="266">
        <f>MBQ[[#This Row],[MULTIPLIER]]*MBQ[[#This Row],[QTY]]</f>
        <v>1</v>
      </c>
      <c r="V411" s="9">
        <f>MBQ[[#This Row],[HEIGHT (mm)]]/1000*MBQ[[#This Row],[WIDTH (mm)]]/1000*MBQ[[#This Row],[QTY TOTAL]]</f>
        <v>4.8</v>
      </c>
      <c r="W411" s="287">
        <f>ROUNDUP(MBQ[[#This Row],[HEIGHT (mm)]]/450*MBQ[[#This Row],[QTY]]*2,0)+ROUNDUP(MBQ[[#This Row],[WIDTH (mm)]]/450*MBQ[[#This Row],[QTY]]*2,0)</f>
        <v>24</v>
      </c>
    </row>
    <row r="412" spans="1:23" ht="30">
      <c r="A412" s="258">
        <v>1</v>
      </c>
      <c r="B412" s="286" t="s">
        <v>535</v>
      </c>
      <c r="C412" s="278" t="s">
        <v>554</v>
      </c>
      <c r="D412" s="277" t="s">
        <v>553</v>
      </c>
      <c r="E412" s="277" t="s">
        <v>537</v>
      </c>
      <c r="F412" s="261"/>
      <c r="G412" s="262"/>
      <c r="H412" s="262"/>
      <c r="I412" s="260" t="s">
        <v>439</v>
      </c>
      <c r="J412" s="278" t="s">
        <v>538</v>
      </c>
      <c r="K412" s="285" t="s">
        <v>580</v>
      </c>
      <c r="L412" s="277" t="s">
        <v>539</v>
      </c>
      <c r="M412" s="263"/>
      <c r="N412" s="263"/>
      <c r="O412" s="264">
        <v>4000</v>
      </c>
      <c r="P412" s="264">
        <v>1200</v>
      </c>
      <c r="Q412" s="265">
        <v>1</v>
      </c>
      <c r="R412" s="30">
        <f>MBQ[[#This Row],[HEIGHT (mm)]]*MBQ[[#This Row],[QTY TOTAL]]/1000</f>
        <v>4</v>
      </c>
      <c r="S412" s="30">
        <f>MBQ[[#This Row],[WIDTH (mm)]]*MBQ[[#This Row],[QTY TOTAL]]/1000</f>
        <v>1.2</v>
      </c>
      <c r="T412" s="9">
        <f>(MBQ[[#This Row],[HEIGHT (mm)]]+MBQ[[#This Row],[WIDTH (mm)]])/1000*2*MBQ[[#This Row],[QTY TOTAL]]</f>
        <v>10.4</v>
      </c>
      <c r="U412" s="266">
        <f>MBQ[[#This Row],[MULTIPLIER]]*MBQ[[#This Row],[QTY]]</f>
        <v>1</v>
      </c>
      <c r="V412" s="9">
        <f>MBQ[[#This Row],[HEIGHT (mm)]]/1000*MBQ[[#This Row],[WIDTH (mm)]]/1000*MBQ[[#This Row],[QTY TOTAL]]</f>
        <v>4.8</v>
      </c>
      <c r="W412" s="287">
        <f>ROUNDUP(MBQ[[#This Row],[HEIGHT (mm)]]/450*MBQ[[#This Row],[QTY]]*2,0)+ROUNDUP(MBQ[[#This Row],[WIDTH (mm)]]/450*MBQ[[#This Row],[QTY]]*2,0)</f>
        <v>24</v>
      </c>
    </row>
    <row r="413" spans="1:23" ht="30">
      <c r="A413" s="258">
        <v>1</v>
      </c>
      <c r="B413" s="286" t="s">
        <v>535</v>
      </c>
      <c r="C413" s="278" t="s">
        <v>554</v>
      </c>
      <c r="D413" s="277" t="s">
        <v>553</v>
      </c>
      <c r="E413" s="277" t="s">
        <v>537</v>
      </c>
      <c r="F413" s="261"/>
      <c r="G413" s="262"/>
      <c r="H413" s="262"/>
      <c r="I413" s="260" t="s">
        <v>439</v>
      </c>
      <c r="J413" s="278" t="s">
        <v>538</v>
      </c>
      <c r="K413" s="285" t="s">
        <v>580</v>
      </c>
      <c r="L413" s="277" t="s">
        <v>539</v>
      </c>
      <c r="M413" s="263"/>
      <c r="N413" s="263"/>
      <c r="O413" s="264">
        <v>4000</v>
      </c>
      <c r="P413" s="264">
        <v>1200</v>
      </c>
      <c r="Q413" s="265">
        <v>1</v>
      </c>
      <c r="R413" s="30">
        <f>MBQ[[#This Row],[HEIGHT (mm)]]*MBQ[[#This Row],[QTY TOTAL]]/1000</f>
        <v>4</v>
      </c>
      <c r="S413" s="30">
        <f>MBQ[[#This Row],[WIDTH (mm)]]*MBQ[[#This Row],[QTY TOTAL]]/1000</f>
        <v>1.2</v>
      </c>
      <c r="T413" s="9">
        <f>(MBQ[[#This Row],[HEIGHT (mm)]]+MBQ[[#This Row],[WIDTH (mm)]])/1000*2*MBQ[[#This Row],[QTY TOTAL]]</f>
        <v>10.4</v>
      </c>
      <c r="U413" s="266">
        <f>MBQ[[#This Row],[MULTIPLIER]]*MBQ[[#This Row],[QTY]]</f>
        <v>1</v>
      </c>
      <c r="V413" s="9">
        <f>MBQ[[#This Row],[HEIGHT (mm)]]/1000*MBQ[[#This Row],[WIDTH (mm)]]/1000*MBQ[[#This Row],[QTY TOTAL]]</f>
        <v>4.8</v>
      </c>
      <c r="W413" s="287">
        <f>ROUNDUP(MBQ[[#This Row],[HEIGHT (mm)]]/450*MBQ[[#This Row],[QTY]]*2,0)+ROUNDUP(MBQ[[#This Row],[WIDTH (mm)]]/450*MBQ[[#This Row],[QTY]]*2,0)</f>
        <v>24</v>
      </c>
    </row>
    <row r="414" spans="1:23" ht="30">
      <c r="A414" s="258">
        <v>1</v>
      </c>
      <c r="B414" s="286" t="s">
        <v>535</v>
      </c>
      <c r="C414" s="278" t="s">
        <v>554</v>
      </c>
      <c r="D414" s="277" t="s">
        <v>553</v>
      </c>
      <c r="E414" s="277" t="s">
        <v>537</v>
      </c>
      <c r="F414" s="261"/>
      <c r="G414" s="262"/>
      <c r="H414" s="262"/>
      <c r="I414" s="260" t="s">
        <v>439</v>
      </c>
      <c r="J414" s="278" t="s">
        <v>538</v>
      </c>
      <c r="K414" s="285" t="s">
        <v>580</v>
      </c>
      <c r="L414" s="277" t="s">
        <v>539</v>
      </c>
      <c r="M414" s="263"/>
      <c r="N414" s="263"/>
      <c r="O414" s="264">
        <v>4000</v>
      </c>
      <c r="P414" s="264">
        <v>1200</v>
      </c>
      <c r="Q414" s="265">
        <v>1</v>
      </c>
      <c r="R414" s="30">
        <f>MBQ[[#This Row],[HEIGHT (mm)]]*MBQ[[#This Row],[QTY TOTAL]]/1000</f>
        <v>4</v>
      </c>
      <c r="S414" s="30">
        <f>MBQ[[#This Row],[WIDTH (mm)]]*MBQ[[#This Row],[QTY TOTAL]]/1000</f>
        <v>1.2</v>
      </c>
      <c r="T414" s="9">
        <f>(MBQ[[#This Row],[HEIGHT (mm)]]+MBQ[[#This Row],[WIDTH (mm)]])/1000*2*MBQ[[#This Row],[QTY TOTAL]]</f>
        <v>10.4</v>
      </c>
      <c r="U414" s="266">
        <f>MBQ[[#This Row],[MULTIPLIER]]*MBQ[[#This Row],[QTY]]</f>
        <v>1</v>
      </c>
      <c r="V414" s="9">
        <f>MBQ[[#This Row],[HEIGHT (mm)]]/1000*MBQ[[#This Row],[WIDTH (mm)]]/1000*MBQ[[#This Row],[QTY TOTAL]]</f>
        <v>4.8</v>
      </c>
      <c r="W414" s="287">
        <f>ROUNDUP(MBQ[[#This Row],[HEIGHT (mm)]]/450*MBQ[[#This Row],[QTY]]*2,0)+ROUNDUP(MBQ[[#This Row],[WIDTH (mm)]]/450*MBQ[[#This Row],[QTY]]*2,0)</f>
        <v>24</v>
      </c>
    </row>
    <row r="415" spans="1:23" ht="30">
      <c r="A415" s="258">
        <v>1</v>
      </c>
      <c r="B415" s="276" t="s">
        <v>536</v>
      </c>
      <c r="C415" s="278" t="s">
        <v>554</v>
      </c>
      <c r="D415" s="277" t="s">
        <v>553</v>
      </c>
      <c r="E415" s="277" t="s">
        <v>537</v>
      </c>
      <c r="F415" s="261"/>
      <c r="G415" s="262"/>
      <c r="H415" s="262"/>
      <c r="I415" s="260" t="s">
        <v>439</v>
      </c>
      <c r="J415" s="278" t="s">
        <v>538</v>
      </c>
      <c r="K415" s="285" t="s">
        <v>580</v>
      </c>
      <c r="L415" s="277" t="s">
        <v>539</v>
      </c>
      <c r="M415" s="263"/>
      <c r="N415" s="263"/>
      <c r="O415" s="264">
        <v>4000</v>
      </c>
      <c r="P415" s="264">
        <v>1200</v>
      </c>
      <c r="Q415" s="265">
        <v>1</v>
      </c>
      <c r="R415" s="30">
        <f>MBQ[[#This Row],[HEIGHT (mm)]]*MBQ[[#This Row],[QTY TOTAL]]/1000</f>
        <v>4</v>
      </c>
      <c r="S415" s="30">
        <f>MBQ[[#This Row],[WIDTH (mm)]]*MBQ[[#This Row],[QTY TOTAL]]/1000</f>
        <v>1.2</v>
      </c>
      <c r="T415" s="9">
        <f>(MBQ[[#This Row],[HEIGHT (mm)]]+MBQ[[#This Row],[WIDTH (mm)]])/1000*2*MBQ[[#This Row],[QTY TOTAL]]</f>
        <v>10.4</v>
      </c>
      <c r="U415" s="266">
        <f>MBQ[[#This Row],[MULTIPLIER]]*MBQ[[#This Row],[QTY]]</f>
        <v>1</v>
      </c>
      <c r="V415" s="9">
        <f>MBQ[[#This Row],[HEIGHT (mm)]]/1000*MBQ[[#This Row],[WIDTH (mm)]]/1000*MBQ[[#This Row],[QTY TOTAL]]</f>
        <v>4.8</v>
      </c>
      <c r="W415" s="287">
        <f>ROUNDUP(MBQ[[#This Row],[HEIGHT (mm)]]/450*MBQ[[#This Row],[QTY]]*2,0)+ROUNDUP(MBQ[[#This Row],[WIDTH (mm)]]/450*MBQ[[#This Row],[QTY]]*2,0)</f>
        <v>24</v>
      </c>
    </row>
    <row r="416" spans="1:23" ht="30">
      <c r="A416" s="258">
        <v>1</v>
      </c>
      <c r="B416" s="276" t="s">
        <v>536</v>
      </c>
      <c r="C416" s="278" t="s">
        <v>554</v>
      </c>
      <c r="D416" s="277" t="s">
        <v>553</v>
      </c>
      <c r="E416" s="277" t="s">
        <v>537</v>
      </c>
      <c r="F416" s="261"/>
      <c r="G416" s="262"/>
      <c r="H416" s="262"/>
      <c r="I416" s="260" t="s">
        <v>439</v>
      </c>
      <c r="J416" s="278" t="s">
        <v>538</v>
      </c>
      <c r="K416" s="285" t="s">
        <v>580</v>
      </c>
      <c r="L416" s="277" t="s">
        <v>539</v>
      </c>
      <c r="M416" s="263"/>
      <c r="N416" s="263"/>
      <c r="O416" s="264">
        <v>4000</v>
      </c>
      <c r="P416" s="264">
        <v>1200</v>
      </c>
      <c r="Q416" s="265">
        <v>1</v>
      </c>
      <c r="R416" s="30">
        <f>MBQ[[#This Row],[HEIGHT (mm)]]*MBQ[[#This Row],[QTY TOTAL]]/1000</f>
        <v>4</v>
      </c>
      <c r="S416" s="30">
        <f>MBQ[[#This Row],[WIDTH (mm)]]*MBQ[[#This Row],[QTY TOTAL]]/1000</f>
        <v>1.2</v>
      </c>
      <c r="T416" s="9">
        <f>(MBQ[[#This Row],[HEIGHT (mm)]]+MBQ[[#This Row],[WIDTH (mm)]])/1000*2*MBQ[[#This Row],[QTY TOTAL]]</f>
        <v>10.4</v>
      </c>
      <c r="U416" s="266">
        <f>MBQ[[#This Row],[MULTIPLIER]]*MBQ[[#This Row],[QTY]]</f>
        <v>1</v>
      </c>
      <c r="V416" s="9">
        <f>MBQ[[#This Row],[HEIGHT (mm)]]/1000*MBQ[[#This Row],[WIDTH (mm)]]/1000*MBQ[[#This Row],[QTY TOTAL]]</f>
        <v>4.8</v>
      </c>
      <c r="W416" s="287">
        <f>ROUNDUP(MBQ[[#This Row],[HEIGHT (mm)]]/450*MBQ[[#This Row],[QTY]]*2,0)+ROUNDUP(MBQ[[#This Row],[WIDTH (mm)]]/450*MBQ[[#This Row],[QTY]]*2,0)</f>
        <v>24</v>
      </c>
    </row>
    <row r="417" spans="1:23" ht="30">
      <c r="A417" s="258">
        <v>1</v>
      </c>
      <c r="B417" s="276" t="s">
        <v>536</v>
      </c>
      <c r="C417" s="278" t="s">
        <v>554</v>
      </c>
      <c r="D417" s="277" t="s">
        <v>553</v>
      </c>
      <c r="E417" s="277" t="s">
        <v>537</v>
      </c>
      <c r="F417" s="261"/>
      <c r="G417" s="262"/>
      <c r="H417" s="262"/>
      <c r="I417" s="260" t="s">
        <v>439</v>
      </c>
      <c r="J417" s="278" t="s">
        <v>538</v>
      </c>
      <c r="K417" s="285" t="s">
        <v>580</v>
      </c>
      <c r="L417" s="277" t="s">
        <v>539</v>
      </c>
      <c r="M417" s="263"/>
      <c r="N417" s="263"/>
      <c r="O417" s="264">
        <v>4000</v>
      </c>
      <c r="P417" s="264">
        <v>1200</v>
      </c>
      <c r="Q417" s="265">
        <v>1</v>
      </c>
      <c r="R417" s="30">
        <f>MBQ[[#This Row],[HEIGHT (mm)]]*MBQ[[#This Row],[QTY TOTAL]]/1000</f>
        <v>4</v>
      </c>
      <c r="S417" s="30">
        <f>MBQ[[#This Row],[WIDTH (mm)]]*MBQ[[#This Row],[QTY TOTAL]]/1000</f>
        <v>1.2</v>
      </c>
      <c r="T417" s="9">
        <f>(MBQ[[#This Row],[HEIGHT (mm)]]+MBQ[[#This Row],[WIDTH (mm)]])/1000*2*MBQ[[#This Row],[QTY TOTAL]]</f>
        <v>10.4</v>
      </c>
      <c r="U417" s="266">
        <f>MBQ[[#This Row],[MULTIPLIER]]*MBQ[[#This Row],[QTY]]</f>
        <v>1</v>
      </c>
      <c r="V417" s="9">
        <f>MBQ[[#This Row],[HEIGHT (mm)]]/1000*MBQ[[#This Row],[WIDTH (mm)]]/1000*MBQ[[#This Row],[QTY TOTAL]]</f>
        <v>4.8</v>
      </c>
      <c r="W417" s="287">
        <f>ROUNDUP(MBQ[[#This Row],[HEIGHT (mm)]]/450*MBQ[[#This Row],[QTY]]*2,0)+ROUNDUP(MBQ[[#This Row],[WIDTH (mm)]]/450*MBQ[[#This Row],[QTY]]*2,0)</f>
        <v>24</v>
      </c>
    </row>
    <row r="418" spans="1:23" ht="30">
      <c r="A418" s="258">
        <v>1</v>
      </c>
      <c r="B418" s="276" t="s">
        <v>536</v>
      </c>
      <c r="C418" s="278" t="s">
        <v>554</v>
      </c>
      <c r="D418" s="277" t="s">
        <v>553</v>
      </c>
      <c r="E418" s="277" t="s">
        <v>537</v>
      </c>
      <c r="F418" s="261"/>
      <c r="G418" s="262"/>
      <c r="H418" s="262"/>
      <c r="I418" s="260" t="s">
        <v>439</v>
      </c>
      <c r="J418" s="278" t="s">
        <v>538</v>
      </c>
      <c r="K418" s="285" t="s">
        <v>580</v>
      </c>
      <c r="L418" s="277" t="s">
        <v>539</v>
      </c>
      <c r="M418" s="263"/>
      <c r="N418" s="263"/>
      <c r="O418" s="264">
        <v>4000</v>
      </c>
      <c r="P418" s="264">
        <v>1200</v>
      </c>
      <c r="Q418" s="265">
        <v>1</v>
      </c>
      <c r="R418" s="30">
        <f>MBQ[[#This Row],[HEIGHT (mm)]]*MBQ[[#This Row],[QTY TOTAL]]/1000</f>
        <v>4</v>
      </c>
      <c r="S418" s="30">
        <f>MBQ[[#This Row],[WIDTH (mm)]]*MBQ[[#This Row],[QTY TOTAL]]/1000</f>
        <v>1.2</v>
      </c>
      <c r="T418" s="9">
        <f>(MBQ[[#This Row],[HEIGHT (mm)]]+MBQ[[#This Row],[WIDTH (mm)]])/1000*2*MBQ[[#This Row],[QTY TOTAL]]</f>
        <v>10.4</v>
      </c>
      <c r="U418" s="266">
        <f>MBQ[[#This Row],[MULTIPLIER]]*MBQ[[#This Row],[QTY]]</f>
        <v>1</v>
      </c>
      <c r="V418" s="9">
        <f>MBQ[[#This Row],[HEIGHT (mm)]]/1000*MBQ[[#This Row],[WIDTH (mm)]]/1000*MBQ[[#This Row],[QTY TOTAL]]</f>
        <v>4.8</v>
      </c>
      <c r="W418" s="287">
        <f>ROUNDUP(MBQ[[#This Row],[HEIGHT (mm)]]/450*MBQ[[#This Row],[QTY]]*2,0)+ROUNDUP(MBQ[[#This Row],[WIDTH (mm)]]/450*MBQ[[#This Row],[QTY]]*2,0)</f>
        <v>24</v>
      </c>
    </row>
    <row r="419" spans="1:23" ht="30">
      <c r="A419" s="258">
        <v>1</v>
      </c>
      <c r="B419" s="276" t="s">
        <v>536</v>
      </c>
      <c r="C419" s="278" t="s">
        <v>554</v>
      </c>
      <c r="D419" s="277" t="s">
        <v>553</v>
      </c>
      <c r="E419" s="277" t="s">
        <v>537</v>
      </c>
      <c r="F419" s="261"/>
      <c r="G419" s="262"/>
      <c r="H419" s="262"/>
      <c r="I419" s="260" t="s">
        <v>439</v>
      </c>
      <c r="J419" s="278" t="s">
        <v>538</v>
      </c>
      <c r="K419" s="285" t="s">
        <v>580</v>
      </c>
      <c r="L419" s="277" t="s">
        <v>539</v>
      </c>
      <c r="M419" s="263"/>
      <c r="N419" s="263"/>
      <c r="O419" s="264">
        <v>4000</v>
      </c>
      <c r="P419" s="264">
        <v>1200</v>
      </c>
      <c r="Q419" s="265">
        <v>1</v>
      </c>
      <c r="R419" s="30">
        <f>MBQ[[#This Row],[HEIGHT (mm)]]*MBQ[[#This Row],[QTY TOTAL]]/1000</f>
        <v>4</v>
      </c>
      <c r="S419" s="30">
        <f>MBQ[[#This Row],[WIDTH (mm)]]*MBQ[[#This Row],[QTY TOTAL]]/1000</f>
        <v>1.2</v>
      </c>
      <c r="T419" s="9">
        <f>(MBQ[[#This Row],[HEIGHT (mm)]]+MBQ[[#This Row],[WIDTH (mm)]])/1000*2*MBQ[[#This Row],[QTY TOTAL]]</f>
        <v>10.4</v>
      </c>
      <c r="U419" s="266">
        <f>MBQ[[#This Row],[MULTIPLIER]]*MBQ[[#This Row],[QTY]]</f>
        <v>1</v>
      </c>
      <c r="V419" s="9">
        <f>MBQ[[#This Row],[HEIGHT (mm)]]/1000*MBQ[[#This Row],[WIDTH (mm)]]/1000*MBQ[[#This Row],[QTY TOTAL]]</f>
        <v>4.8</v>
      </c>
      <c r="W419" s="287">
        <f>ROUNDUP(MBQ[[#This Row],[HEIGHT (mm)]]/450*MBQ[[#This Row],[QTY]]*2,0)+ROUNDUP(MBQ[[#This Row],[WIDTH (mm)]]/450*MBQ[[#This Row],[QTY]]*2,0)</f>
        <v>24</v>
      </c>
    </row>
    <row r="420" spans="1:23" hidden="1">
      <c r="A420" s="258">
        <v>1</v>
      </c>
      <c r="B420" s="286" t="s">
        <v>535</v>
      </c>
      <c r="C420" s="278" t="s">
        <v>554</v>
      </c>
      <c r="D420" s="277" t="s">
        <v>553</v>
      </c>
      <c r="E420" s="277" t="s">
        <v>537</v>
      </c>
      <c r="F420" s="261"/>
      <c r="G420" s="262"/>
      <c r="H420" s="262"/>
      <c r="I420" s="260" t="s">
        <v>442</v>
      </c>
      <c r="J420" s="278" t="s">
        <v>443</v>
      </c>
      <c r="K420" s="285" t="s">
        <v>580</v>
      </c>
      <c r="L420" s="277" t="s">
        <v>540</v>
      </c>
      <c r="M420" s="263"/>
      <c r="N420" s="263"/>
      <c r="O420" s="264">
        <v>1300</v>
      </c>
      <c r="P420" s="264">
        <v>1200</v>
      </c>
      <c r="Q420" s="265">
        <v>1</v>
      </c>
      <c r="R420" s="30">
        <f>MBQ[[#This Row],[HEIGHT (mm)]]*MBQ[[#This Row],[QTY TOTAL]]/1000</f>
        <v>1.3</v>
      </c>
      <c r="S420" s="30">
        <f>MBQ[[#This Row],[WIDTH (mm)]]*MBQ[[#This Row],[QTY TOTAL]]/1000</f>
        <v>1.2</v>
      </c>
      <c r="T420" s="9">
        <f>(MBQ[[#This Row],[HEIGHT (mm)]]+MBQ[[#This Row],[WIDTH (mm)]])/1000*2*MBQ[[#This Row],[QTY TOTAL]]</f>
        <v>5</v>
      </c>
      <c r="U420" s="266">
        <f>MBQ[[#This Row],[MULTIPLIER]]*MBQ[[#This Row],[QTY]]</f>
        <v>1</v>
      </c>
      <c r="V420" s="9">
        <f>MBQ[[#This Row],[HEIGHT (mm)]]/1000*MBQ[[#This Row],[WIDTH (mm)]]/1000*MBQ[[#This Row],[QTY TOTAL]]</f>
        <v>1.56</v>
      </c>
      <c r="W420" s="287">
        <f>ROUNDUP(MBQ[[#This Row],[HEIGHT (mm)]]/450*MBQ[[#This Row],[QTY]]*2,0)+ROUNDUP(MBQ[[#This Row],[WIDTH (mm)]]/450*MBQ[[#This Row],[QTY]]*2,0)</f>
        <v>12</v>
      </c>
    </row>
    <row r="421" spans="1:23" hidden="1">
      <c r="A421" s="258">
        <v>1</v>
      </c>
      <c r="B421" s="286" t="s">
        <v>535</v>
      </c>
      <c r="C421" s="278" t="s">
        <v>554</v>
      </c>
      <c r="D421" s="277" t="s">
        <v>553</v>
      </c>
      <c r="E421" s="277" t="s">
        <v>537</v>
      </c>
      <c r="F421" s="261"/>
      <c r="G421" s="262"/>
      <c r="H421" s="262"/>
      <c r="I421" s="260" t="s">
        <v>442</v>
      </c>
      <c r="J421" s="278" t="s">
        <v>443</v>
      </c>
      <c r="K421" s="285" t="s">
        <v>580</v>
      </c>
      <c r="L421" s="277" t="s">
        <v>541</v>
      </c>
      <c r="M421" s="263"/>
      <c r="N421" s="263"/>
      <c r="O421" s="264">
        <v>1700</v>
      </c>
      <c r="P421" s="264">
        <v>1200</v>
      </c>
      <c r="Q421" s="265">
        <v>1</v>
      </c>
      <c r="R421" s="30">
        <f>MBQ[[#This Row],[HEIGHT (mm)]]*MBQ[[#This Row],[QTY TOTAL]]/1000</f>
        <v>1.7</v>
      </c>
      <c r="S421" s="30">
        <f>MBQ[[#This Row],[WIDTH (mm)]]*MBQ[[#This Row],[QTY TOTAL]]/1000</f>
        <v>1.2</v>
      </c>
      <c r="T421" s="9">
        <f>(MBQ[[#This Row],[HEIGHT (mm)]]+MBQ[[#This Row],[WIDTH (mm)]])/1000*2*MBQ[[#This Row],[QTY TOTAL]]</f>
        <v>5.8</v>
      </c>
      <c r="U421" s="266">
        <f>MBQ[[#This Row],[MULTIPLIER]]*MBQ[[#This Row],[QTY]]</f>
        <v>1</v>
      </c>
      <c r="V421" s="9">
        <f>MBQ[[#This Row],[HEIGHT (mm)]]/1000*MBQ[[#This Row],[WIDTH (mm)]]/1000*MBQ[[#This Row],[QTY TOTAL]]</f>
        <v>2.04</v>
      </c>
      <c r="W421" s="287">
        <f>ROUNDUP(MBQ[[#This Row],[HEIGHT (mm)]]/450*MBQ[[#This Row],[QTY]]*2,0)+ROUNDUP(MBQ[[#This Row],[WIDTH (mm)]]/450*MBQ[[#This Row],[QTY]]*2,0)</f>
        <v>14</v>
      </c>
    </row>
    <row r="422" spans="1:23" hidden="1">
      <c r="A422" s="258">
        <v>1</v>
      </c>
      <c r="B422" s="286" t="s">
        <v>535</v>
      </c>
      <c r="C422" s="278" t="s">
        <v>554</v>
      </c>
      <c r="D422" s="277" t="s">
        <v>553</v>
      </c>
      <c r="E422" s="277" t="s">
        <v>537</v>
      </c>
      <c r="F422" s="261"/>
      <c r="G422" s="262"/>
      <c r="H422" s="262"/>
      <c r="I422" s="260" t="s">
        <v>442</v>
      </c>
      <c r="J422" s="278" t="s">
        <v>443</v>
      </c>
      <c r="K422" s="285" t="s">
        <v>580</v>
      </c>
      <c r="L422" s="277" t="s">
        <v>540</v>
      </c>
      <c r="M422" s="263"/>
      <c r="N422" s="263"/>
      <c r="O422" s="264">
        <v>1000</v>
      </c>
      <c r="P422" s="264">
        <v>1200</v>
      </c>
      <c r="Q422" s="265">
        <v>1</v>
      </c>
      <c r="R422" s="30">
        <f>MBQ[[#This Row],[HEIGHT (mm)]]*MBQ[[#This Row],[QTY TOTAL]]/1000</f>
        <v>1</v>
      </c>
      <c r="S422" s="30">
        <f>MBQ[[#This Row],[WIDTH (mm)]]*MBQ[[#This Row],[QTY TOTAL]]/1000</f>
        <v>1.2</v>
      </c>
      <c r="T422" s="9">
        <f>(MBQ[[#This Row],[HEIGHT (mm)]]+MBQ[[#This Row],[WIDTH (mm)]])/1000*2*MBQ[[#This Row],[QTY TOTAL]]</f>
        <v>4.4000000000000004</v>
      </c>
      <c r="U422" s="266">
        <f>MBQ[[#This Row],[MULTIPLIER]]*MBQ[[#This Row],[QTY]]</f>
        <v>1</v>
      </c>
      <c r="V422" s="9">
        <f>MBQ[[#This Row],[HEIGHT (mm)]]/1000*MBQ[[#This Row],[WIDTH (mm)]]/1000*MBQ[[#This Row],[QTY TOTAL]]</f>
        <v>1.2</v>
      </c>
      <c r="W422" s="287">
        <f>ROUNDUP(MBQ[[#This Row],[HEIGHT (mm)]]/450*MBQ[[#This Row],[QTY]]*2,0)+ROUNDUP(MBQ[[#This Row],[WIDTH (mm)]]/450*MBQ[[#This Row],[QTY]]*2,0)</f>
        <v>11</v>
      </c>
    </row>
    <row r="423" spans="1:23" hidden="1">
      <c r="A423" s="258">
        <v>1</v>
      </c>
      <c r="B423" s="286" t="s">
        <v>535</v>
      </c>
      <c r="C423" s="278" t="s">
        <v>554</v>
      </c>
      <c r="D423" s="277" t="s">
        <v>553</v>
      </c>
      <c r="E423" s="277" t="s">
        <v>537</v>
      </c>
      <c r="F423" s="261"/>
      <c r="G423" s="262"/>
      <c r="H423" s="262"/>
      <c r="I423" s="260" t="s">
        <v>442</v>
      </c>
      <c r="J423" s="278" t="s">
        <v>443</v>
      </c>
      <c r="K423" s="285" t="s">
        <v>580</v>
      </c>
      <c r="L423" s="277" t="s">
        <v>540</v>
      </c>
      <c r="M423" s="263"/>
      <c r="N423" s="263"/>
      <c r="O423" s="264">
        <v>1300</v>
      </c>
      <c r="P423" s="264">
        <v>1200</v>
      </c>
      <c r="Q423" s="265">
        <v>1</v>
      </c>
      <c r="R423" s="30">
        <f>MBQ[[#This Row],[HEIGHT (mm)]]*MBQ[[#This Row],[QTY TOTAL]]/1000</f>
        <v>1.3</v>
      </c>
      <c r="S423" s="30">
        <f>MBQ[[#This Row],[WIDTH (mm)]]*MBQ[[#This Row],[QTY TOTAL]]/1000</f>
        <v>1.2</v>
      </c>
      <c r="T423" s="9">
        <f>(MBQ[[#This Row],[HEIGHT (mm)]]+MBQ[[#This Row],[WIDTH (mm)]])/1000*2*MBQ[[#This Row],[QTY TOTAL]]</f>
        <v>5</v>
      </c>
      <c r="U423" s="266">
        <f>MBQ[[#This Row],[MULTIPLIER]]*MBQ[[#This Row],[QTY]]</f>
        <v>1</v>
      </c>
      <c r="V423" s="9">
        <f>MBQ[[#This Row],[HEIGHT (mm)]]/1000*MBQ[[#This Row],[WIDTH (mm)]]/1000*MBQ[[#This Row],[QTY TOTAL]]</f>
        <v>1.56</v>
      </c>
      <c r="W423" s="287">
        <f>ROUNDUP(MBQ[[#This Row],[HEIGHT (mm)]]/450*MBQ[[#This Row],[QTY]]*2,0)+ROUNDUP(MBQ[[#This Row],[WIDTH (mm)]]/450*MBQ[[#This Row],[QTY]]*2,0)</f>
        <v>12</v>
      </c>
    </row>
    <row r="424" spans="1:23" hidden="1">
      <c r="A424" s="258">
        <v>1</v>
      </c>
      <c r="B424" s="286" t="s">
        <v>535</v>
      </c>
      <c r="C424" s="278" t="s">
        <v>554</v>
      </c>
      <c r="D424" s="277" t="s">
        <v>553</v>
      </c>
      <c r="E424" s="277" t="s">
        <v>537</v>
      </c>
      <c r="F424" s="261"/>
      <c r="G424" s="262"/>
      <c r="H424" s="262"/>
      <c r="I424" s="260" t="s">
        <v>442</v>
      </c>
      <c r="J424" s="278" t="s">
        <v>443</v>
      </c>
      <c r="K424" s="285" t="s">
        <v>580</v>
      </c>
      <c r="L424" s="277" t="s">
        <v>541</v>
      </c>
      <c r="M424" s="263"/>
      <c r="N424" s="263"/>
      <c r="O424" s="264">
        <v>1700</v>
      </c>
      <c r="P424" s="264">
        <v>1200</v>
      </c>
      <c r="Q424" s="265">
        <v>1</v>
      </c>
      <c r="R424" s="30">
        <f>MBQ[[#This Row],[HEIGHT (mm)]]*MBQ[[#This Row],[QTY TOTAL]]/1000</f>
        <v>1.7</v>
      </c>
      <c r="S424" s="30">
        <f>MBQ[[#This Row],[WIDTH (mm)]]*MBQ[[#This Row],[QTY TOTAL]]/1000</f>
        <v>1.2</v>
      </c>
      <c r="T424" s="9">
        <f>(MBQ[[#This Row],[HEIGHT (mm)]]+MBQ[[#This Row],[WIDTH (mm)]])/1000*2*MBQ[[#This Row],[QTY TOTAL]]</f>
        <v>5.8</v>
      </c>
      <c r="U424" s="266">
        <f>MBQ[[#This Row],[MULTIPLIER]]*MBQ[[#This Row],[QTY]]</f>
        <v>1</v>
      </c>
      <c r="V424" s="9">
        <f>MBQ[[#This Row],[HEIGHT (mm)]]/1000*MBQ[[#This Row],[WIDTH (mm)]]/1000*MBQ[[#This Row],[QTY TOTAL]]</f>
        <v>2.04</v>
      </c>
      <c r="W424" s="287">
        <f>ROUNDUP(MBQ[[#This Row],[HEIGHT (mm)]]/450*MBQ[[#This Row],[QTY]]*2,0)+ROUNDUP(MBQ[[#This Row],[WIDTH (mm)]]/450*MBQ[[#This Row],[QTY]]*2,0)</f>
        <v>14</v>
      </c>
    </row>
    <row r="425" spans="1:23" hidden="1">
      <c r="A425" s="258">
        <v>1</v>
      </c>
      <c r="B425" s="286" t="s">
        <v>535</v>
      </c>
      <c r="C425" s="278" t="s">
        <v>554</v>
      </c>
      <c r="D425" s="277" t="s">
        <v>553</v>
      </c>
      <c r="E425" s="277" t="s">
        <v>537</v>
      </c>
      <c r="F425" s="261"/>
      <c r="G425" s="262"/>
      <c r="H425" s="262"/>
      <c r="I425" s="260" t="s">
        <v>442</v>
      </c>
      <c r="J425" s="278" t="s">
        <v>443</v>
      </c>
      <c r="K425" s="285" t="s">
        <v>580</v>
      </c>
      <c r="L425" s="277" t="s">
        <v>540</v>
      </c>
      <c r="M425" s="263"/>
      <c r="N425" s="263"/>
      <c r="O425" s="264">
        <v>1000</v>
      </c>
      <c r="P425" s="264">
        <v>1200</v>
      </c>
      <c r="Q425" s="265">
        <v>1</v>
      </c>
      <c r="R425" s="30">
        <f>MBQ[[#This Row],[HEIGHT (mm)]]*MBQ[[#This Row],[QTY TOTAL]]/1000</f>
        <v>1</v>
      </c>
      <c r="S425" s="30">
        <f>MBQ[[#This Row],[WIDTH (mm)]]*MBQ[[#This Row],[QTY TOTAL]]/1000</f>
        <v>1.2</v>
      </c>
      <c r="T425" s="9">
        <f>(MBQ[[#This Row],[HEIGHT (mm)]]+MBQ[[#This Row],[WIDTH (mm)]])/1000*2*MBQ[[#This Row],[QTY TOTAL]]</f>
        <v>4.4000000000000004</v>
      </c>
      <c r="U425" s="266">
        <f>MBQ[[#This Row],[MULTIPLIER]]*MBQ[[#This Row],[QTY]]</f>
        <v>1</v>
      </c>
      <c r="V425" s="9">
        <f>MBQ[[#This Row],[HEIGHT (mm)]]/1000*MBQ[[#This Row],[WIDTH (mm)]]/1000*MBQ[[#This Row],[QTY TOTAL]]</f>
        <v>1.2</v>
      </c>
      <c r="W425" s="287">
        <f>ROUNDUP(MBQ[[#This Row],[HEIGHT (mm)]]/450*MBQ[[#This Row],[QTY]]*2,0)+ROUNDUP(MBQ[[#This Row],[WIDTH (mm)]]/450*MBQ[[#This Row],[QTY]]*2,0)</f>
        <v>11</v>
      </c>
    </row>
    <row r="426" spans="1:23" hidden="1">
      <c r="A426" s="258">
        <v>1</v>
      </c>
      <c r="B426" s="286" t="s">
        <v>535</v>
      </c>
      <c r="C426" s="278" t="s">
        <v>554</v>
      </c>
      <c r="D426" s="277" t="s">
        <v>553</v>
      </c>
      <c r="E426" s="277" t="s">
        <v>537</v>
      </c>
      <c r="F426" s="261"/>
      <c r="G426" s="262"/>
      <c r="H426" s="262"/>
      <c r="I426" s="260" t="s">
        <v>442</v>
      </c>
      <c r="J426" s="278" t="s">
        <v>443</v>
      </c>
      <c r="K426" s="285" t="s">
        <v>580</v>
      </c>
      <c r="L426" s="277" t="s">
        <v>540</v>
      </c>
      <c r="M426" s="263"/>
      <c r="N426" s="263"/>
      <c r="O426" s="264">
        <v>1300</v>
      </c>
      <c r="P426" s="264">
        <v>1200</v>
      </c>
      <c r="Q426" s="265">
        <v>1</v>
      </c>
      <c r="R426" s="30">
        <f>MBQ[[#This Row],[HEIGHT (mm)]]*MBQ[[#This Row],[QTY TOTAL]]/1000</f>
        <v>1.3</v>
      </c>
      <c r="S426" s="30">
        <f>MBQ[[#This Row],[WIDTH (mm)]]*MBQ[[#This Row],[QTY TOTAL]]/1000</f>
        <v>1.2</v>
      </c>
      <c r="T426" s="9">
        <f>(MBQ[[#This Row],[HEIGHT (mm)]]+MBQ[[#This Row],[WIDTH (mm)]])/1000*2*MBQ[[#This Row],[QTY TOTAL]]</f>
        <v>5</v>
      </c>
      <c r="U426" s="266">
        <f>MBQ[[#This Row],[MULTIPLIER]]*MBQ[[#This Row],[QTY]]</f>
        <v>1</v>
      </c>
      <c r="V426" s="9">
        <f>MBQ[[#This Row],[HEIGHT (mm)]]/1000*MBQ[[#This Row],[WIDTH (mm)]]/1000*MBQ[[#This Row],[QTY TOTAL]]</f>
        <v>1.56</v>
      </c>
      <c r="W426" s="287">
        <f>ROUNDUP(MBQ[[#This Row],[HEIGHT (mm)]]/450*MBQ[[#This Row],[QTY]]*2,0)+ROUNDUP(MBQ[[#This Row],[WIDTH (mm)]]/450*MBQ[[#This Row],[QTY]]*2,0)</f>
        <v>12</v>
      </c>
    </row>
    <row r="427" spans="1:23" hidden="1">
      <c r="A427" s="258">
        <v>1</v>
      </c>
      <c r="B427" s="286" t="s">
        <v>535</v>
      </c>
      <c r="C427" s="278" t="s">
        <v>554</v>
      </c>
      <c r="D427" s="277" t="s">
        <v>553</v>
      </c>
      <c r="E427" s="277" t="s">
        <v>537</v>
      </c>
      <c r="F427" s="261"/>
      <c r="G427" s="262"/>
      <c r="H427" s="262"/>
      <c r="I427" s="260" t="s">
        <v>442</v>
      </c>
      <c r="J427" s="278" t="s">
        <v>443</v>
      </c>
      <c r="K427" s="285" t="s">
        <v>580</v>
      </c>
      <c r="L427" s="277" t="s">
        <v>541</v>
      </c>
      <c r="M427" s="263"/>
      <c r="N427" s="263"/>
      <c r="O427" s="264">
        <v>1700</v>
      </c>
      <c r="P427" s="264">
        <v>1200</v>
      </c>
      <c r="Q427" s="265">
        <v>1</v>
      </c>
      <c r="R427" s="30">
        <f>MBQ[[#This Row],[HEIGHT (mm)]]*MBQ[[#This Row],[QTY TOTAL]]/1000</f>
        <v>1.7</v>
      </c>
      <c r="S427" s="30">
        <f>MBQ[[#This Row],[WIDTH (mm)]]*MBQ[[#This Row],[QTY TOTAL]]/1000</f>
        <v>1.2</v>
      </c>
      <c r="T427" s="9">
        <f>(MBQ[[#This Row],[HEIGHT (mm)]]+MBQ[[#This Row],[WIDTH (mm)]])/1000*2*MBQ[[#This Row],[QTY TOTAL]]</f>
        <v>5.8</v>
      </c>
      <c r="U427" s="266">
        <f>MBQ[[#This Row],[MULTIPLIER]]*MBQ[[#This Row],[QTY]]</f>
        <v>1</v>
      </c>
      <c r="V427" s="9">
        <f>MBQ[[#This Row],[HEIGHT (mm)]]/1000*MBQ[[#This Row],[WIDTH (mm)]]/1000*MBQ[[#This Row],[QTY TOTAL]]</f>
        <v>2.04</v>
      </c>
      <c r="W427" s="287">
        <f>ROUNDUP(MBQ[[#This Row],[HEIGHT (mm)]]/450*MBQ[[#This Row],[QTY]]*2,0)+ROUNDUP(MBQ[[#This Row],[WIDTH (mm)]]/450*MBQ[[#This Row],[QTY]]*2,0)</f>
        <v>14</v>
      </c>
    </row>
    <row r="428" spans="1:23" hidden="1">
      <c r="A428" s="258">
        <v>1</v>
      </c>
      <c r="B428" s="286" t="s">
        <v>535</v>
      </c>
      <c r="C428" s="278" t="s">
        <v>554</v>
      </c>
      <c r="D428" s="277" t="s">
        <v>553</v>
      </c>
      <c r="E428" s="277" t="s">
        <v>537</v>
      </c>
      <c r="F428" s="261"/>
      <c r="G428" s="262"/>
      <c r="H428" s="262"/>
      <c r="I428" s="260" t="s">
        <v>442</v>
      </c>
      <c r="J428" s="278" t="s">
        <v>443</v>
      </c>
      <c r="K428" s="285" t="s">
        <v>580</v>
      </c>
      <c r="L428" s="277" t="s">
        <v>540</v>
      </c>
      <c r="M428" s="263"/>
      <c r="N428" s="263"/>
      <c r="O428" s="264">
        <v>1000</v>
      </c>
      <c r="P428" s="264">
        <v>1200</v>
      </c>
      <c r="Q428" s="265">
        <v>1</v>
      </c>
      <c r="R428" s="30">
        <f>MBQ[[#This Row],[HEIGHT (mm)]]*MBQ[[#This Row],[QTY TOTAL]]/1000</f>
        <v>1</v>
      </c>
      <c r="S428" s="30">
        <f>MBQ[[#This Row],[WIDTH (mm)]]*MBQ[[#This Row],[QTY TOTAL]]/1000</f>
        <v>1.2</v>
      </c>
      <c r="T428" s="9">
        <f>(MBQ[[#This Row],[HEIGHT (mm)]]+MBQ[[#This Row],[WIDTH (mm)]])/1000*2*MBQ[[#This Row],[QTY TOTAL]]</f>
        <v>4.4000000000000004</v>
      </c>
      <c r="U428" s="266">
        <f>MBQ[[#This Row],[MULTIPLIER]]*MBQ[[#This Row],[QTY]]</f>
        <v>1</v>
      </c>
      <c r="V428" s="9">
        <f>MBQ[[#This Row],[HEIGHT (mm)]]/1000*MBQ[[#This Row],[WIDTH (mm)]]/1000*MBQ[[#This Row],[QTY TOTAL]]</f>
        <v>1.2</v>
      </c>
      <c r="W428" s="287">
        <f>ROUNDUP(MBQ[[#This Row],[HEIGHT (mm)]]/450*MBQ[[#This Row],[QTY]]*2,0)+ROUNDUP(MBQ[[#This Row],[WIDTH (mm)]]/450*MBQ[[#This Row],[QTY]]*2,0)</f>
        <v>11</v>
      </c>
    </row>
    <row r="429" spans="1:23" hidden="1">
      <c r="A429" s="258">
        <v>1</v>
      </c>
      <c r="B429" s="286" t="s">
        <v>535</v>
      </c>
      <c r="C429" s="278" t="s">
        <v>554</v>
      </c>
      <c r="D429" s="277" t="s">
        <v>553</v>
      </c>
      <c r="E429" s="277" t="s">
        <v>537</v>
      </c>
      <c r="F429" s="261"/>
      <c r="G429" s="262"/>
      <c r="H429" s="262"/>
      <c r="I429" s="260" t="s">
        <v>442</v>
      </c>
      <c r="J429" s="278" t="s">
        <v>443</v>
      </c>
      <c r="K429" s="285" t="s">
        <v>580</v>
      </c>
      <c r="L429" s="277" t="s">
        <v>540</v>
      </c>
      <c r="M429" s="263"/>
      <c r="N429" s="263"/>
      <c r="O429" s="264">
        <v>1300</v>
      </c>
      <c r="P429" s="264">
        <v>1200</v>
      </c>
      <c r="Q429" s="265">
        <v>1</v>
      </c>
      <c r="R429" s="30">
        <f>MBQ[[#This Row],[HEIGHT (mm)]]*MBQ[[#This Row],[QTY TOTAL]]/1000</f>
        <v>1.3</v>
      </c>
      <c r="S429" s="30">
        <f>MBQ[[#This Row],[WIDTH (mm)]]*MBQ[[#This Row],[QTY TOTAL]]/1000</f>
        <v>1.2</v>
      </c>
      <c r="T429" s="9">
        <f>(MBQ[[#This Row],[HEIGHT (mm)]]+MBQ[[#This Row],[WIDTH (mm)]])/1000*2*MBQ[[#This Row],[QTY TOTAL]]</f>
        <v>5</v>
      </c>
      <c r="U429" s="266">
        <f>MBQ[[#This Row],[MULTIPLIER]]*MBQ[[#This Row],[QTY]]</f>
        <v>1</v>
      </c>
      <c r="V429" s="9">
        <f>MBQ[[#This Row],[HEIGHT (mm)]]/1000*MBQ[[#This Row],[WIDTH (mm)]]/1000*MBQ[[#This Row],[QTY TOTAL]]</f>
        <v>1.56</v>
      </c>
      <c r="W429" s="287">
        <f>ROUNDUP(MBQ[[#This Row],[HEIGHT (mm)]]/450*MBQ[[#This Row],[QTY]]*2,0)+ROUNDUP(MBQ[[#This Row],[WIDTH (mm)]]/450*MBQ[[#This Row],[QTY]]*2,0)</f>
        <v>12</v>
      </c>
    </row>
    <row r="430" spans="1:23" hidden="1">
      <c r="A430" s="258">
        <v>1</v>
      </c>
      <c r="B430" s="286" t="s">
        <v>535</v>
      </c>
      <c r="C430" s="278" t="s">
        <v>554</v>
      </c>
      <c r="D430" s="277" t="s">
        <v>553</v>
      </c>
      <c r="E430" s="277" t="s">
        <v>537</v>
      </c>
      <c r="F430" s="261"/>
      <c r="G430" s="262"/>
      <c r="H430" s="262"/>
      <c r="I430" s="260" t="s">
        <v>442</v>
      </c>
      <c r="J430" s="278" t="s">
        <v>443</v>
      </c>
      <c r="K430" s="285" t="s">
        <v>580</v>
      </c>
      <c r="L430" s="277" t="s">
        <v>541</v>
      </c>
      <c r="M430" s="263"/>
      <c r="N430" s="263"/>
      <c r="O430" s="264">
        <v>1700</v>
      </c>
      <c r="P430" s="264">
        <v>1200</v>
      </c>
      <c r="Q430" s="265">
        <v>1</v>
      </c>
      <c r="R430" s="30">
        <f>MBQ[[#This Row],[HEIGHT (mm)]]*MBQ[[#This Row],[QTY TOTAL]]/1000</f>
        <v>1.7</v>
      </c>
      <c r="S430" s="30">
        <f>MBQ[[#This Row],[WIDTH (mm)]]*MBQ[[#This Row],[QTY TOTAL]]/1000</f>
        <v>1.2</v>
      </c>
      <c r="T430" s="9">
        <f>(MBQ[[#This Row],[HEIGHT (mm)]]+MBQ[[#This Row],[WIDTH (mm)]])/1000*2*MBQ[[#This Row],[QTY TOTAL]]</f>
        <v>5.8</v>
      </c>
      <c r="U430" s="266">
        <f>MBQ[[#This Row],[MULTIPLIER]]*MBQ[[#This Row],[QTY]]</f>
        <v>1</v>
      </c>
      <c r="V430" s="9">
        <f>MBQ[[#This Row],[HEIGHT (mm)]]/1000*MBQ[[#This Row],[WIDTH (mm)]]/1000*MBQ[[#This Row],[QTY TOTAL]]</f>
        <v>2.04</v>
      </c>
      <c r="W430" s="287">
        <f>ROUNDUP(MBQ[[#This Row],[HEIGHT (mm)]]/450*MBQ[[#This Row],[QTY]]*2,0)+ROUNDUP(MBQ[[#This Row],[WIDTH (mm)]]/450*MBQ[[#This Row],[QTY]]*2,0)</f>
        <v>14</v>
      </c>
    </row>
    <row r="431" spans="1:23" hidden="1">
      <c r="A431" s="258">
        <v>1</v>
      </c>
      <c r="B431" s="286" t="s">
        <v>535</v>
      </c>
      <c r="C431" s="278" t="s">
        <v>554</v>
      </c>
      <c r="D431" s="277" t="s">
        <v>553</v>
      </c>
      <c r="E431" s="277" t="s">
        <v>537</v>
      </c>
      <c r="F431" s="261"/>
      <c r="G431" s="262"/>
      <c r="H431" s="262"/>
      <c r="I431" s="260" t="s">
        <v>442</v>
      </c>
      <c r="J431" s="278" t="s">
        <v>443</v>
      </c>
      <c r="K431" s="285" t="s">
        <v>580</v>
      </c>
      <c r="L431" s="277" t="s">
        <v>540</v>
      </c>
      <c r="M431" s="263"/>
      <c r="N431" s="263"/>
      <c r="O431" s="264">
        <v>1000</v>
      </c>
      <c r="P431" s="264">
        <v>1200</v>
      </c>
      <c r="Q431" s="265">
        <v>1</v>
      </c>
      <c r="R431" s="30">
        <f>MBQ[[#This Row],[HEIGHT (mm)]]*MBQ[[#This Row],[QTY TOTAL]]/1000</f>
        <v>1</v>
      </c>
      <c r="S431" s="30">
        <f>MBQ[[#This Row],[WIDTH (mm)]]*MBQ[[#This Row],[QTY TOTAL]]/1000</f>
        <v>1.2</v>
      </c>
      <c r="T431" s="9">
        <f>(MBQ[[#This Row],[HEIGHT (mm)]]+MBQ[[#This Row],[WIDTH (mm)]])/1000*2*MBQ[[#This Row],[QTY TOTAL]]</f>
        <v>4.4000000000000004</v>
      </c>
      <c r="U431" s="266">
        <f>MBQ[[#This Row],[MULTIPLIER]]*MBQ[[#This Row],[QTY]]</f>
        <v>1</v>
      </c>
      <c r="V431" s="9">
        <f>MBQ[[#This Row],[HEIGHT (mm)]]/1000*MBQ[[#This Row],[WIDTH (mm)]]/1000*MBQ[[#This Row],[QTY TOTAL]]</f>
        <v>1.2</v>
      </c>
      <c r="W431" s="287">
        <f>ROUNDUP(MBQ[[#This Row],[HEIGHT (mm)]]/450*MBQ[[#This Row],[QTY]]*2,0)+ROUNDUP(MBQ[[#This Row],[WIDTH (mm)]]/450*MBQ[[#This Row],[QTY]]*2,0)</f>
        <v>11</v>
      </c>
    </row>
    <row r="432" spans="1:23" hidden="1">
      <c r="A432" s="258">
        <v>1</v>
      </c>
      <c r="B432" s="286" t="s">
        <v>535</v>
      </c>
      <c r="C432" s="278" t="s">
        <v>554</v>
      </c>
      <c r="D432" s="277" t="s">
        <v>553</v>
      </c>
      <c r="E432" s="277" t="s">
        <v>537</v>
      </c>
      <c r="F432" s="261"/>
      <c r="G432" s="262"/>
      <c r="H432" s="262"/>
      <c r="I432" s="260" t="s">
        <v>442</v>
      </c>
      <c r="J432" s="278" t="s">
        <v>443</v>
      </c>
      <c r="K432" s="285" t="s">
        <v>580</v>
      </c>
      <c r="L432" s="277" t="s">
        <v>540</v>
      </c>
      <c r="M432" s="263"/>
      <c r="N432" s="263"/>
      <c r="O432" s="264">
        <v>1300</v>
      </c>
      <c r="P432" s="264">
        <v>1200</v>
      </c>
      <c r="Q432" s="265">
        <v>1</v>
      </c>
      <c r="R432" s="30">
        <f>MBQ[[#This Row],[HEIGHT (mm)]]*MBQ[[#This Row],[QTY TOTAL]]/1000</f>
        <v>1.3</v>
      </c>
      <c r="S432" s="30">
        <f>MBQ[[#This Row],[WIDTH (mm)]]*MBQ[[#This Row],[QTY TOTAL]]/1000</f>
        <v>1.2</v>
      </c>
      <c r="T432" s="9">
        <f>(MBQ[[#This Row],[HEIGHT (mm)]]+MBQ[[#This Row],[WIDTH (mm)]])/1000*2*MBQ[[#This Row],[QTY TOTAL]]</f>
        <v>5</v>
      </c>
      <c r="U432" s="266">
        <f>MBQ[[#This Row],[MULTIPLIER]]*MBQ[[#This Row],[QTY]]</f>
        <v>1</v>
      </c>
      <c r="V432" s="9">
        <f>MBQ[[#This Row],[HEIGHT (mm)]]/1000*MBQ[[#This Row],[WIDTH (mm)]]/1000*MBQ[[#This Row],[QTY TOTAL]]</f>
        <v>1.56</v>
      </c>
      <c r="W432" s="287">
        <f>ROUNDUP(MBQ[[#This Row],[HEIGHT (mm)]]/450*MBQ[[#This Row],[QTY]]*2,0)+ROUNDUP(MBQ[[#This Row],[WIDTH (mm)]]/450*MBQ[[#This Row],[QTY]]*2,0)</f>
        <v>12</v>
      </c>
    </row>
    <row r="433" spans="1:23" hidden="1">
      <c r="A433" s="258">
        <v>1</v>
      </c>
      <c r="B433" s="286" t="s">
        <v>535</v>
      </c>
      <c r="C433" s="278" t="s">
        <v>554</v>
      </c>
      <c r="D433" s="277" t="s">
        <v>553</v>
      </c>
      <c r="E433" s="277" t="s">
        <v>537</v>
      </c>
      <c r="F433" s="261"/>
      <c r="G433" s="262"/>
      <c r="H433" s="262"/>
      <c r="I433" s="260" t="s">
        <v>442</v>
      </c>
      <c r="J433" s="278" t="s">
        <v>443</v>
      </c>
      <c r="K433" s="285" t="s">
        <v>580</v>
      </c>
      <c r="L433" s="277" t="s">
        <v>541</v>
      </c>
      <c r="M433" s="263"/>
      <c r="N433" s="263"/>
      <c r="O433" s="264">
        <v>1700</v>
      </c>
      <c r="P433" s="264">
        <v>1200</v>
      </c>
      <c r="Q433" s="265">
        <v>1</v>
      </c>
      <c r="R433" s="30">
        <f>MBQ[[#This Row],[HEIGHT (mm)]]*MBQ[[#This Row],[QTY TOTAL]]/1000</f>
        <v>1.7</v>
      </c>
      <c r="S433" s="30">
        <f>MBQ[[#This Row],[WIDTH (mm)]]*MBQ[[#This Row],[QTY TOTAL]]/1000</f>
        <v>1.2</v>
      </c>
      <c r="T433" s="9">
        <f>(MBQ[[#This Row],[HEIGHT (mm)]]+MBQ[[#This Row],[WIDTH (mm)]])/1000*2*MBQ[[#This Row],[QTY TOTAL]]</f>
        <v>5.8</v>
      </c>
      <c r="U433" s="266">
        <f>MBQ[[#This Row],[MULTIPLIER]]*MBQ[[#This Row],[QTY]]</f>
        <v>1</v>
      </c>
      <c r="V433" s="9">
        <f>MBQ[[#This Row],[HEIGHT (mm)]]/1000*MBQ[[#This Row],[WIDTH (mm)]]/1000*MBQ[[#This Row],[QTY TOTAL]]</f>
        <v>2.04</v>
      </c>
      <c r="W433" s="287">
        <f>ROUNDUP(MBQ[[#This Row],[HEIGHT (mm)]]/450*MBQ[[#This Row],[QTY]]*2,0)+ROUNDUP(MBQ[[#This Row],[WIDTH (mm)]]/450*MBQ[[#This Row],[QTY]]*2,0)</f>
        <v>14</v>
      </c>
    </row>
    <row r="434" spans="1:23" hidden="1">
      <c r="A434" s="258">
        <v>1</v>
      </c>
      <c r="B434" s="286" t="s">
        <v>535</v>
      </c>
      <c r="C434" s="278" t="s">
        <v>554</v>
      </c>
      <c r="D434" s="277" t="s">
        <v>553</v>
      </c>
      <c r="E434" s="277" t="s">
        <v>537</v>
      </c>
      <c r="F434" s="261"/>
      <c r="G434" s="262"/>
      <c r="H434" s="262"/>
      <c r="I434" s="260" t="s">
        <v>442</v>
      </c>
      <c r="J434" s="278" t="s">
        <v>443</v>
      </c>
      <c r="K434" s="285" t="s">
        <v>580</v>
      </c>
      <c r="L434" s="277" t="s">
        <v>540</v>
      </c>
      <c r="M434" s="263"/>
      <c r="N434" s="263"/>
      <c r="O434" s="264">
        <v>1000</v>
      </c>
      <c r="P434" s="264">
        <v>1200</v>
      </c>
      <c r="Q434" s="265">
        <v>1</v>
      </c>
      <c r="R434" s="30">
        <f>MBQ[[#This Row],[HEIGHT (mm)]]*MBQ[[#This Row],[QTY TOTAL]]/1000</f>
        <v>1</v>
      </c>
      <c r="S434" s="30">
        <f>MBQ[[#This Row],[WIDTH (mm)]]*MBQ[[#This Row],[QTY TOTAL]]/1000</f>
        <v>1.2</v>
      </c>
      <c r="T434" s="9">
        <f>(MBQ[[#This Row],[HEIGHT (mm)]]+MBQ[[#This Row],[WIDTH (mm)]])/1000*2*MBQ[[#This Row],[QTY TOTAL]]</f>
        <v>4.4000000000000004</v>
      </c>
      <c r="U434" s="266">
        <f>MBQ[[#This Row],[MULTIPLIER]]*MBQ[[#This Row],[QTY]]</f>
        <v>1</v>
      </c>
      <c r="V434" s="9">
        <f>MBQ[[#This Row],[HEIGHT (mm)]]/1000*MBQ[[#This Row],[WIDTH (mm)]]/1000*MBQ[[#This Row],[QTY TOTAL]]</f>
        <v>1.2</v>
      </c>
      <c r="W434" s="287">
        <f>ROUNDUP(MBQ[[#This Row],[HEIGHT (mm)]]/450*MBQ[[#This Row],[QTY]]*2,0)+ROUNDUP(MBQ[[#This Row],[WIDTH (mm)]]/450*MBQ[[#This Row],[QTY]]*2,0)</f>
        <v>11</v>
      </c>
    </row>
    <row r="435" spans="1:23" hidden="1">
      <c r="A435" s="258">
        <v>1</v>
      </c>
      <c r="B435" s="276" t="s">
        <v>536</v>
      </c>
      <c r="C435" s="278" t="s">
        <v>554</v>
      </c>
      <c r="D435" s="277" t="s">
        <v>553</v>
      </c>
      <c r="E435" s="277" t="s">
        <v>537</v>
      </c>
      <c r="F435" s="261"/>
      <c r="G435" s="262"/>
      <c r="H435" s="262"/>
      <c r="I435" s="260" t="s">
        <v>442</v>
      </c>
      <c r="J435" s="278" t="s">
        <v>443</v>
      </c>
      <c r="K435" s="285" t="s">
        <v>580</v>
      </c>
      <c r="L435" s="277" t="s">
        <v>540</v>
      </c>
      <c r="M435" s="263"/>
      <c r="N435" s="263"/>
      <c r="O435" s="264">
        <v>1300</v>
      </c>
      <c r="P435" s="264">
        <v>1200</v>
      </c>
      <c r="Q435" s="265">
        <v>1</v>
      </c>
      <c r="R435" s="30">
        <f>MBQ[[#This Row],[HEIGHT (mm)]]*MBQ[[#This Row],[QTY TOTAL]]/1000</f>
        <v>1.3</v>
      </c>
      <c r="S435" s="30">
        <f>MBQ[[#This Row],[WIDTH (mm)]]*MBQ[[#This Row],[QTY TOTAL]]/1000</f>
        <v>1.2</v>
      </c>
      <c r="T435" s="9">
        <f>(MBQ[[#This Row],[HEIGHT (mm)]]+MBQ[[#This Row],[WIDTH (mm)]])/1000*2*MBQ[[#This Row],[QTY TOTAL]]</f>
        <v>5</v>
      </c>
      <c r="U435" s="266">
        <f>MBQ[[#This Row],[MULTIPLIER]]*MBQ[[#This Row],[QTY]]</f>
        <v>1</v>
      </c>
      <c r="V435" s="9">
        <f>MBQ[[#This Row],[HEIGHT (mm)]]/1000*MBQ[[#This Row],[WIDTH (mm)]]/1000*MBQ[[#This Row],[QTY TOTAL]]</f>
        <v>1.56</v>
      </c>
      <c r="W435" s="287">
        <f>ROUNDUP(MBQ[[#This Row],[HEIGHT (mm)]]/450*MBQ[[#This Row],[QTY]]*2,0)+ROUNDUP(MBQ[[#This Row],[WIDTH (mm)]]/450*MBQ[[#This Row],[QTY]]*2,0)</f>
        <v>12</v>
      </c>
    </row>
    <row r="436" spans="1:23" hidden="1">
      <c r="A436" s="258">
        <v>1</v>
      </c>
      <c r="B436" s="276" t="s">
        <v>536</v>
      </c>
      <c r="C436" s="278" t="s">
        <v>554</v>
      </c>
      <c r="D436" s="277" t="s">
        <v>553</v>
      </c>
      <c r="E436" s="277" t="s">
        <v>537</v>
      </c>
      <c r="F436" s="261"/>
      <c r="G436" s="262"/>
      <c r="H436" s="262"/>
      <c r="I436" s="260" t="s">
        <v>442</v>
      </c>
      <c r="J436" s="278" t="s">
        <v>443</v>
      </c>
      <c r="K436" s="285" t="s">
        <v>580</v>
      </c>
      <c r="L436" s="277" t="s">
        <v>541</v>
      </c>
      <c r="M436" s="263"/>
      <c r="N436" s="263"/>
      <c r="O436" s="264">
        <v>1700</v>
      </c>
      <c r="P436" s="264">
        <v>1200</v>
      </c>
      <c r="Q436" s="265">
        <v>1</v>
      </c>
      <c r="R436" s="30">
        <f>MBQ[[#This Row],[HEIGHT (mm)]]*MBQ[[#This Row],[QTY TOTAL]]/1000</f>
        <v>1.7</v>
      </c>
      <c r="S436" s="30">
        <f>MBQ[[#This Row],[WIDTH (mm)]]*MBQ[[#This Row],[QTY TOTAL]]/1000</f>
        <v>1.2</v>
      </c>
      <c r="T436" s="9">
        <f>(MBQ[[#This Row],[HEIGHT (mm)]]+MBQ[[#This Row],[WIDTH (mm)]])/1000*2*MBQ[[#This Row],[QTY TOTAL]]</f>
        <v>5.8</v>
      </c>
      <c r="U436" s="266">
        <f>MBQ[[#This Row],[MULTIPLIER]]*MBQ[[#This Row],[QTY]]</f>
        <v>1</v>
      </c>
      <c r="V436" s="9">
        <f>MBQ[[#This Row],[HEIGHT (mm)]]/1000*MBQ[[#This Row],[WIDTH (mm)]]/1000*MBQ[[#This Row],[QTY TOTAL]]</f>
        <v>2.04</v>
      </c>
      <c r="W436" s="287">
        <f>ROUNDUP(MBQ[[#This Row],[HEIGHT (mm)]]/450*MBQ[[#This Row],[QTY]]*2,0)+ROUNDUP(MBQ[[#This Row],[WIDTH (mm)]]/450*MBQ[[#This Row],[QTY]]*2,0)</f>
        <v>14</v>
      </c>
    </row>
    <row r="437" spans="1:23" hidden="1">
      <c r="A437" s="258">
        <v>1</v>
      </c>
      <c r="B437" s="276" t="s">
        <v>536</v>
      </c>
      <c r="C437" s="278" t="s">
        <v>554</v>
      </c>
      <c r="D437" s="277" t="s">
        <v>553</v>
      </c>
      <c r="E437" s="277" t="s">
        <v>537</v>
      </c>
      <c r="F437" s="261"/>
      <c r="G437" s="262"/>
      <c r="H437" s="262"/>
      <c r="I437" s="260" t="s">
        <v>442</v>
      </c>
      <c r="J437" s="278" t="s">
        <v>443</v>
      </c>
      <c r="K437" s="285" t="s">
        <v>580</v>
      </c>
      <c r="L437" s="277" t="s">
        <v>540</v>
      </c>
      <c r="M437" s="263"/>
      <c r="N437" s="263"/>
      <c r="O437" s="264">
        <v>1000</v>
      </c>
      <c r="P437" s="264">
        <v>1200</v>
      </c>
      <c r="Q437" s="265">
        <v>1</v>
      </c>
      <c r="R437" s="30">
        <f>MBQ[[#This Row],[HEIGHT (mm)]]*MBQ[[#This Row],[QTY TOTAL]]/1000</f>
        <v>1</v>
      </c>
      <c r="S437" s="30">
        <f>MBQ[[#This Row],[WIDTH (mm)]]*MBQ[[#This Row],[QTY TOTAL]]/1000</f>
        <v>1.2</v>
      </c>
      <c r="T437" s="9">
        <f>(MBQ[[#This Row],[HEIGHT (mm)]]+MBQ[[#This Row],[WIDTH (mm)]])/1000*2*MBQ[[#This Row],[QTY TOTAL]]</f>
        <v>4.4000000000000004</v>
      </c>
      <c r="U437" s="266">
        <f>MBQ[[#This Row],[MULTIPLIER]]*MBQ[[#This Row],[QTY]]</f>
        <v>1</v>
      </c>
      <c r="V437" s="9">
        <f>MBQ[[#This Row],[HEIGHT (mm)]]/1000*MBQ[[#This Row],[WIDTH (mm)]]/1000*MBQ[[#This Row],[QTY TOTAL]]</f>
        <v>1.2</v>
      </c>
      <c r="W437" s="287">
        <f>ROUNDUP(MBQ[[#This Row],[HEIGHT (mm)]]/450*MBQ[[#This Row],[QTY]]*2,0)+ROUNDUP(MBQ[[#This Row],[WIDTH (mm)]]/450*MBQ[[#This Row],[QTY]]*2,0)</f>
        <v>11</v>
      </c>
    </row>
    <row r="438" spans="1:23" hidden="1">
      <c r="A438" s="258">
        <v>1</v>
      </c>
      <c r="B438" s="276" t="s">
        <v>536</v>
      </c>
      <c r="C438" s="278" t="s">
        <v>554</v>
      </c>
      <c r="D438" s="277" t="s">
        <v>553</v>
      </c>
      <c r="E438" s="277" t="s">
        <v>537</v>
      </c>
      <c r="F438" s="261"/>
      <c r="G438" s="262"/>
      <c r="H438" s="262"/>
      <c r="I438" s="260" t="s">
        <v>442</v>
      </c>
      <c r="J438" s="278" t="s">
        <v>443</v>
      </c>
      <c r="K438" s="285" t="s">
        <v>580</v>
      </c>
      <c r="L438" s="277" t="s">
        <v>540</v>
      </c>
      <c r="M438" s="263"/>
      <c r="N438" s="263"/>
      <c r="O438" s="264">
        <v>1300</v>
      </c>
      <c r="P438" s="264">
        <v>1200</v>
      </c>
      <c r="Q438" s="265">
        <v>1</v>
      </c>
      <c r="R438" s="30">
        <f>MBQ[[#This Row],[HEIGHT (mm)]]*MBQ[[#This Row],[QTY TOTAL]]/1000</f>
        <v>1.3</v>
      </c>
      <c r="S438" s="30">
        <f>MBQ[[#This Row],[WIDTH (mm)]]*MBQ[[#This Row],[QTY TOTAL]]/1000</f>
        <v>1.2</v>
      </c>
      <c r="T438" s="9">
        <f>(MBQ[[#This Row],[HEIGHT (mm)]]+MBQ[[#This Row],[WIDTH (mm)]])/1000*2*MBQ[[#This Row],[QTY TOTAL]]</f>
        <v>5</v>
      </c>
      <c r="U438" s="266">
        <f>MBQ[[#This Row],[MULTIPLIER]]*MBQ[[#This Row],[QTY]]</f>
        <v>1</v>
      </c>
      <c r="V438" s="9">
        <f>MBQ[[#This Row],[HEIGHT (mm)]]/1000*MBQ[[#This Row],[WIDTH (mm)]]/1000*MBQ[[#This Row],[QTY TOTAL]]</f>
        <v>1.56</v>
      </c>
      <c r="W438" s="287">
        <f>ROUNDUP(MBQ[[#This Row],[HEIGHT (mm)]]/450*MBQ[[#This Row],[QTY]]*2,0)+ROUNDUP(MBQ[[#This Row],[WIDTH (mm)]]/450*MBQ[[#This Row],[QTY]]*2,0)</f>
        <v>12</v>
      </c>
    </row>
    <row r="439" spans="1:23" hidden="1">
      <c r="A439" s="258">
        <v>1</v>
      </c>
      <c r="B439" s="276" t="s">
        <v>536</v>
      </c>
      <c r="C439" s="278" t="s">
        <v>554</v>
      </c>
      <c r="D439" s="277" t="s">
        <v>553</v>
      </c>
      <c r="E439" s="277" t="s">
        <v>537</v>
      </c>
      <c r="F439" s="261"/>
      <c r="G439" s="262"/>
      <c r="H439" s="262"/>
      <c r="I439" s="260" t="s">
        <v>442</v>
      </c>
      <c r="J439" s="278" t="s">
        <v>443</v>
      </c>
      <c r="K439" s="285" t="s">
        <v>580</v>
      </c>
      <c r="L439" s="277" t="s">
        <v>541</v>
      </c>
      <c r="M439" s="263"/>
      <c r="N439" s="263"/>
      <c r="O439" s="264">
        <v>1700</v>
      </c>
      <c r="P439" s="264">
        <v>1200</v>
      </c>
      <c r="Q439" s="265">
        <v>1</v>
      </c>
      <c r="R439" s="30">
        <f>MBQ[[#This Row],[HEIGHT (mm)]]*MBQ[[#This Row],[QTY TOTAL]]/1000</f>
        <v>1.7</v>
      </c>
      <c r="S439" s="30">
        <f>MBQ[[#This Row],[WIDTH (mm)]]*MBQ[[#This Row],[QTY TOTAL]]/1000</f>
        <v>1.2</v>
      </c>
      <c r="T439" s="9">
        <f>(MBQ[[#This Row],[HEIGHT (mm)]]+MBQ[[#This Row],[WIDTH (mm)]])/1000*2*MBQ[[#This Row],[QTY TOTAL]]</f>
        <v>5.8</v>
      </c>
      <c r="U439" s="266">
        <f>MBQ[[#This Row],[MULTIPLIER]]*MBQ[[#This Row],[QTY]]</f>
        <v>1</v>
      </c>
      <c r="V439" s="9">
        <f>MBQ[[#This Row],[HEIGHT (mm)]]/1000*MBQ[[#This Row],[WIDTH (mm)]]/1000*MBQ[[#This Row],[QTY TOTAL]]</f>
        <v>2.04</v>
      </c>
      <c r="W439" s="287">
        <f>ROUNDUP(MBQ[[#This Row],[HEIGHT (mm)]]/450*MBQ[[#This Row],[QTY]]*2,0)+ROUNDUP(MBQ[[#This Row],[WIDTH (mm)]]/450*MBQ[[#This Row],[QTY]]*2,0)</f>
        <v>14</v>
      </c>
    </row>
    <row r="440" spans="1:23" hidden="1">
      <c r="A440" s="258">
        <v>1</v>
      </c>
      <c r="B440" s="276" t="s">
        <v>536</v>
      </c>
      <c r="C440" s="278" t="s">
        <v>554</v>
      </c>
      <c r="D440" s="277" t="s">
        <v>553</v>
      </c>
      <c r="E440" s="277" t="s">
        <v>537</v>
      </c>
      <c r="F440" s="261"/>
      <c r="G440" s="262"/>
      <c r="H440" s="262"/>
      <c r="I440" s="260" t="s">
        <v>442</v>
      </c>
      <c r="J440" s="278" t="s">
        <v>443</v>
      </c>
      <c r="K440" s="285" t="s">
        <v>580</v>
      </c>
      <c r="L440" s="277" t="s">
        <v>540</v>
      </c>
      <c r="M440" s="263"/>
      <c r="N440" s="263"/>
      <c r="O440" s="264">
        <v>1000</v>
      </c>
      <c r="P440" s="264">
        <v>1200</v>
      </c>
      <c r="Q440" s="265">
        <v>1</v>
      </c>
      <c r="R440" s="30">
        <f>MBQ[[#This Row],[HEIGHT (mm)]]*MBQ[[#This Row],[QTY TOTAL]]/1000</f>
        <v>1</v>
      </c>
      <c r="S440" s="30">
        <f>MBQ[[#This Row],[WIDTH (mm)]]*MBQ[[#This Row],[QTY TOTAL]]/1000</f>
        <v>1.2</v>
      </c>
      <c r="T440" s="9">
        <f>(MBQ[[#This Row],[HEIGHT (mm)]]+MBQ[[#This Row],[WIDTH (mm)]])/1000*2*MBQ[[#This Row],[QTY TOTAL]]</f>
        <v>4.4000000000000004</v>
      </c>
      <c r="U440" s="266">
        <f>MBQ[[#This Row],[MULTIPLIER]]*MBQ[[#This Row],[QTY]]</f>
        <v>1</v>
      </c>
      <c r="V440" s="9">
        <f>MBQ[[#This Row],[HEIGHT (mm)]]/1000*MBQ[[#This Row],[WIDTH (mm)]]/1000*MBQ[[#This Row],[QTY TOTAL]]</f>
        <v>1.2</v>
      </c>
      <c r="W440" s="287">
        <f>ROUNDUP(MBQ[[#This Row],[HEIGHT (mm)]]/450*MBQ[[#This Row],[QTY]]*2,0)+ROUNDUP(MBQ[[#This Row],[WIDTH (mm)]]/450*MBQ[[#This Row],[QTY]]*2,0)</f>
        <v>11</v>
      </c>
    </row>
    <row r="441" spans="1:23" hidden="1">
      <c r="A441" s="258">
        <v>1</v>
      </c>
      <c r="B441" s="276" t="s">
        <v>536</v>
      </c>
      <c r="C441" s="278" t="s">
        <v>554</v>
      </c>
      <c r="D441" s="277" t="s">
        <v>553</v>
      </c>
      <c r="E441" s="277" t="s">
        <v>537</v>
      </c>
      <c r="F441" s="261"/>
      <c r="G441" s="262"/>
      <c r="H441" s="262"/>
      <c r="I441" s="260" t="s">
        <v>442</v>
      </c>
      <c r="J441" s="278" t="s">
        <v>443</v>
      </c>
      <c r="K441" s="285" t="s">
        <v>580</v>
      </c>
      <c r="L441" s="277" t="s">
        <v>540</v>
      </c>
      <c r="M441" s="263"/>
      <c r="N441" s="263"/>
      <c r="O441" s="264">
        <v>1300</v>
      </c>
      <c r="P441" s="264">
        <v>1200</v>
      </c>
      <c r="Q441" s="265">
        <v>1</v>
      </c>
      <c r="R441" s="30">
        <f>MBQ[[#This Row],[HEIGHT (mm)]]*MBQ[[#This Row],[QTY TOTAL]]/1000</f>
        <v>1.3</v>
      </c>
      <c r="S441" s="30">
        <f>MBQ[[#This Row],[WIDTH (mm)]]*MBQ[[#This Row],[QTY TOTAL]]/1000</f>
        <v>1.2</v>
      </c>
      <c r="T441" s="9">
        <f>(MBQ[[#This Row],[HEIGHT (mm)]]+MBQ[[#This Row],[WIDTH (mm)]])/1000*2*MBQ[[#This Row],[QTY TOTAL]]</f>
        <v>5</v>
      </c>
      <c r="U441" s="266">
        <f>MBQ[[#This Row],[MULTIPLIER]]*MBQ[[#This Row],[QTY]]</f>
        <v>1</v>
      </c>
      <c r="V441" s="9">
        <f>MBQ[[#This Row],[HEIGHT (mm)]]/1000*MBQ[[#This Row],[WIDTH (mm)]]/1000*MBQ[[#This Row],[QTY TOTAL]]</f>
        <v>1.56</v>
      </c>
      <c r="W441" s="287">
        <f>ROUNDUP(MBQ[[#This Row],[HEIGHT (mm)]]/450*MBQ[[#This Row],[QTY]]*2,0)+ROUNDUP(MBQ[[#This Row],[WIDTH (mm)]]/450*MBQ[[#This Row],[QTY]]*2,0)</f>
        <v>12</v>
      </c>
    </row>
    <row r="442" spans="1:23" hidden="1">
      <c r="A442" s="258">
        <v>1</v>
      </c>
      <c r="B442" s="276" t="s">
        <v>536</v>
      </c>
      <c r="C442" s="278" t="s">
        <v>554</v>
      </c>
      <c r="D442" s="277" t="s">
        <v>553</v>
      </c>
      <c r="E442" s="277" t="s">
        <v>537</v>
      </c>
      <c r="F442" s="261"/>
      <c r="G442" s="262"/>
      <c r="H442" s="262"/>
      <c r="I442" s="260" t="s">
        <v>442</v>
      </c>
      <c r="J442" s="278" t="s">
        <v>443</v>
      </c>
      <c r="K442" s="285" t="s">
        <v>580</v>
      </c>
      <c r="L442" s="277" t="s">
        <v>541</v>
      </c>
      <c r="M442" s="263"/>
      <c r="N442" s="263"/>
      <c r="O442" s="264">
        <v>1700</v>
      </c>
      <c r="P442" s="264">
        <v>1200</v>
      </c>
      <c r="Q442" s="265">
        <v>1</v>
      </c>
      <c r="R442" s="30">
        <f>MBQ[[#This Row],[HEIGHT (mm)]]*MBQ[[#This Row],[QTY TOTAL]]/1000</f>
        <v>1.7</v>
      </c>
      <c r="S442" s="30">
        <f>MBQ[[#This Row],[WIDTH (mm)]]*MBQ[[#This Row],[QTY TOTAL]]/1000</f>
        <v>1.2</v>
      </c>
      <c r="T442" s="9">
        <f>(MBQ[[#This Row],[HEIGHT (mm)]]+MBQ[[#This Row],[WIDTH (mm)]])/1000*2*MBQ[[#This Row],[QTY TOTAL]]</f>
        <v>5.8</v>
      </c>
      <c r="U442" s="266">
        <f>MBQ[[#This Row],[MULTIPLIER]]*MBQ[[#This Row],[QTY]]</f>
        <v>1</v>
      </c>
      <c r="V442" s="9">
        <f>MBQ[[#This Row],[HEIGHT (mm)]]/1000*MBQ[[#This Row],[WIDTH (mm)]]/1000*MBQ[[#This Row],[QTY TOTAL]]</f>
        <v>2.04</v>
      </c>
      <c r="W442" s="287">
        <f>ROUNDUP(MBQ[[#This Row],[HEIGHT (mm)]]/450*MBQ[[#This Row],[QTY]]*2,0)+ROUNDUP(MBQ[[#This Row],[WIDTH (mm)]]/450*MBQ[[#This Row],[QTY]]*2,0)</f>
        <v>14</v>
      </c>
    </row>
    <row r="443" spans="1:23" hidden="1">
      <c r="A443" s="258">
        <v>1</v>
      </c>
      <c r="B443" s="276" t="s">
        <v>536</v>
      </c>
      <c r="C443" s="278" t="s">
        <v>554</v>
      </c>
      <c r="D443" s="277" t="s">
        <v>553</v>
      </c>
      <c r="E443" s="277" t="s">
        <v>537</v>
      </c>
      <c r="F443" s="261"/>
      <c r="G443" s="262"/>
      <c r="H443" s="262"/>
      <c r="I443" s="260" t="s">
        <v>442</v>
      </c>
      <c r="J443" s="278" t="s">
        <v>443</v>
      </c>
      <c r="K443" s="285" t="s">
        <v>580</v>
      </c>
      <c r="L443" s="277" t="s">
        <v>540</v>
      </c>
      <c r="M443" s="263"/>
      <c r="N443" s="263"/>
      <c r="O443" s="264">
        <v>1000</v>
      </c>
      <c r="P443" s="264">
        <v>1200</v>
      </c>
      <c r="Q443" s="265">
        <v>1</v>
      </c>
      <c r="R443" s="30">
        <f>MBQ[[#This Row],[HEIGHT (mm)]]*MBQ[[#This Row],[QTY TOTAL]]/1000</f>
        <v>1</v>
      </c>
      <c r="S443" s="30">
        <f>MBQ[[#This Row],[WIDTH (mm)]]*MBQ[[#This Row],[QTY TOTAL]]/1000</f>
        <v>1.2</v>
      </c>
      <c r="T443" s="9">
        <f>(MBQ[[#This Row],[HEIGHT (mm)]]+MBQ[[#This Row],[WIDTH (mm)]])/1000*2*MBQ[[#This Row],[QTY TOTAL]]</f>
        <v>4.4000000000000004</v>
      </c>
      <c r="U443" s="266">
        <f>MBQ[[#This Row],[MULTIPLIER]]*MBQ[[#This Row],[QTY]]</f>
        <v>1</v>
      </c>
      <c r="V443" s="9">
        <f>MBQ[[#This Row],[HEIGHT (mm)]]/1000*MBQ[[#This Row],[WIDTH (mm)]]/1000*MBQ[[#This Row],[QTY TOTAL]]</f>
        <v>1.2</v>
      </c>
      <c r="W443" s="287">
        <f>ROUNDUP(MBQ[[#This Row],[HEIGHT (mm)]]/450*MBQ[[#This Row],[QTY]]*2,0)+ROUNDUP(MBQ[[#This Row],[WIDTH (mm)]]/450*MBQ[[#This Row],[QTY]]*2,0)</f>
        <v>11</v>
      </c>
    </row>
    <row r="444" spans="1:23" hidden="1">
      <c r="A444" s="258">
        <v>1</v>
      </c>
      <c r="B444" s="276" t="s">
        <v>536</v>
      </c>
      <c r="C444" s="278" t="s">
        <v>554</v>
      </c>
      <c r="D444" s="277" t="s">
        <v>553</v>
      </c>
      <c r="E444" s="277" t="s">
        <v>537</v>
      </c>
      <c r="F444" s="261"/>
      <c r="G444" s="262"/>
      <c r="H444" s="262"/>
      <c r="I444" s="260" t="s">
        <v>442</v>
      </c>
      <c r="J444" s="278" t="s">
        <v>443</v>
      </c>
      <c r="K444" s="285" t="s">
        <v>580</v>
      </c>
      <c r="L444" s="277" t="s">
        <v>540</v>
      </c>
      <c r="M444" s="263"/>
      <c r="N444" s="263"/>
      <c r="O444" s="264">
        <v>1300</v>
      </c>
      <c r="P444" s="264">
        <v>1200</v>
      </c>
      <c r="Q444" s="265">
        <v>1</v>
      </c>
      <c r="R444" s="30">
        <f>MBQ[[#This Row],[HEIGHT (mm)]]*MBQ[[#This Row],[QTY TOTAL]]/1000</f>
        <v>1.3</v>
      </c>
      <c r="S444" s="30">
        <f>MBQ[[#This Row],[WIDTH (mm)]]*MBQ[[#This Row],[QTY TOTAL]]/1000</f>
        <v>1.2</v>
      </c>
      <c r="T444" s="9">
        <f>(MBQ[[#This Row],[HEIGHT (mm)]]+MBQ[[#This Row],[WIDTH (mm)]])/1000*2*MBQ[[#This Row],[QTY TOTAL]]</f>
        <v>5</v>
      </c>
      <c r="U444" s="266">
        <f>MBQ[[#This Row],[MULTIPLIER]]*MBQ[[#This Row],[QTY]]</f>
        <v>1</v>
      </c>
      <c r="V444" s="9">
        <f>MBQ[[#This Row],[HEIGHT (mm)]]/1000*MBQ[[#This Row],[WIDTH (mm)]]/1000*MBQ[[#This Row],[QTY TOTAL]]</f>
        <v>1.56</v>
      </c>
      <c r="W444" s="287">
        <f>ROUNDUP(MBQ[[#This Row],[HEIGHT (mm)]]/450*MBQ[[#This Row],[QTY]]*2,0)+ROUNDUP(MBQ[[#This Row],[WIDTH (mm)]]/450*MBQ[[#This Row],[QTY]]*2,0)</f>
        <v>12</v>
      </c>
    </row>
    <row r="445" spans="1:23" hidden="1">
      <c r="A445" s="258">
        <v>1</v>
      </c>
      <c r="B445" s="276" t="s">
        <v>536</v>
      </c>
      <c r="C445" s="278" t="s">
        <v>554</v>
      </c>
      <c r="D445" s="277" t="s">
        <v>553</v>
      </c>
      <c r="E445" s="277" t="s">
        <v>537</v>
      </c>
      <c r="F445" s="261"/>
      <c r="G445" s="262"/>
      <c r="H445" s="262"/>
      <c r="I445" s="260" t="s">
        <v>442</v>
      </c>
      <c r="J445" s="278" t="s">
        <v>443</v>
      </c>
      <c r="K445" s="285" t="s">
        <v>580</v>
      </c>
      <c r="L445" s="277" t="s">
        <v>541</v>
      </c>
      <c r="M445" s="263"/>
      <c r="N445" s="263"/>
      <c r="O445" s="264">
        <v>1700</v>
      </c>
      <c r="P445" s="264">
        <v>1200</v>
      </c>
      <c r="Q445" s="265">
        <v>1</v>
      </c>
      <c r="R445" s="30">
        <f>MBQ[[#This Row],[HEIGHT (mm)]]*MBQ[[#This Row],[QTY TOTAL]]/1000</f>
        <v>1.7</v>
      </c>
      <c r="S445" s="30">
        <f>MBQ[[#This Row],[WIDTH (mm)]]*MBQ[[#This Row],[QTY TOTAL]]/1000</f>
        <v>1.2</v>
      </c>
      <c r="T445" s="9">
        <f>(MBQ[[#This Row],[HEIGHT (mm)]]+MBQ[[#This Row],[WIDTH (mm)]])/1000*2*MBQ[[#This Row],[QTY TOTAL]]</f>
        <v>5.8</v>
      </c>
      <c r="U445" s="266">
        <f>MBQ[[#This Row],[MULTIPLIER]]*MBQ[[#This Row],[QTY]]</f>
        <v>1</v>
      </c>
      <c r="V445" s="9">
        <f>MBQ[[#This Row],[HEIGHT (mm)]]/1000*MBQ[[#This Row],[WIDTH (mm)]]/1000*MBQ[[#This Row],[QTY TOTAL]]</f>
        <v>2.04</v>
      </c>
      <c r="W445" s="287">
        <f>ROUNDUP(MBQ[[#This Row],[HEIGHT (mm)]]/450*MBQ[[#This Row],[QTY]]*2,0)+ROUNDUP(MBQ[[#This Row],[WIDTH (mm)]]/450*MBQ[[#This Row],[QTY]]*2,0)</f>
        <v>14</v>
      </c>
    </row>
    <row r="446" spans="1:23" hidden="1">
      <c r="A446" s="258">
        <v>1</v>
      </c>
      <c r="B446" s="276" t="s">
        <v>536</v>
      </c>
      <c r="C446" s="278" t="s">
        <v>554</v>
      </c>
      <c r="D446" s="277" t="s">
        <v>553</v>
      </c>
      <c r="E446" s="277" t="s">
        <v>537</v>
      </c>
      <c r="F446" s="261"/>
      <c r="G446" s="262"/>
      <c r="H446" s="262"/>
      <c r="I446" s="260" t="s">
        <v>442</v>
      </c>
      <c r="J446" s="278" t="s">
        <v>443</v>
      </c>
      <c r="K446" s="285" t="s">
        <v>580</v>
      </c>
      <c r="L446" s="277" t="s">
        <v>540</v>
      </c>
      <c r="M446" s="263"/>
      <c r="N446" s="263"/>
      <c r="O446" s="264">
        <v>1000</v>
      </c>
      <c r="P446" s="264">
        <v>1200</v>
      </c>
      <c r="Q446" s="265">
        <v>1</v>
      </c>
      <c r="R446" s="30">
        <f>MBQ[[#This Row],[HEIGHT (mm)]]*MBQ[[#This Row],[QTY TOTAL]]/1000</f>
        <v>1</v>
      </c>
      <c r="S446" s="30">
        <f>MBQ[[#This Row],[WIDTH (mm)]]*MBQ[[#This Row],[QTY TOTAL]]/1000</f>
        <v>1.2</v>
      </c>
      <c r="T446" s="9">
        <f>(MBQ[[#This Row],[HEIGHT (mm)]]+MBQ[[#This Row],[WIDTH (mm)]])/1000*2*MBQ[[#This Row],[QTY TOTAL]]</f>
        <v>4.4000000000000004</v>
      </c>
      <c r="U446" s="266">
        <f>MBQ[[#This Row],[MULTIPLIER]]*MBQ[[#This Row],[QTY]]</f>
        <v>1</v>
      </c>
      <c r="V446" s="9">
        <f>MBQ[[#This Row],[HEIGHT (mm)]]/1000*MBQ[[#This Row],[WIDTH (mm)]]/1000*MBQ[[#This Row],[QTY TOTAL]]</f>
        <v>1.2</v>
      </c>
      <c r="W446" s="287">
        <f>ROUNDUP(MBQ[[#This Row],[HEIGHT (mm)]]/450*MBQ[[#This Row],[QTY]]*2,0)+ROUNDUP(MBQ[[#This Row],[WIDTH (mm)]]/450*MBQ[[#This Row],[QTY]]*2,0)</f>
        <v>11</v>
      </c>
    </row>
    <row r="447" spans="1:23" hidden="1">
      <c r="A447" s="258">
        <v>1</v>
      </c>
      <c r="B447" s="276" t="s">
        <v>536</v>
      </c>
      <c r="C447" s="278" t="s">
        <v>554</v>
      </c>
      <c r="D447" s="277" t="s">
        <v>553</v>
      </c>
      <c r="E447" s="277" t="s">
        <v>537</v>
      </c>
      <c r="F447" s="261"/>
      <c r="G447" s="262"/>
      <c r="H447" s="262"/>
      <c r="I447" s="260" t="s">
        <v>442</v>
      </c>
      <c r="J447" s="278" t="s">
        <v>443</v>
      </c>
      <c r="K447" s="285" t="s">
        <v>580</v>
      </c>
      <c r="L447" s="277" t="s">
        <v>540</v>
      </c>
      <c r="M447" s="263"/>
      <c r="N447" s="263"/>
      <c r="O447" s="264">
        <v>1300</v>
      </c>
      <c r="P447" s="264">
        <v>1200</v>
      </c>
      <c r="Q447" s="265">
        <v>1</v>
      </c>
      <c r="R447" s="30">
        <f>MBQ[[#This Row],[HEIGHT (mm)]]*MBQ[[#This Row],[QTY TOTAL]]/1000</f>
        <v>1.3</v>
      </c>
      <c r="S447" s="30">
        <f>MBQ[[#This Row],[WIDTH (mm)]]*MBQ[[#This Row],[QTY TOTAL]]/1000</f>
        <v>1.2</v>
      </c>
      <c r="T447" s="9">
        <f>(MBQ[[#This Row],[HEIGHT (mm)]]+MBQ[[#This Row],[WIDTH (mm)]])/1000*2*MBQ[[#This Row],[QTY TOTAL]]</f>
        <v>5</v>
      </c>
      <c r="U447" s="266">
        <f>MBQ[[#This Row],[MULTIPLIER]]*MBQ[[#This Row],[QTY]]</f>
        <v>1</v>
      </c>
      <c r="V447" s="9">
        <f>MBQ[[#This Row],[HEIGHT (mm)]]/1000*MBQ[[#This Row],[WIDTH (mm)]]/1000*MBQ[[#This Row],[QTY TOTAL]]</f>
        <v>1.56</v>
      </c>
      <c r="W447" s="287">
        <f>ROUNDUP(MBQ[[#This Row],[HEIGHT (mm)]]/450*MBQ[[#This Row],[QTY]]*2,0)+ROUNDUP(MBQ[[#This Row],[WIDTH (mm)]]/450*MBQ[[#This Row],[QTY]]*2,0)</f>
        <v>12</v>
      </c>
    </row>
    <row r="448" spans="1:23" hidden="1">
      <c r="A448" s="258">
        <v>1</v>
      </c>
      <c r="B448" s="276" t="s">
        <v>536</v>
      </c>
      <c r="C448" s="278" t="s">
        <v>554</v>
      </c>
      <c r="D448" s="277" t="s">
        <v>553</v>
      </c>
      <c r="E448" s="277" t="s">
        <v>537</v>
      </c>
      <c r="F448" s="261"/>
      <c r="G448" s="262"/>
      <c r="H448" s="262"/>
      <c r="I448" s="260" t="s">
        <v>442</v>
      </c>
      <c r="J448" s="278" t="s">
        <v>443</v>
      </c>
      <c r="K448" s="285" t="s">
        <v>580</v>
      </c>
      <c r="L448" s="277" t="s">
        <v>541</v>
      </c>
      <c r="M448" s="263"/>
      <c r="N448" s="263"/>
      <c r="O448" s="264">
        <v>1700</v>
      </c>
      <c r="P448" s="264">
        <v>1200</v>
      </c>
      <c r="Q448" s="265">
        <v>1</v>
      </c>
      <c r="R448" s="30">
        <f>MBQ[[#This Row],[HEIGHT (mm)]]*MBQ[[#This Row],[QTY TOTAL]]/1000</f>
        <v>1.7</v>
      </c>
      <c r="S448" s="30">
        <f>MBQ[[#This Row],[WIDTH (mm)]]*MBQ[[#This Row],[QTY TOTAL]]/1000</f>
        <v>1.2</v>
      </c>
      <c r="T448" s="9">
        <f>(MBQ[[#This Row],[HEIGHT (mm)]]+MBQ[[#This Row],[WIDTH (mm)]])/1000*2*MBQ[[#This Row],[QTY TOTAL]]</f>
        <v>5.8</v>
      </c>
      <c r="U448" s="266">
        <f>MBQ[[#This Row],[MULTIPLIER]]*MBQ[[#This Row],[QTY]]</f>
        <v>1</v>
      </c>
      <c r="V448" s="9">
        <f>MBQ[[#This Row],[HEIGHT (mm)]]/1000*MBQ[[#This Row],[WIDTH (mm)]]/1000*MBQ[[#This Row],[QTY TOTAL]]</f>
        <v>2.04</v>
      </c>
      <c r="W448" s="287">
        <f>ROUNDUP(MBQ[[#This Row],[HEIGHT (mm)]]/450*MBQ[[#This Row],[QTY]]*2,0)+ROUNDUP(MBQ[[#This Row],[WIDTH (mm)]]/450*MBQ[[#This Row],[QTY]]*2,0)</f>
        <v>14</v>
      </c>
    </row>
    <row r="449" spans="1:23" hidden="1">
      <c r="A449" s="258">
        <v>1</v>
      </c>
      <c r="B449" s="276" t="s">
        <v>536</v>
      </c>
      <c r="C449" s="278" t="s">
        <v>554</v>
      </c>
      <c r="D449" s="277" t="s">
        <v>553</v>
      </c>
      <c r="E449" s="277" t="s">
        <v>537</v>
      </c>
      <c r="F449" s="261"/>
      <c r="G449" s="262"/>
      <c r="H449" s="262"/>
      <c r="I449" s="260" t="s">
        <v>442</v>
      </c>
      <c r="J449" s="278" t="s">
        <v>443</v>
      </c>
      <c r="K449" s="285" t="s">
        <v>580</v>
      </c>
      <c r="L449" s="277" t="s">
        <v>540</v>
      </c>
      <c r="M449" s="263"/>
      <c r="N449" s="263"/>
      <c r="O449" s="264">
        <v>1000</v>
      </c>
      <c r="P449" s="264">
        <v>1200</v>
      </c>
      <c r="Q449" s="265">
        <v>1</v>
      </c>
      <c r="R449" s="30">
        <f>MBQ[[#This Row],[HEIGHT (mm)]]*MBQ[[#This Row],[QTY TOTAL]]/1000</f>
        <v>1</v>
      </c>
      <c r="S449" s="30">
        <f>MBQ[[#This Row],[WIDTH (mm)]]*MBQ[[#This Row],[QTY TOTAL]]/1000</f>
        <v>1.2</v>
      </c>
      <c r="T449" s="9">
        <f>(MBQ[[#This Row],[HEIGHT (mm)]]+MBQ[[#This Row],[WIDTH (mm)]])/1000*2*MBQ[[#This Row],[QTY TOTAL]]</f>
        <v>4.4000000000000004</v>
      </c>
      <c r="U449" s="266">
        <f>MBQ[[#This Row],[MULTIPLIER]]*MBQ[[#This Row],[QTY]]</f>
        <v>1</v>
      </c>
      <c r="V449" s="9">
        <f>MBQ[[#This Row],[HEIGHT (mm)]]/1000*MBQ[[#This Row],[WIDTH (mm)]]/1000*MBQ[[#This Row],[QTY TOTAL]]</f>
        <v>1.2</v>
      </c>
      <c r="W449" s="287">
        <f>ROUNDUP(MBQ[[#This Row],[HEIGHT (mm)]]/450*MBQ[[#This Row],[QTY]]*2,0)+ROUNDUP(MBQ[[#This Row],[WIDTH (mm)]]/450*MBQ[[#This Row],[QTY]]*2,0)</f>
        <v>11</v>
      </c>
    </row>
    <row r="450" spans="1:23" hidden="1">
      <c r="A450" s="258">
        <v>1</v>
      </c>
      <c r="B450" s="276" t="s">
        <v>536</v>
      </c>
      <c r="C450" s="278" t="s">
        <v>554</v>
      </c>
      <c r="D450" s="277" t="s">
        <v>560</v>
      </c>
      <c r="E450" s="277" t="s">
        <v>557</v>
      </c>
      <c r="F450" s="261"/>
      <c r="G450" s="262"/>
      <c r="H450" s="262"/>
      <c r="I450" s="260" t="s">
        <v>441</v>
      </c>
      <c r="J450" s="263"/>
      <c r="K450" s="285" t="s">
        <v>591</v>
      </c>
      <c r="L450" s="260"/>
      <c r="M450" s="263"/>
      <c r="N450" s="263"/>
      <c r="O450" s="264">
        <v>1700</v>
      </c>
      <c r="P450" s="264">
        <v>3600</v>
      </c>
      <c r="Q450" s="265">
        <v>1</v>
      </c>
      <c r="R450" s="30">
        <f>MBQ[[#This Row],[HEIGHT (mm)]]*MBQ[[#This Row],[QTY TOTAL]]/1000</f>
        <v>1.7</v>
      </c>
      <c r="S450" s="30">
        <f>MBQ[[#This Row],[WIDTH (mm)]]*MBQ[[#This Row],[QTY TOTAL]]/1000</f>
        <v>3.6</v>
      </c>
      <c r="T450" s="9">
        <f>(MBQ[[#This Row],[HEIGHT (mm)]]+MBQ[[#This Row],[WIDTH (mm)]])/1000*2*MBQ[[#This Row],[QTY TOTAL]]</f>
        <v>10.6</v>
      </c>
      <c r="U450" s="266">
        <f>MBQ[[#This Row],[MULTIPLIER]]*MBQ[[#This Row],[QTY]]</f>
        <v>1</v>
      </c>
      <c r="V450" s="9">
        <f>MBQ[[#This Row],[HEIGHT (mm)]]/1000*MBQ[[#This Row],[WIDTH (mm)]]/1000*MBQ[[#This Row],[QTY TOTAL]]</f>
        <v>6.12</v>
      </c>
      <c r="W450" s="287">
        <f>ROUNDUP(MBQ[[#This Row],[HEIGHT (mm)]]/450*MBQ[[#This Row],[QTY]]*2,0)+ROUNDUP(MBQ[[#This Row],[WIDTH (mm)]]/450*MBQ[[#This Row],[QTY]]*2,0)</f>
        <v>24</v>
      </c>
    </row>
    <row r="451" spans="1:23" hidden="1">
      <c r="A451" s="258">
        <v>1</v>
      </c>
      <c r="B451" s="276" t="s">
        <v>536</v>
      </c>
      <c r="C451" s="278" t="s">
        <v>554</v>
      </c>
      <c r="D451" s="277" t="s">
        <v>560</v>
      </c>
      <c r="E451" s="277" t="s">
        <v>557</v>
      </c>
      <c r="F451" s="261"/>
      <c r="G451" s="262"/>
      <c r="H451" s="262"/>
      <c r="I451" s="260" t="s">
        <v>439</v>
      </c>
      <c r="J451" s="278" t="s">
        <v>443</v>
      </c>
      <c r="K451" s="285" t="s">
        <v>591</v>
      </c>
      <c r="L451" s="277" t="s">
        <v>556</v>
      </c>
      <c r="M451" s="263"/>
      <c r="N451" s="263"/>
      <c r="O451" s="264">
        <v>1700</v>
      </c>
      <c r="P451" s="264">
        <v>1200</v>
      </c>
      <c r="Q451" s="265">
        <v>1</v>
      </c>
      <c r="R451" s="30">
        <f>MBQ[[#This Row],[HEIGHT (mm)]]*MBQ[[#This Row],[QTY TOTAL]]/1000</f>
        <v>1.7</v>
      </c>
      <c r="S451" s="30">
        <f>MBQ[[#This Row],[WIDTH (mm)]]*MBQ[[#This Row],[QTY TOTAL]]/1000</f>
        <v>1.2</v>
      </c>
      <c r="T451" s="9">
        <f>(MBQ[[#This Row],[HEIGHT (mm)]]+MBQ[[#This Row],[WIDTH (mm)]])/1000*2*MBQ[[#This Row],[QTY TOTAL]]</f>
        <v>5.8</v>
      </c>
      <c r="U451" s="266">
        <f>MBQ[[#This Row],[MULTIPLIER]]*MBQ[[#This Row],[QTY]]</f>
        <v>1</v>
      </c>
      <c r="V451" s="9">
        <f>MBQ[[#This Row],[HEIGHT (mm)]]/1000*MBQ[[#This Row],[WIDTH (mm)]]/1000*MBQ[[#This Row],[QTY TOTAL]]</f>
        <v>2.04</v>
      </c>
      <c r="W451" s="287">
        <f>ROUNDUP(MBQ[[#This Row],[HEIGHT (mm)]]/450*MBQ[[#This Row],[QTY]]*2,0)+ROUNDUP(MBQ[[#This Row],[WIDTH (mm)]]/450*MBQ[[#This Row],[QTY]]*2,0)</f>
        <v>14</v>
      </c>
    </row>
    <row r="452" spans="1:23" hidden="1">
      <c r="A452" s="258">
        <v>1</v>
      </c>
      <c r="B452" s="276" t="s">
        <v>536</v>
      </c>
      <c r="C452" s="278" t="s">
        <v>554</v>
      </c>
      <c r="D452" s="277" t="s">
        <v>560</v>
      </c>
      <c r="E452" s="277" t="s">
        <v>557</v>
      </c>
      <c r="F452" s="261"/>
      <c r="G452" s="262"/>
      <c r="H452" s="262"/>
      <c r="I452" s="260" t="s">
        <v>439</v>
      </c>
      <c r="J452" s="278" t="s">
        <v>443</v>
      </c>
      <c r="K452" s="285" t="s">
        <v>591</v>
      </c>
      <c r="L452" s="277" t="s">
        <v>556</v>
      </c>
      <c r="M452" s="263"/>
      <c r="N452" s="263"/>
      <c r="O452" s="264">
        <v>1700</v>
      </c>
      <c r="P452" s="264">
        <v>1200</v>
      </c>
      <c r="Q452" s="265">
        <v>1</v>
      </c>
      <c r="R452" s="30">
        <f>MBQ[[#This Row],[HEIGHT (mm)]]*MBQ[[#This Row],[QTY TOTAL]]/1000</f>
        <v>1.7</v>
      </c>
      <c r="S452" s="30">
        <f>MBQ[[#This Row],[WIDTH (mm)]]*MBQ[[#This Row],[QTY TOTAL]]/1000</f>
        <v>1.2</v>
      </c>
      <c r="T452" s="9">
        <f>(MBQ[[#This Row],[HEIGHT (mm)]]+MBQ[[#This Row],[WIDTH (mm)]])/1000*2*MBQ[[#This Row],[QTY TOTAL]]</f>
        <v>5.8</v>
      </c>
      <c r="U452" s="266">
        <f>MBQ[[#This Row],[MULTIPLIER]]*MBQ[[#This Row],[QTY]]</f>
        <v>1</v>
      </c>
      <c r="V452" s="9">
        <f>MBQ[[#This Row],[HEIGHT (mm)]]/1000*MBQ[[#This Row],[WIDTH (mm)]]/1000*MBQ[[#This Row],[QTY TOTAL]]</f>
        <v>2.04</v>
      </c>
      <c r="W452" s="287">
        <f>ROUNDUP(MBQ[[#This Row],[HEIGHT (mm)]]/450*MBQ[[#This Row],[QTY]]*2,0)+ROUNDUP(MBQ[[#This Row],[WIDTH (mm)]]/450*MBQ[[#This Row],[QTY]]*2,0)</f>
        <v>14</v>
      </c>
    </row>
    <row r="453" spans="1:23" hidden="1">
      <c r="A453" s="258">
        <v>1</v>
      </c>
      <c r="B453" s="276" t="s">
        <v>536</v>
      </c>
      <c r="C453" s="278" t="s">
        <v>554</v>
      </c>
      <c r="D453" s="277" t="s">
        <v>560</v>
      </c>
      <c r="E453" s="277" t="s">
        <v>557</v>
      </c>
      <c r="F453" s="261"/>
      <c r="G453" s="262"/>
      <c r="H453" s="262"/>
      <c r="I453" s="260" t="s">
        <v>439</v>
      </c>
      <c r="J453" s="278" t="s">
        <v>443</v>
      </c>
      <c r="K453" s="285" t="s">
        <v>591</v>
      </c>
      <c r="L453" s="277" t="s">
        <v>556</v>
      </c>
      <c r="M453" s="263"/>
      <c r="N453" s="263"/>
      <c r="O453" s="264">
        <v>1700</v>
      </c>
      <c r="P453" s="264">
        <v>1200</v>
      </c>
      <c r="Q453" s="265">
        <v>1</v>
      </c>
      <c r="R453" s="30">
        <f>MBQ[[#This Row],[HEIGHT (mm)]]*MBQ[[#This Row],[QTY TOTAL]]/1000</f>
        <v>1.7</v>
      </c>
      <c r="S453" s="30">
        <f>MBQ[[#This Row],[WIDTH (mm)]]*MBQ[[#This Row],[QTY TOTAL]]/1000</f>
        <v>1.2</v>
      </c>
      <c r="T453" s="9">
        <f>(MBQ[[#This Row],[HEIGHT (mm)]]+MBQ[[#This Row],[WIDTH (mm)]])/1000*2*MBQ[[#This Row],[QTY TOTAL]]</f>
        <v>5.8</v>
      </c>
      <c r="U453" s="266">
        <f>MBQ[[#This Row],[MULTIPLIER]]*MBQ[[#This Row],[QTY]]</f>
        <v>1</v>
      </c>
      <c r="V453" s="9">
        <f>MBQ[[#This Row],[HEIGHT (mm)]]/1000*MBQ[[#This Row],[WIDTH (mm)]]/1000*MBQ[[#This Row],[QTY TOTAL]]</f>
        <v>2.04</v>
      </c>
      <c r="W453" s="287">
        <f>ROUNDUP(MBQ[[#This Row],[HEIGHT (mm)]]/450*MBQ[[#This Row],[QTY]]*2,0)+ROUNDUP(MBQ[[#This Row],[WIDTH (mm)]]/450*MBQ[[#This Row],[QTY]]*2,0)</f>
        <v>14</v>
      </c>
    </row>
    <row r="454" spans="1:23" hidden="1">
      <c r="A454" s="258">
        <v>1</v>
      </c>
      <c r="B454" s="276" t="s">
        <v>536</v>
      </c>
      <c r="C454" s="278" t="s">
        <v>554</v>
      </c>
      <c r="D454" s="277" t="s">
        <v>560</v>
      </c>
      <c r="E454" s="277" t="s">
        <v>557</v>
      </c>
      <c r="F454" s="261"/>
      <c r="G454" s="262"/>
      <c r="H454" s="262"/>
      <c r="I454" s="260" t="s">
        <v>442</v>
      </c>
      <c r="J454" s="278" t="s">
        <v>443</v>
      </c>
      <c r="K454" s="285" t="s">
        <v>591</v>
      </c>
      <c r="L454" s="277" t="s">
        <v>556</v>
      </c>
      <c r="M454" s="263"/>
      <c r="N454" s="263"/>
      <c r="O454" s="264">
        <v>1700</v>
      </c>
      <c r="P454" s="264">
        <v>1200</v>
      </c>
      <c r="Q454" s="265">
        <v>1</v>
      </c>
      <c r="R454" s="30">
        <f>MBQ[[#This Row],[HEIGHT (mm)]]*MBQ[[#This Row],[QTY TOTAL]]/1000</f>
        <v>1.7</v>
      </c>
      <c r="S454" s="30">
        <f>MBQ[[#This Row],[WIDTH (mm)]]*MBQ[[#This Row],[QTY TOTAL]]/1000</f>
        <v>1.2</v>
      </c>
      <c r="T454" s="9">
        <f>(MBQ[[#This Row],[HEIGHT (mm)]]+MBQ[[#This Row],[WIDTH (mm)]])/1000*2*MBQ[[#This Row],[QTY TOTAL]]</f>
        <v>5.8</v>
      </c>
      <c r="U454" s="266">
        <f>MBQ[[#This Row],[MULTIPLIER]]*MBQ[[#This Row],[QTY]]</f>
        <v>1</v>
      </c>
      <c r="V454" s="9">
        <f>MBQ[[#This Row],[HEIGHT (mm)]]/1000*MBQ[[#This Row],[WIDTH (mm)]]/1000*MBQ[[#This Row],[QTY TOTAL]]</f>
        <v>2.04</v>
      </c>
      <c r="W454" s="287">
        <f>ROUNDUP(MBQ[[#This Row],[HEIGHT (mm)]]/450*MBQ[[#This Row],[QTY]]*2,0)+ROUNDUP(MBQ[[#This Row],[WIDTH (mm)]]/450*MBQ[[#This Row],[QTY]]*2,0)</f>
        <v>14</v>
      </c>
    </row>
    <row r="455" spans="1:23" hidden="1">
      <c r="A455" s="258">
        <v>1</v>
      </c>
      <c r="B455" s="276" t="s">
        <v>536</v>
      </c>
      <c r="C455" s="278" t="s">
        <v>554</v>
      </c>
      <c r="D455" s="277" t="s">
        <v>560</v>
      </c>
      <c r="E455" s="277" t="s">
        <v>557</v>
      </c>
      <c r="F455" s="261"/>
      <c r="G455" s="262"/>
      <c r="H455" s="262"/>
      <c r="I455" s="260" t="s">
        <v>442</v>
      </c>
      <c r="J455" s="278" t="s">
        <v>443</v>
      </c>
      <c r="K455" s="285" t="s">
        <v>591</v>
      </c>
      <c r="L455" s="277" t="s">
        <v>556</v>
      </c>
      <c r="M455" s="263"/>
      <c r="N455" s="263"/>
      <c r="O455" s="264">
        <v>1700</v>
      </c>
      <c r="P455" s="264">
        <v>1200</v>
      </c>
      <c r="Q455" s="265">
        <v>1</v>
      </c>
      <c r="R455" s="30">
        <f>MBQ[[#This Row],[HEIGHT (mm)]]*MBQ[[#This Row],[QTY TOTAL]]/1000</f>
        <v>1.7</v>
      </c>
      <c r="S455" s="30">
        <f>MBQ[[#This Row],[WIDTH (mm)]]*MBQ[[#This Row],[QTY TOTAL]]/1000</f>
        <v>1.2</v>
      </c>
      <c r="T455" s="9">
        <f>(MBQ[[#This Row],[HEIGHT (mm)]]+MBQ[[#This Row],[WIDTH (mm)]])/1000*2*MBQ[[#This Row],[QTY TOTAL]]</f>
        <v>5.8</v>
      </c>
      <c r="U455" s="266">
        <f>MBQ[[#This Row],[MULTIPLIER]]*MBQ[[#This Row],[QTY]]</f>
        <v>1</v>
      </c>
      <c r="V455" s="9">
        <f>MBQ[[#This Row],[HEIGHT (mm)]]/1000*MBQ[[#This Row],[WIDTH (mm)]]/1000*MBQ[[#This Row],[QTY TOTAL]]</f>
        <v>2.04</v>
      </c>
      <c r="W455" s="287">
        <f>ROUNDUP(MBQ[[#This Row],[HEIGHT (mm)]]/450*MBQ[[#This Row],[QTY]]*2,0)+ROUNDUP(MBQ[[#This Row],[WIDTH (mm)]]/450*MBQ[[#This Row],[QTY]]*2,0)</f>
        <v>14</v>
      </c>
    </row>
    <row r="456" spans="1:23" hidden="1">
      <c r="A456" s="258">
        <v>1</v>
      </c>
      <c r="B456" s="276" t="s">
        <v>536</v>
      </c>
      <c r="C456" s="278" t="s">
        <v>554</v>
      </c>
      <c r="D456" s="277" t="s">
        <v>560</v>
      </c>
      <c r="E456" s="277" t="s">
        <v>557</v>
      </c>
      <c r="F456" s="261"/>
      <c r="G456" s="262"/>
      <c r="H456" s="262"/>
      <c r="I456" s="260" t="s">
        <v>442</v>
      </c>
      <c r="J456" s="278" t="s">
        <v>443</v>
      </c>
      <c r="K456" s="285" t="s">
        <v>591</v>
      </c>
      <c r="L456" s="277" t="s">
        <v>556</v>
      </c>
      <c r="M456" s="263"/>
      <c r="N456" s="263"/>
      <c r="O456" s="264">
        <v>1700</v>
      </c>
      <c r="P456" s="264">
        <v>1200</v>
      </c>
      <c r="Q456" s="265">
        <v>1</v>
      </c>
      <c r="R456" s="30">
        <f>MBQ[[#This Row],[HEIGHT (mm)]]*MBQ[[#This Row],[QTY TOTAL]]/1000</f>
        <v>1.7</v>
      </c>
      <c r="S456" s="30">
        <f>MBQ[[#This Row],[WIDTH (mm)]]*MBQ[[#This Row],[QTY TOTAL]]/1000</f>
        <v>1.2</v>
      </c>
      <c r="T456" s="9">
        <f>(MBQ[[#This Row],[HEIGHT (mm)]]+MBQ[[#This Row],[WIDTH (mm)]])/1000*2*MBQ[[#This Row],[QTY TOTAL]]</f>
        <v>5.8</v>
      </c>
      <c r="U456" s="266">
        <f>MBQ[[#This Row],[MULTIPLIER]]*MBQ[[#This Row],[QTY]]</f>
        <v>1</v>
      </c>
      <c r="V456" s="9">
        <f>MBQ[[#This Row],[HEIGHT (mm)]]/1000*MBQ[[#This Row],[WIDTH (mm)]]/1000*MBQ[[#This Row],[QTY TOTAL]]</f>
        <v>2.04</v>
      </c>
      <c r="W456" s="287">
        <f>ROUNDUP(MBQ[[#This Row],[HEIGHT (mm)]]/450*MBQ[[#This Row],[QTY]]*2,0)+ROUNDUP(MBQ[[#This Row],[WIDTH (mm)]]/450*MBQ[[#This Row],[QTY]]*2,0)</f>
        <v>14</v>
      </c>
    </row>
    <row r="457" spans="1:23" hidden="1">
      <c r="A457" s="258">
        <v>1</v>
      </c>
      <c r="B457" s="276" t="s">
        <v>536</v>
      </c>
      <c r="C457" s="278" t="s">
        <v>554</v>
      </c>
      <c r="D457" s="277" t="s">
        <v>559</v>
      </c>
      <c r="E457" s="277" t="s">
        <v>557</v>
      </c>
      <c r="F457" s="261"/>
      <c r="G457" s="262"/>
      <c r="H457" s="262"/>
      <c r="I457" s="260" t="s">
        <v>441</v>
      </c>
      <c r="J457" s="263"/>
      <c r="K457" s="285" t="s">
        <v>591</v>
      </c>
      <c r="L457" s="260"/>
      <c r="M457" s="263"/>
      <c r="N457" s="263"/>
      <c r="O457" s="264">
        <v>2700</v>
      </c>
      <c r="P457" s="264">
        <v>1200</v>
      </c>
      <c r="Q457" s="265">
        <v>1</v>
      </c>
      <c r="R457" s="30">
        <f>MBQ[[#This Row],[HEIGHT (mm)]]*MBQ[[#This Row],[QTY TOTAL]]/1000</f>
        <v>2.7</v>
      </c>
      <c r="S457" s="30">
        <f>MBQ[[#This Row],[WIDTH (mm)]]*MBQ[[#This Row],[QTY TOTAL]]/1000</f>
        <v>1.2</v>
      </c>
      <c r="T457" s="9">
        <f>(MBQ[[#This Row],[HEIGHT (mm)]]+MBQ[[#This Row],[WIDTH (mm)]])/1000*2*MBQ[[#This Row],[QTY TOTAL]]</f>
        <v>7.8</v>
      </c>
      <c r="U457" s="266">
        <f>MBQ[[#This Row],[MULTIPLIER]]*MBQ[[#This Row],[QTY]]</f>
        <v>1</v>
      </c>
      <c r="V457" s="9">
        <f>MBQ[[#This Row],[HEIGHT (mm)]]/1000*MBQ[[#This Row],[WIDTH (mm)]]/1000*MBQ[[#This Row],[QTY TOTAL]]</f>
        <v>3.24</v>
      </c>
      <c r="W457" s="287">
        <f>ROUNDUP(MBQ[[#This Row],[HEIGHT (mm)]]/450*MBQ[[#This Row],[QTY]]*2,0)+ROUNDUP(MBQ[[#This Row],[WIDTH (mm)]]/450*MBQ[[#This Row],[QTY]]*2,0)</f>
        <v>18</v>
      </c>
    </row>
    <row r="458" spans="1:23" ht="30" hidden="1">
      <c r="A458" s="258">
        <v>1</v>
      </c>
      <c r="B458" s="276" t="s">
        <v>536</v>
      </c>
      <c r="C458" s="278" t="s">
        <v>554</v>
      </c>
      <c r="D458" s="277" t="s">
        <v>559</v>
      </c>
      <c r="E458" s="277" t="s">
        <v>557</v>
      </c>
      <c r="F458" s="261"/>
      <c r="G458" s="262"/>
      <c r="H458" s="262"/>
      <c r="I458" s="260" t="s">
        <v>439</v>
      </c>
      <c r="J458" s="278" t="s">
        <v>558</v>
      </c>
      <c r="K458" s="285" t="s">
        <v>591</v>
      </c>
      <c r="L458" s="277" t="s">
        <v>556</v>
      </c>
      <c r="M458" s="263"/>
      <c r="N458" s="263"/>
      <c r="O458" s="264">
        <v>2700</v>
      </c>
      <c r="P458" s="264">
        <v>1200</v>
      </c>
      <c r="Q458" s="265">
        <v>1</v>
      </c>
      <c r="R458" s="30">
        <f>MBQ[[#This Row],[HEIGHT (mm)]]*MBQ[[#This Row],[QTY TOTAL]]/1000</f>
        <v>2.7</v>
      </c>
      <c r="S458" s="30">
        <f>MBQ[[#This Row],[WIDTH (mm)]]*MBQ[[#This Row],[QTY TOTAL]]/1000</f>
        <v>1.2</v>
      </c>
      <c r="T458" s="9">
        <f>(MBQ[[#This Row],[HEIGHT (mm)]]+MBQ[[#This Row],[WIDTH (mm)]])/1000*2*MBQ[[#This Row],[QTY TOTAL]]</f>
        <v>7.8</v>
      </c>
      <c r="U458" s="266">
        <f>MBQ[[#This Row],[MULTIPLIER]]*MBQ[[#This Row],[QTY]]</f>
        <v>1</v>
      </c>
      <c r="V458" s="9">
        <f>MBQ[[#This Row],[HEIGHT (mm)]]/1000*MBQ[[#This Row],[WIDTH (mm)]]/1000*MBQ[[#This Row],[QTY TOTAL]]</f>
        <v>3.24</v>
      </c>
      <c r="W458" s="287">
        <f>ROUNDUP(MBQ[[#This Row],[HEIGHT (mm)]]/450*MBQ[[#This Row],[QTY]]*2,0)+ROUNDUP(MBQ[[#This Row],[WIDTH (mm)]]/450*MBQ[[#This Row],[QTY]]*2,0)</f>
        <v>18</v>
      </c>
    </row>
    <row r="459" spans="1:23" ht="30" hidden="1">
      <c r="A459" s="258">
        <v>1</v>
      </c>
      <c r="B459" s="276" t="s">
        <v>536</v>
      </c>
      <c r="C459" s="278" t="s">
        <v>554</v>
      </c>
      <c r="D459" s="277" t="s">
        <v>559</v>
      </c>
      <c r="E459" s="277" t="s">
        <v>557</v>
      </c>
      <c r="F459" s="261"/>
      <c r="G459" s="262"/>
      <c r="H459" s="262"/>
      <c r="I459" s="260" t="s">
        <v>442</v>
      </c>
      <c r="J459" s="278" t="s">
        <v>558</v>
      </c>
      <c r="K459" s="285" t="s">
        <v>591</v>
      </c>
      <c r="L459" s="277" t="s">
        <v>556</v>
      </c>
      <c r="M459" s="263"/>
      <c r="N459" s="263"/>
      <c r="O459" s="264">
        <v>2700</v>
      </c>
      <c r="P459" s="264">
        <v>1200</v>
      </c>
      <c r="Q459" s="265">
        <v>1</v>
      </c>
      <c r="R459" s="30">
        <f>MBQ[[#This Row],[HEIGHT (mm)]]*MBQ[[#This Row],[QTY TOTAL]]/1000</f>
        <v>2.7</v>
      </c>
      <c r="S459" s="30">
        <f>MBQ[[#This Row],[WIDTH (mm)]]*MBQ[[#This Row],[QTY TOTAL]]/1000</f>
        <v>1.2</v>
      </c>
      <c r="T459" s="9">
        <f>(MBQ[[#This Row],[HEIGHT (mm)]]+MBQ[[#This Row],[WIDTH (mm)]])/1000*2*MBQ[[#This Row],[QTY TOTAL]]</f>
        <v>7.8</v>
      </c>
      <c r="U459" s="266">
        <f>MBQ[[#This Row],[MULTIPLIER]]*MBQ[[#This Row],[QTY]]</f>
        <v>1</v>
      </c>
      <c r="V459" s="9">
        <f>MBQ[[#This Row],[HEIGHT (mm)]]/1000*MBQ[[#This Row],[WIDTH (mm)]]/1000*MBQ[[#This Row],[QTY TOTAL]]</f>
        <v>3.24</v>
      </c>
      <c r="W459" s="287">
        <f>ROUNDUP(MBQ[[#This Row],[HEIGHT (mm)]]/450*MBQ[[#This Row],[QTY]]*2,0)+ROUNDUP(MBQ[[#This Row],[WIDTH (mm)]]/450*MBQ[[#This Row],[QTY]]*2,0)</f>
        <v>18</v>
      </c>
    </row>
    <row r="460" spans="1:23" hidden="1">
      <c r="A460" s="258">
        <v>1</v>
      </c>
      <c r="B460" s="276" t="s">
        <v>536</v>
      </c>
      <c r="C460" s="278" t="s">
        <v>554</v>
      </c>
      <c r="D460" s="277" t="s">
        <v>561</v>
      </c>
      <c r="E460" s="277" t="s">
        <v>557</v>
      </c>
      <c r="F460" s="261"/>
      <c r="G460" s="262"/>
      <c r="H460" s="262"/>
      <c r="I460" s="260" t="s">
        <v>441</v>
      </c>
      <c r="J460" s="263"/>
      <c r="K460" s="285" t="s">
        <v>591</v>
      </c>
      <c r="L460" s="260"/>
      <c r="M460" s="263"/>
      <c r="N460" s="263"/>
      <c r="O460" s="264">
        <v>1700</v>
      </c>
      <c r="P460" s="264">
        <v>4800</v>
      </c>
      <c r="Q460" s="265">
        <v>1</v>
      </c>
      <c r="R460" s="30">
        <f>MBQ[[#This Row],[HEIGHT (mm)]]*MBQ[[#This Row],[QTY TOTAL]]/1000</f>
        <v>1.7</v>
      </c>
      <c r="S460" s="30">
        <f>MBQ[[#This Row],[WIDTH (mm)]]*MBQ[[#This Row],[QTY TOTAL]]/1000</f>
        <v>4.8</v>
      </c>
      <c r="T460" s="9">
        <f>(MBQ[[#This Row],[HEIGHT (mm)]]+MBQ[[#This Row],[WIDTH (mm)]])/1000*2*MBQ[[#This Row],[QTY TOTAL]]</f>
        <v>13</v>
      </c>
      <c r="U460" s="266">
        <f>MBQ[[#This Row],[MULTIPLIER]]*MBQ[[#This Row],[QTY]]</f>
        <v>1</v>
      </c>
      <c r="V460" s="9">
        <f>MBQ[[#This Row],[HEIGHT (mm)]]/1000*MBQ[[#This Row],[WIDTH (mm)]]/1000*MBQ[[#This Row],[QTY TOTAL]]</f>
        <v>8.16</v>
      </c>
      <c r="W460" s="287">
        <f>ROUNDUP(MBQ[[#This Row],[HEIGHT (mm)]]/450*MBQ[[#This Row],[QTY]]*2,0)+ROUNDUP(MBQ[[#This Row],[WIDTH (mm)]]/450*MBQ[[#This Row],[QTY]]*2,0)</f>
        <v>30</v>
      </c>
    </row>
    <row r="461" spans="1:23" hidden="1">
      <c r="A461" s="258">
        <v>1</v>
      </c>
      <c r="B461" s="276" t="s">
        <v>536</v>
      </c>
      <c r="C461" s="278" t="s">
        <v>554</v>
      </c>
      <c r="D461" s="277" t="s">
        <v>561</v>
      </c>
      <c r="E461" s="277" t="s">
        <v>557</v>
      </c>
      <c r="F461" s="261"/>
      <c r="G461" s="262"/>
      <c r="H461" s="262"/>
      <c r="I461" s="260" t="s">
        <v>439</v>
      </c>
      <c r="J461" s="278" t="s">
        <v>443</v>
      </c>
      <c r="K461" s="285" t="s">
        <v>591</v>
      </c>
      <c r="L461" s="277" t="s">
        <v>556</v>
      </c>
      <c r="M461" s="263"/>
      <c r="N461" s="263"/>
      <c r="O461" s="264">
        <v>1700</v>
      </c>
      <c r="P461" s="264">
        <v>1200</v>
      </c>
      <c r="Q461" s="265">
        <v>1</v>
      </c>
      <c r="R461" s="30">
        <f>MBQ[[#This Row],[HEIGHT (mm)]]*MBQ[[#This Row],[QTY TOTAL]]/1000</f>
        <v>1.7</v>
      </c>
      <c r="S461" s="30">
        <f>MBQ[[#This Row],[WIDTH (mm)]]*MBQ[[#This Row],[QTY TOTAL]]/1000</f>
        <v>1.2</v>
      </c>
      <c r="T461" s="9">
        <f>(MBQ[[#This Row],[HEIGHT (mm)]]+MBQ[[#This Row],[WIDTH (mm)]])/1000*2*MBQ[[#This Row],[QTY TOTAL]]</f>
        <v>5.8</v>
      </c>
      <c r="U461" s="266">
        <f>MBQ[[#This Row],[MULTIPLIER]]*MBQ[[#This Row],[QTY]]</f>
        <v>1</v>
      </c>
      <c r="V461" s="9">
        <f>MBQ[[#This Row],[HEIGHT (mm)]]/1000*MBQ[[#This Row],[WIDTH (mm)]]/1000*MBQ[[#This Row],[QTY TOTAL]]</f>
        <v>2.04</v>
      </c>
      <c r="W461" s="287">
        <f>ROUNDUP(MBQ[[#This Row],[HEIGHT (mm)]]/450*MBQ[[#This Row],[QTY]]*2,0)+ROUNDUP(MBQ[[#This Row],[WIDTH (mm)]]/450*MBQ[[#This Row],[QTY]]*2,0)</f>
        <v>14</v>
      </c>
    </row>
    <row r="462" spans="1:23" hidden="1">
      <c r="A462" s="258">
        <v>1</v>
      </c>
      <c r="B462" s="276" t="s">
        <v>536</v>
      </c>
      <c r="C462" s="278" t="s">
        <v>554</v>
      </c>
      <c r="D462" s="277" t="s">
        <v>561</v>
      </c>
      <c r="E462" s="277" t="s">
        <v>557</v>
      </c>
      <c r="F462" s="261"/>
      <c r="G462" s="262"/>
      <c r="H462" s="262"/>
      <c r="I462" s="260" t="s">
        <v>439</v>
      </c>
      <c r="J462" s="278" t="s">
        <v>443</v>
      </c>
      <c r="K462" s="285" t="s">
        <v>591</v>
      </c>
      <c r="L462" s="277" t="s">
        <v>556</v>
      </c>
      <c r="M462" s="263"/>
      <c r="N462" s="263"/>
      <c r="O462" s="264">
        <v>1700</v>
      </c>
      <c r="P462" s="264">
        <v>1200</v>
      </c>
      <c r="Q462" s="265">
        <v>1</v>
      </c>
      <c r="R462" s="30">
        <f>MBQ[[#This Row],[HEIGHT (mm)]]*MBQ[[#This Row],[QTY TOTAL]]/1000</f>
        <v>1.7</v>
      </c>
      <c r="S462" s="30">
        <f>MBQ[[#This Row],[WIDTH (mm)]]*MBQ[[#This Row],[QTY TOTAL]]/1000</f>
        <v>1.2</v>
      </c>
      <c r="T462" s="9">
        <f>(MBQ[[#This Row],[HEIGHT (mm)]]+MBQ[[#This Row],[WIDTH (mm)]])/1000*2*MBQ[[#This Row],[QTY TOTAL]]</f>
        <v>5.8</v>
      </c>
      <c r="U462" s="266">
        <f>MBQ[[#This Row],[MULTIPLIER]]*MBQ[[#This Row],[QTY]]</f>
        <v>1</v>
      </c>
      <c r="V462" s="9">
        <f>MBQ[[#This Row],[HEIGHT (mm)]]/1000*MBQ[[#This Row],[WIDTH (mm)]]/1000*MBQ[[#This Row],[QTY TOTAL]]</f>
        <v>2.04</v>
      </c>
      <c r="W462" s="287">
        <f>ROUNDUP(MBQ[[#This Row],[HEIGHT (mm)]]/450*MBQ[[#This Row],[QTY]]*2,0)+ROUNDUP(MBQ[[#This Row],[WIDTH (mm)]]/450*MBQ[[#This Row],[QTY]]*2,0)</f>
        <v>14</v>
      </c>
    </row>
    <row r="463" spans="1:23" hidden="1">
      <c r="A463" s="258">
        <v>1</v>
      </c>
      <c r="B463" s="276" t="s">
        <v>536</v>
      </c>
      <c r="C463" s="278" t="s">
        <v>554</v>
      </c>
      <c r="D463" s="277" t="s">
        <v>561</v>
      </c>
      <c r="E463" s="277" t="s">
        <v>557</v>
      </c>
      <c r="F463" s="261"/>
      <c r="G463" s="262"/>
      <c r="H463" s="262"/>
      <c r="I463" s="260" t="s">
        <v>439</v>
      </c>
      <c r="J463" s="278" t="s">
        <v>443</v>
      </c>
      <c r="K463" s="285" t="s">
        <v>591</v>
      </c>
      <c r="L463" s="277" t="s">
        <v>556</v>
      </c>
      <c r="M463" s="263"/>
      <c r="N463" s="263"/>
      <c r="O463" s="264">
        <v>1700</v>
      </c>
      <c r="P463" s="264">
        <v>1200</v>
      </c>
      <c r="Q463" s="265">
        <v>1</v>
      </c>
      <c r="R463" s="30">
        <f>MBQ[[#This Row],[HEIGHT (mm)]]*MBQ[[#This Row],[QTY TOTAL]]/1000</f>
        <v>1.7</v>
      </c>
      <c r="S463" s="30">
        <f>MBQ[[#This Row],[WIDTH (mm)]]*MBQ[[#This Row],[QTY TOTAL]]/1000</f>
        <v>1.2</v>
      </c>
      <c r="T463" s="9">
        <f>(MBQ[[#This Row],[HEIGHT (mm)]]+MBQ[[#This Row],[WIDTH (mm)]])/1000*2*MBQ[[#This Row],[QTY TOTAL]]</f>
        <v>5.8</v>
      </c>
      <c r="U463" s="266">
        <f>MBQ[[#This Row],[MULTIPLIER]]*MBQ[[#This Row],[QTY]]</f>
        <v>1</v>
      </c>
      <c r="V463" s="9">
        <f>MBQ[[#This Row],[HEIGHT (mm)]]/1000*MBQ[[#This Row],[WIDTH (mm)]]/1000*MBQ[[#This Row],[QTY TOTAL]]</f>
        <v>2.04</v>
      </c>
      <c r="W463" s="287">
        <f>ROUNDUP(MBQ[[#This Row],[HEIGHT (mm)]]/450*MBQ[[#This Row],[QTY]]*2,0)+ROUNDUP(MBQ[[#This Row],[WIDTH (mm)]]/450*MBQ[[#This Row],[QTY]]*2,0)</f>
        <v>14</v>
      </c>
    </row>
    <row r="464" spans="1:23" hidden="1">
      <c r="A464" s="258">
        <v>1</v>
      </c>
      <c r="B464" s="276" t="s">
        <v>536</v>
      </c>
      <c r="C464" s="278" t="s">
        <v>554</v>
      </c>
      <c r="D464" s="277" t="s">
        <v>561</v>
      </c>
      <c r="E464" s="277" t="s">
        <v>557</v>
      </c>
      <c r="F464" s="261"/>
      <c r="G464" s="262"/>
      <c r="H464" s="262"/>
      <c r="I464" s="260" t="s">
        <v>439</v>
      </c>
      <c r="J464" s="278" t="s">
        <v>443</v>
      </c>
      <c r="K464" s="285" t="s">
        <v>591</v>
      </c>
      <c r="L464" s="277" t="s">
        <v>556</v>
      </c>
      <c r="M464" s="263"/>
      <c r="N464" s="263"/>
      <c r="O464" s="264">
        <v>1700</v>
      </c>
      <c r="P464" s="264">
        <v>1200</v>
      </c>
      <c r="Q464" s="265">
        <v>1</v>
      </c>
      <c r="R464" s="30">
        <f>MBQ[[#This Row],[HEIGHT (mm)]]*MBQ[[#This Row],[QTY TOTAL]]/1000</f>
        <v>1.7</v>
      </c>
      <c r="S464" s="30">
        <f>MBQ[[#This Row],[WIDTH (mm)]]*MBQ[[#This Row],[QTY TOTAL]]/1000</f>
        <v>1.2</v>
      </c>
      <c r="T464" s="9">
        <f>(MBQ[[#This Row],[HEIGHT (mm)]]+MBQ[[#This Row],[WIDTH (mm)]])/1000*2*MBQ[[#This Row],[QTY TOTAL]]</f>
        <v>5.8</v>
      </c>
      <c r="U464" s="266">
        <f>MBQ[[#This Row],[MULTIPLIER]]*MBQ[[#This Row],[QTY]]</f>
        <v>1</v>
      </c>
      <c r="V464" s="9">
        <f>MBQ[[#This Row],[HEIGHT (mm)]]/1000*MBQ[[#This Row],[WIDTH (mm)]]/1000*MBQ[[#This Row],[QTY TOTAL]]</f>
        <v>2.04</v>
      </c>
      <c r="W464" s="287">
        <f>ROUNDUP(MBQ[[#This Row],[HEIGHT (mm)]]/450*MBQ[[#This Row],[QTY]]*2,0)+ROUNDUP(MBQ[[#This Row],[WIDTH (mm)]]/450*MBQ[[#This Row],[QTY]]*2,0)</f>
        <v>14</v>
      </c>
    </row>
    <row r="465" spans="1:23" hidden="1">
      <c r="A465" s="258">
        <v>1</v>
      </c>
      <c r="B465" s="276" t="s">
        <v>536</v>
      </c>
      <c r="C465" s="278" t="s">
        <v>554</v>
      </c>
      <c r="D465" s="277" t="s">
        <v>561</v>
      </c>
      <c r="E465" s="277" t="s">
        <v>557</v>
      </c>
      <c r="F465" s="261"/>
      <c r="G465" s="262"/>
      <c r="H465" s="262"/>
      <c r="I465" s="260" t="s">
        <v>442</v>
      </c>
      <c r="J465" s="278" t="s">
        <v>443</v>
      </c>
      <c r="K465" s="285" t="s">
        <v>591</v>
      </c>
      <c r="L465" s="277" t="s">
        <v>556</v>
      </c>
      <c r="M465" s="263"/>
      <c r="N465" s="263"/>
      <c r="O465" s="264">
        <v>1700</v>
      </c>
      <c r="P465" s="264">
        <v>1200</v>
      </c>
      <c r="Q465" s="265">
        <v>1</v>
      </c>
      <c r="R465" s="30">
        <f>MBQ[[#This Row],[HEIGHT (mm)]]*MBQ[[#This Row],[QTY TOTAL]]/1000</f>
        <v>1.7</v>
      </c>
      <c r="S465" s="30">
        <f>MBQ[[#This Row],[WIDTH (mm)]]*MBQ[[#This Row],[QTY TOTAL]]/1000</f>
        <v>1.2</v>
      </c>
      <c r="T465" s="9">
        <f>(MBQ[[#This Row],[HEIGHT (mm)]]+MBQ[[#This Row],[WIDTH (mm)]])/1000*2*MBQ[[#This Row],[QTY TOTAL]]</f>
        <v>5.8</v>
      </c>
      <c r="U465" s="266">
        <f>MBQ[[#This Row],[MULTIPLIER]]*MBQ[[#This Row],[QTY]]</f>
        <v>1</v>
      </c>
      <c r="V465" s="9">
        <f>MBQ[[#This Row],[HEIGHT (mm)]]/1000*MBQ[[#This Row],[WIDTH (mm)]]/1000*MBQ[[#This Row],[QTY TOTAL]]</f>
        <v>2.04</v>
      </c>
      <c r="W465" s="287">
        <f>ROUNDUP(MBQ[[#This Row],[HEIGHT (mm)]]/450*MBQ[[#This Row],[QTY]]*2,0)+ROUNDUP(MBQ[[#This Row],[WIDTH (mm)]]/450*MBQ[[#This Row],[QTY]]*2,0)</f>
        <v>14</v>
      </c>
    </row>
    <row r="466" spans="1:23" hidden="1">
      <c r="A466" s="258">
        <v>1</v>
      </c>
      <c r="B466" s="276" t="s">
        <v>536</v>
      </c>
      <c r="C466" s="278" t="s">
        <v>554</v>
      </c>
      <c r="D466" s="277" t="s">
        <v>561</v>
      </c>
      <c r="E466" s="277" t="s">
        <v>557</v>
      </c>
      <c r="F466" s="261"/>
      <c r="G466" s="262"/>
      <c r="H466" s="262"/>
      <c r="I466" s="260" t="s">
        <v>442</v>
      </c>
      <c r="J466" s="278" t="s">
        <v>443</v>
      </c>
      <c r="K466" s="285" t="s">
        <v>591</v>
      </c>
      <c r="L466" s="277" t="s">
        <v>556</v>
      </c>
      <c r="M466" s="263"/>
      <c r="N466" s="263"/>
      <c r="O466" s="264">
        <v>1700</v>
      </c>
      <c r="P466" s="264">
        <v>1200</v>
      </c>
      <c r="Q466" s="265">
        <v>1</v>
      </c>
      <c r="R466" s="30">
        <f>MBQ[[#This Row],[HEIGHT (mm)]]*MBQ[[#This Row],[QTY TOTAL]]/1000</f>
        <v>1.7</v>
      </c>
      <c r="S466" s="30">
        <f>MBQ[[#This Row],[WIDTH (mm)]]*MBQ[[#This Row],[QTY TOTAL]]/1000</f>
        <v>1.2</v>
      </c>
      <c r="T466" s="9">
        <f>(MBQ[[#This Row],[HEIGHT (mm)]]+MBQ[[#This Row],[WIDTH (mm)]])/1000*2*MBQ[[#This Row],[QTY TOTAL]]</f>
        <v>5.8</v>
      </c>
      <c r="U466" s="266">
        <f>MBQ[[#This Row],[MULTIPLIER]]*MBQ[[#This Row],[QTY]]</f>
        <v>1</v>
      </c>
      <c r="V466" s="9">
        <f>MBQ[[#This Row],[HEIGHT (mm)]]/1000*MBQ[[#This Row],[WIDTH (mm)]]/1000*MBQ[[#This Row],[QTY TOTAL]]</f>
        <v>2.04</v>
      </c>
      <c r="W466" s="287">
        <f>ROUNDUP(MBQ[[#This Row],[HEIGHT (mm)]]/450*MBQ[[#This Row],[QTY]]*2,0)+ROUNDUP(MBQ[[#This Row],[WIDTH (mm)]]/450*MBQ[[#This Row],[QTY]]*2,0)</f>
        <v>14</v>
      </c>
    </row>
    <row r="467" spans="1:23" hidden="1">
      <c r="A467" s="258">
        <v>1</v>
      </c>
      <c r="B467" s="276" t="s">
        <v>536</v>
      </c>
      <c r="C467" s="278" t="s">
        <v>554</v>
      </c>
      <c r="D467" s="277" t="s">
        <v>561</v>
      </c>
      <c r="E467" s="277" t="s">
        <v>557</v>
      </c>
      <c r="F467" s="261"/>
      <c r="G467" s="262"/>
      <c r="H467" s="262"/>
      <c r="I467" s="260" t="s">
        <v>442</v>
      </c>
      <c r="J467" s="278" t="s">
        <v>443</v>
      </c>
      <c r="K467" s="285" t="s">
        <v>591</v>
      </c>
      <c r="L467" s="277" t="s">
        <v>556</v>
      </c>
      <c r="M467" s="263"/>
      <c r="N467" s="263"/>
      <c r="O467" s="264">
        <v>1700</v>
      </c>
      <c r="P467" s="264">
        <v>1200</v>
      </c>
      <c r="Q467" s="265">
        <v>1</v>
      </c>
      <c r="R467" s="30">
        <f>MBQ[[#This Row],[HEIGHT (mm)]]*MBQ[[#This Row],[QTY TOTAL]]/1000</f>
        <v>1.7</v>
      </c>
      <c r="S467" s="30">
        <f>MBQ[[#This Row],[WIDTH (mm)]]*MBQ[[#This Row],[QTY TOTAL]]/1000</f>
        <v>1.2</v>
      </c>
      <c r="T467" s="9">
        <f>(MBQ[[#This Row],[HEIGHT (mm)]]+MBQ[[#This Row],[WIDTH (mm)]])/1000*2*MBQ[[#This Row],[QTY TOTAL]]</f>
        <v>5.8</v>
      </c>
      <c r="U467" s="266">
        <f>MBQ[[#This Row],[MULTIPLIER]]*MBQ[[#This Row],[QTY]]</f>
        <v>1</v>
      </c>
      <c r="V467" s="9">
        <f>MBQ[[#This Row],[HEIGHT (mm)]]/1000*MBQ[[#This Row],[WIDTH (mm)]]/1000*MBQ[[#This Row],[QTY TOTAL]]</f>
        <v>2.04</v>
      </c>
      <c r="W467" s="287">
        <f>ROUNDUP(MBQ[[#This Row],[HEIGHT (mm)]]/450*MBQ[[#This Row],[QTY]]*2,0)+ROUNDUP(MBQ[[#This Row],[WIDTH (mm)]]/450*MBQ[[#This Row],[QTY]]*2,0)</f>
        <v>14</v>
      </c>
    </row>
    <row r="468" spans="1:23" hidden="1">
      <c r="A468" s="258">
        <v>1</v>
      </c>
      <c r="B468" s="276" t="s">
        <v>536</v>
      </c>
      <c r="C468" s="278" t="s">
        <v>554</v>
      </c>
      <c r="D468" s="277" t="s">
        <v>561</v>
      </c>
      <c r="E468" s="277" t="s">
        <v>557</v>
      </c>
      <c r="F468" s="261"/>
      <c r="G468" s="262"/>
      <c r="H468" s="262"/>
      <c r="I468" s="260" t="s">
        <v>442</v>
      </c>
      <c r="J468" s="278" t="s">
        <v>443</v>
      </c>
      <c r="K468" s="285" t="s">
        <v>591</v>
      </c>
      <c r="L468" s="277" t="s">
        <v>556</v>
      </c>
      <c r="M468" s="263"/>
      <c r="N468" s="263"/>
      <c r="O468" s="264">
        <v>1700</v>
      </c>
      <c r="P468" s="264">
        <v>1200</v>
      </c>
      <c r="Q468" s="265">
        <v>1</v>
      </c>
      <c r="R468" s="30">
        <f>MBQ[[#This Row],[HEIGHT (mm)]]*MBQ[[#This Row],[QTY TOTAL]]/1000</f>
        <v>1.7</v>
      </c>
      <c r="S468" s="30">
        <f>MBQ[[#This Row],[WIDTH (mm)]]*MBQ[[#This Row],[QTY TOTAL]]/1000</f>
        <v>1.2</v>
      </c>
      <c r="T468" s="9">
        <f>(MBQ[[#This Row],[HEIGHT (mm)]]+MBQ[[#This Row],[WIDTH (mm)]])/1000*2*MBQ[[#This Row],[QTY TOTAL]]</f>
        <v>5.8</v>
      </c>
      <c r="U468" s="266">
        <f>MBQ[[#This Row],[MULTIPLIER]]*MBQ[[#This Row],[QTY]]</f>
        <v>1</v>
      </c>
      <c r="V468" s="9">
        <f>MBQ[[#This Row],[HEIGHT (mm)]]/1000*MBQ[[#This Row],[WIDTH (mm)]]/1000*MBQ[[#This Row],[QTY TOTAL]]</f>
        <v>2.04</v>
      </c>
      <c r="W468" s="287">
        <f>ROUNDUP(MBQ[[#This Row],[HEIGHT (mm)]]/450*MBQ[[#This Row],[QTY]]*2,0)+ROUNDUP(MBQ[[#This Row],[WIDTH (mm)]]/450*MBQ[[#This Row],[QTY]]*2,0)</f>
        <v>14</v>
      </c>
    </row>
    <row r="469" spans="1:23" hidden="1">
      <c r="A469" s="258">
        <v>1</v>
      </c>
      <c r="B469" s="276" t="s">
        <v>536</v>
      </c>
      <c r="C469" s="278" t="s">
        <v>554</v>
      </c>
      <c r="D469" s="277" t="s">
        <v>562</v>
      </c>
      <c r="E469" s="277" t="s">
        <v>557</v>
      </c>
      <c r="F469" s="261"/>
      <c r="G469" s="262"/>
      <c r="H469" s="262"/>
      <c r="I469" s="260" t="s">
        <v>441</v>
      </c>
      <c r="J469" s="263"/>
      <c r="K469" s="285" t="s">
        <v>591</v>
      </c>
      <c r="L469" s="260"/>
      <c r="M469" s="263"/>
      <c r="N469" s="263"/>
      <c r="O469" s="264">
        <v>1700</v>
      </c>
      <c r="P469" s="264">
        <v>1200</v>
      </c>
      <c r="Q469" s="265">
        <v>1</v>
      </c>
      <c r="R469" s="30">
        <f>MBQ[[#This Row],[HEIGHT (mm)]]*MBQ[[#This Row],[QTY TOTAL]]/1000</f>
        <v>1.7</v>
      </c>
      <c r="S469" s="30">
        <f>MBQ[[#This Row],[WIDTH (mm)]]*MBQ[[#This Row],[QTY TOTAL]]/1000</f>
        <v>1.2</v>
      </c>
      <c r="T469" s="9">
        <f>(MBQ[[#This Row],[HEIGHT (mm)]]+MBQ[[#This Row],[WIDTH (mm)]])/1000*2*MBQ[[#This Row],[QTY TOTAL]]</f>
        <v>5.8</v>
      </c>
      <c r="U469" s="266">
        <f>MBQ[[#This Row],[MULTIPLIER]]*MBQ[[#This Row],[QTY]]</f>
        <v>1</v>
      </c>
      <c r="V469" s="9">
        <f>MBQ[[#This Row],[HEIGHT (mm)]]/1000*MBQ[[#This Row],[WIDTH (mm)]]/1000*MBQ[[#This Row],[QTY TOTAL]]</f>
        <v>2.04</v>
      </c>
      <c r="W469" s="287">
        <f>ROUNDUP(MBQ[[#This Row],[HEIGHT (mm)]]/450*MBQ[[#This Row],[QTY]]*2,0)+ROUNDUP(MBQ[[#This Row],[WIDTH (mm)]]/450*MBQ[[#This Row],[QTY]]*2,0)</f>
        <v>14</v>
      </c>
    </row>
    <row r="470" spans="1:23" hidden="1">
      <c r="A470" s="258">
        <v>1</v>
      </c>
      <c r="B470" s="276" t="s">
        <v>536</v>
      </c>
      <c r="C470" s="278" t="s">
        <v>554</v>
      </c>
      <c r="D470" s="277" t="s">
        <v>562</v>
      </c>
      <c r="E470" s="277" t="s">
        <v>557</v>
      </c>
      <c r="F470" s="261"/>
      <c r="G470" s="262"/>
      <c r="H470" s="262"/>
      <c r="I470" s="260" t="s">
        <v>439</v>
      </c>
      <c r="J470" s="278" t="s">
        <v>443</v>
      </c>
      <c r="K470" s="285" t="s">
        <v>591</v>
      </c>
      <c r="L470" s="277" t="s">
        <v>556</v>
      </c>
      <c r="M470" s="263"/>
      <c r="N470" s="263"/>
      <c r="O470" s="264">
        <v>1700</v>
      </c>
      <c r="P470" s="264">
        <v>1200</v>
      </c>
      <c r="Q470" s="265">
        <v>1</v>
      </c>
      <c r="R470" s="30">
        <f>MBQ[[#This Row],[HEIGHT (mm)]]*MBQ[[#This Row],[QTY TOTAL]]/1000</f>
        <v>1.7</v>
      </c>
      <c r="S470" s="30">
        <f>MBQ[[#This Row],[WIDTH (mm)]]*MBQ[[#This Row],[QTY TOTAL]]/1000</f>
        <v>1.2</v>
      </c>
      <c r="T470" s="9">
        <f>(MBQ[[#This Row],[HEIGHT (mm)]]+MBQ[[#This Row],[WIDTH (mm)]])/1000*2*MBQ[[#This Row],[QTY TOTAL]]</f>
        <v>5.8</v>
      </c>
      <c r="U470" s="266">
        <f>MBQ[[#This Row],[MULTIPLIER]]*MBQ[[#This Row],[QTY]]</f>
        <v>1</v>
      </c>
      <c r="V470" s="9">
        <f>MBQ[[#This Row],[HEIGHT (mm)]]/1000*MBQ[[#This Row],[WIDTH (mm)]]/1000*MBQ[[#This Row],[QTY TOTAL]]</f>
        <v>2.04</v>
      </c>
      <c r="W470" s="287">
        <f>ROUNDUP(MBQ[[#This Row],[HEIGHT (mm)]]/450*MBQ[[#This Row],[QTY]]*2,0)+ROUNDUP(MBQ[[#This Row],[WIDTH (mm)]]/450*MBQ[[#This Row],[QTY]]*2,0)</f>
        <v>14</v>
      </c>
    </row>
    <row r="471" spans="1:23" hidden="1">
      <c r="A471" s="258">
        <v>1</v>
      </c>
      <c r="B471" s="276" t="s">
        <v>536</v>
      </c>
      <c r="C471" s="278" t="s">
        <v>554</v>
      </c>
      <c r="D471" s="277" t="s">
        <v>562</v>
      </c>
      <c r="E471" s="277" t="s">
        <v>557</v>
      </c>
      <c r="F471" s="261"/>
      <c r="G471" s="262"/>
      <c r="H471" s="262"/>
      <c r="I471" s="260" t="s">
        <v>442</v>
      </c>
      <c r="J471" s="278" t="s">
        <v>443</v>
      </c>
      <c r="K471" s="285" t="s">
        <v>591</v>
      </c>
      <c r="L471" s="277" t="s">
        <v>556</v>
      </c>
      <c r="M471" s="263"/>
      <c r="N471" s="263"/>
      <c r="O471" s="264">
        <v>1700</v>
      </c>
      <c r="P471" s="264">
        <v>1200</v>
      </c>
      <c r="Q471" s="265">
        <v>1</v>
      </c>
      <c r="R471" s="30">
        <f>MBQ[[#This Row],[HEIGHT (mm)]]*MBQ[[#This Row],[QTY TOTAL]]/1000</f>
        <v>1.7</v>
      </c>
      <c r="S471" s="30">
        <f>MBQ[[#This Row],[WIDTH (mm)]]*MBQ[[#This Row],[QTY TOTAL]]/1000</f>
        <v>1.2</v>
      </c>
      <c r="T471" s="9">
        <f>(MBQ[[#This Row],[HEIGHT (mm)]]+MBQ[[#This Row],[WIDTH (mm)]])/1000*2*MBQ[[#This Row],[QTY TOTAL]]</f>
        <v>5.8</v>
      </c>
      <c r="U471" s="266">
        <f>MBQ[[#This Row],[MULTIPLIER]]*MBQ[[#This Row],[QTY]]</f>
        <v>1</v>
      </c>
      <c r="V471" s="9">
        <f>MBQ[[#This Row],[HEIGHT (mm)]]/1000*MBQ[[#This Row],[WIDTH (mm)]]/1000*MBQ[[#This Row],[QTY TOTAL]]</f>
        <v>2.04</v>
      </c>
      <c r="W471" s="287">
        <f>ROUNDUP(MBQ[[#This Row],[HEIGHT (mm)]]/450*MBQ[[#This Row],[QTY]]*2,0)+ROUNDUP(MBQ[[#This Row],[WIDTH (mm)]]/450*MBQ[[#This Row],[QTY]]*2,0)</f>
        <v>14</v>
      </c>
    </row>
    <row r="472" spans="1:23" hidden="1">
      <c r="A472" s="258">
        <v>1</v>
      </c>
      <c r="B472" s="276" t="s">
        <v>536</v>
      </c>
      <c r="C472" s="278" t="s">
        <v>534</v>
      </c>
      <c r="D472" s="277" t="s">
        <v>563</v>
      </c>
      <c r="E472" s="277" t="s">
        <v>557</v>
      </c>
      <c r="F472" s="261"/>
      <c r="G472" s="262"/>
      <c r="H472" s="262"/>
      <c r="I472" s="260" t="s">
        <v>441</v>
      </c>
      <c r="J472" s="263"/>
      <c r="K472" s="285" t="s">
        <v>591</v>
      </c>
      <c r="L472" s="260"/>
      <c r="M472" s="263"/>
      <c r="N472" s="263"/>
      <c r="O472" s="264">
        <v>1700</v>
      </c>
      <c r="P472" s="264">
        <v>1200</v>
      </c>
      <c r="Q472" s="265">
        <v>1</v>
      </c>
      <c r="R472" s="30">
        <f>MBQ[[#This Row],[HEIGHT (mm)]]*MBQ[[#This Row],[QTY TOTAL]]/1000</f>
        <v>1.7</v>
      </c>
      <c r="S472" s="30">
        <f>MBQ[[#This Row],[WIDTH (mm)]]*MBQ[[#This Row],[QTY TOTAL]]/1000</f>
        <v>1.2</v>
      </c>
      <c r="T472" s="9">
        <f>(MBQ[[#This Row],[HEIGHT (mm)]]+MBQ[[#This Row],[WIDTH (mm)]])/1000*2*MBQ[[#This Row],[QTY TOTAL]]</f>
        <v>5.8</v>
      </c>
      <c r="U472" s="266">
        <f>MBQ[[#This Row],[MULTIPLIER]]*MBQ[[#This Row],[QTY]]</f>
        <v>1</v>
      </c>
      <c r="V472" s="9">
        <f>MBQ[[#This Row],[HEIGHT (mm)]]/1000*MBQ[[#This Row],[WIDTH (mm)]]/1000*MBQ[[#This Row],[QTY TOTAL]]</f>
        <v>2.04</v>
      </c>
      <c r="W472" s="287">
        <f>ROUNDUP(MBQ[[#This Row],[HEIGHT (mm)]]/450*MBQ[[#This Row],[QTY]]*2,0)+ROUNDUP(MBQ[[#This Row],[WIDTH (mm)]]/450*MBQ[[#This Row],[QTY]]*2,0)</f>
        <v>14</v>
      </c>
    </row>
    <row r="473" spans="1:23" hidden="1">
      <c r="A473" s="258">
        <v>1</v>
      </c>
      <c r="B473" s="276" t="s">
        <v>536</v>
      </c>
      <c r="C473" s="278" t="s">
        <v>534</v>
      </c>
      <c r="D473" s="277" t="s">
        <v>563</v>
      </c>
      <c r="E473" s="277" t="s">
        <v>557</v>
      </c>
      <c r="F473" s="261"/>
      <c r="G473" s="262"/>
      <c r="H473" s="262"/>
      <c r="I473" s="260" t="s">
        <v>439</v>
      </c>
      <c r="J473" s="278" t="s">
        <v>443</v>
      </c>
      <c r="K473" s="285" t="s">
        <v>591</v>
      </c>
      <c r="L473" s="277" t="s">
        <v>556</v>
      </c>
      <c r="M473" s="263"/>
      <c r="N473" s="263"/>
      <c r="O473" s="264">
        <v>1700</v>
      </c>
      <c r="P473" s="264">
        <v>1200</v>
      </c>
      <c r="Q473" s="265">
        <v>1</v>
      </c>
      <c r="R473" s="30">
        <f>MBQ[[#This Row],[HEIGHT (mm)]]*MBQ[[#This Row],[QTY TOTAL]]/1000</f>
        <v>1.7</v>
      </c>
      <c r="S473" s="30">
        <f>MBQ[[#This Row],[WIDTH (mm)]]*MBQ[[#This Row],[QTY TOTAL]]/1000</f>
        <v>1.2</v>
      </c>
      <c r="T473" s="9">
        <f>(MBQ[[#This Row],[HEIGHT (mm)]]+MBQ[[#This Row],[WIDTH (mm)]])/1000*2*MBQ[[#This Row],[QTY TOTAL]]</f>
        <v>5.8</v>
      </c>
      <c r="U473" s="266">
        <f>MBQ[[#This Row],[MULTIPLIER]]*MBQ[[#This Row],[QTY]]</f>
        <v>1</v>
      </c>
      <c r="V473" s="9">
        <f>MBQ[[#This Row],[HEIGHT (mm)]]/1000*MBQ[[#This Row],[WIDTH (mm)]]/1000*MBQ[[#This Row],[QTY TOTAL]]</f>
        <v>2.04</v>
      </c>
      <c r="W473" s="287">
        <f>ROUNDUP(MBQ[[#This Row],[HEIGHT (mm)]]/450*MBQ[[#This Row],[QTY]]*2,0)+ROUNDUP(MBQ[[#This Row],[WIDTH (mm)]]/450*MBQ[[#This Row],[QTY]]*2,0)</f>
        <v>14</v>
      </c>
    </row>
    <row r="474" spans="1:23" hidden="1">
      <c r="A474" s="258">
        <v>1</v>
      </c>
      <c r="B474" s="276" t="s">
        <v>536</v>
      </c>
      <c r="C474" s="278" t="s">
        <v>534</v>
      </c>
      <c r="D474" s="277" t="s">
        <v>563</v>
      </c>
      <c r="E474" s="277" t="s">
        <v>557</v>
      </c>
      <c r="F474" s="261"/>
      <c r="G474" s="262"/>
      <c r="H474" s="262"/>
      <c r="I474" s="260" t="s">
        <v>442</v>
      </c>
      <c r="J474" s="278" t="s">
        <v>443</v>
      </c>
      <c r="K474" s="285" t="s">
        <v>591</v>
      </c>
      <c r="L474" s="277" t="s">
        <v>556</v>
      </c>
      <c r="M474" s="263"/>
      <c r="N474" s="263"/>
      <c r="O474" s="264">
        <v>1700</v>
      </c>
      <c r="P474" s="264">
        <v>1200</v>
      </c>
      <c r="Q474" s="265">
        <v>1</v>
      </c>
      <c r="R474" s="30">
        <f>MBQ[[#This Row],[HEIGHT (mm)]]*MBQ[[#This Row],[QTY TOTAL]]/1000</f>
        <v>1.7</v>
      </c>
      <c r="S474" s="30">
        <f>MBQ[[#This Row],[WIDTH (mm)]]*MBQ[[#This Row],[QTY TOTAL]]/1000</f>
        <v>1.2</v>
      </c>
      <c r="T474" s="9">
        <f>(MBQ[[#This Row],[HEIGHT (mm)]]+MBQ[[#This Row],[WIDTH (mm)]])/1000*2*MBQ[[#This Row],[QTY TOTAL]]</f>
        <v>5.8</v>
      </c>
      <c r="U474" s="266">
        <f>MBQ[[#This Row],[MULTIPLIER]]*MBQ[[#This Row],[QTY]]</f>
        <v>1</v>
      </c>
      <c r="V474" s="9">
        <f>MBQ[[#This Row],[HEIGHT (mm)]]/1000*MBQ[[#This Row],[WIDTH (mm)]]/1000*MBQ[[#This Row],[QTY TOTAL]]</f>
        <v>2.04</v>
      </c>
      <c r="W474" s="287">
        <f>ROUNDUP(MBQ[[#This Row],[HEIGHT (mm)]]/450*MBQ[[#This Row],[QTY]]*2,0)+ROUNDUP(MBQ[[#This Row],[WIDTH (mm)]]/450*MBQ[[#This Row],[QTY]]*2,0)</f>
        <v>14</v>
      </c>
    </row>
    <row r="475" spans="1:23" hidden="1">
      <c r="A475" s="258">
        <v>1</v>
      </c>
      <c r="B475" s="276" t="s">
        <v>536</v>
      </c>
      <c r="C475" s="278" t="s">
        <v>534</v>
      </c>
      <c r="D475" s="277" t="s">
        <v>564</v>
      </c>
      <c r="E475" s="277" t="s">
        <v>557</v>
      </c>
      <c r="F475" s="261"/>
      <c r="G475" s="262"/>
      <c r="H475" s="262"/>
      <c r="I475" s="260" t="s">
        <v>441</v>
      </c>
      <c r="J475" s="263"/>
      <c r="K475" s="285" t="s">
        <v>591</v>
      </c>
      <c r="L475" s="260"/>
      <c r="M475" s="263"/>
      <c r="N475" s="263"/>
      <c r="O475" s="264">
        <v>1700</v>
      </c>
      <c r="P475" s="264">
        <v>1200</v>
      </c>
      <c r="Q475" s="265">
        <v>1</v>
      </c>
      <c r="R475" s="30">
        <f>MBQ[[#This Row],[HEIGHT (mm)]]*MBQ[[#This Row],[QTY TOTAL]]/1000</f>
        <v>1.7</v>
      </c>
      <c r="S475" s="30">
        <f>MBQ[[#This Row],[WIDTH (mm)]]*MBQ[[#This Row],[QTY TOTAL]]/1000</f>
        <v>1.2</v>
      </c>
      <c r="T475" s="9">
        <f>(MBQ[[#This Row],[HEIGHT (mm)]]+MBQ[[#This Row],[WIDTH (mm)]])/1000*2*MBQ[[#This Row],[QTY TOTAL]]</f>
        <v>5.8</v>
      </c>
      <c r="U475" s="266">
        <f>MBQ[[#This Row],[MULTIPLIER]]*MBQ[[#This Row],[QTY]]</f>
        <v>1</v>
      </c>
      <c r="V475" s="9">
        <f>MBQ[[#This Row],[HEIGHT (mm)]]/1000*MBQ[[#This Row],[WIDTH (mm)]]/1000*MBQ[[#This Row],[QTY TOTAL]]</f>
        <v>2.04</v>
      </c>
      <c r="W475" s="287">
        <f>ROUNDUP(MBQ[[#This Row],[HEIGHT (mm)]]/450*MBQ[[#This Row],[QTY]]*2,0)+ROUNDUP(MBQ[[#This Row],[WIDTH (mm)]]/450*MBQ[[#This Row],[QTY]]*2,0)</f>
        <v>14</v>
      </c>
    </row>
    <row r="476" spans="1:23" hidden="1">
      <c r="A476" s="258">
        <v>1</v>
      </c>
      <c r="B476" s="276" t="s">
        <v>536</v>
      </c>
      <c r="C476" s="278" t="s">
        <v>534</v>
      </c>
      <c r="D476" s="277" t="s">
        <v>564</v>
      </c>
      <c r="E476" s="277" t="s">
        <v>557</v>
      </c>
      <c r="F476" s="261"/>
      <c r="G476" s="262"/>
      <c r="H476" s="262"/>
      <c r="I476" s="260" t="s">
        <v>439</v>
      </c>
      <c r="J476" s="278" t="s">
        <v>443</v>
      </c>
      <c r="K476" s="285" t="s">
        <v>591</v>
      </c>
      <c r="L476" s="277" t="s">
        <v>556</v>
      </c>
      <c r="M476" s="263"/>
      <c r="N476" s="263"/>
      <c r="O476" s="264">
        <v>1700</v>
      </c>
      <c r="P476" s="264">
        <v>1200</v>
      </c>
      <c r="Q476" s="265">
        <v>1</v>
      </c>
      <c r="R476" s="30">
        <f>MBQ[[#This Row],[HEIGHT (mm)]]*MBQ[[#This Row],[QTY TOTAL]]/1000</f>
        <v>1.7</v>
      </c>
      <c r="S476" s="30">
        <f>MBQ[[#This Row],[WIDTH (mm)]]*MBQ[[#This Row],[QTY TOTAL]]/1000</f>
        <v>1.2</v>
      </c>
      <c r="T476" s="9">
        <f>(MBQ[[#This Row],[HEIGHT (mm)]]+MBQ[[#This Row],[WIDTH (mm)]])/1000*2*MBQ[[#This Row],[QTY TOTAL]]</f>
        <v>5.8</v>
      </c>
      <c r="U476" s="266">
        <f>MBQ[[#This Row],[MULTIPLIER]]*MBQ[[#This Row],[QTY]]</f>
        <v>1</v>
      </c>
      <c r="V476" s="9">
        <f>MBQ[[#This Row],[HEIGHT (mm)]]/1000*MBQ[[#This Row],[WIDTH (mm)]]/1000*MBQ[[#This Row],[QTY TOTAL]]</f>
        <v>2.04</v>
      </c>
      <c r="W476" s="287">
        <f>ROUNDUP(MBQ[[#This Row],[HEIGHT (mm)]]/450*MBQ[[#This Row],[QTY]]*2,0)+ROUNDUP(MBQ[[#This Row],[WIDTH (mm)]]/450*MBQ[[#This Row],[QTY]]*2,0)</f>
        <v>14</v>
      </c>
    </row>
    <row r="477" spans="1:23" hidden="1">
      <c r="A477" s="258">
        <v>1</v>
      </c>
      <c r="B477" s="276" t="s">
        <v>536</v>
      </c>
      <c r="C477" s="278" t="s">
        <v>534</v>
      </c>
      <c r="D477" s="277" t="s">
        <v>564</v>
      </c>
      <c r="E477" s="277" t="s">
        <v>557</v>
      </c>
      <c r="F477" s="261"/>
      <c r="G477" s="262"/>
      <c r="H477" s="262"/>
      <c r="I477" s="260" t="s">
        <v>442</v>
      </c>
      <c r="J477" s="278" t="s">
        <v>443</v>
      </c>
      <c r="K477" s="285" t="s">
        <v>591</v>
      </c>
      <c r="L477" s="277" t="s">
        <v>556</v>
      </c>
      <c r="M477" s="263"/>
      <c r="N477" s="263"/>
      <c r="O477" s="264">
        <v>1700</v>
      </c>
      <c r="P477" s="264">
        <v>1200</v>
      </c>
      <c r="Q477" s="265">
        <v>1</v>
      </c>
      <c r="R477" s="30">
        <f>MBQ[[#This Row],[HEIGHT (mm)]]*MBQ[[#This Row],[QTY TOTAL]]/1000</f>
        <v>1.7</v>
      </c>
      <c r="S477" s="30">
        <f>MBQ[[#This Row],[WIDTH (mm)]]*MBQ[[#This Row],[QTY TOTAL]]/1000</f>
        <v>1.2</v>
      </c>
      <c r="T477" s="9">
        <f>(MBQ[[#This Row],[HEIGHT (mm)]]+MBQ[[#This Row],[WIDTH (mm)]])/1000*2*MBQ[[#This Row],[QTY TOTAL]]</f>
        <v>5.8</v>
      </c>
      <c r="U477" s="266">
        <f>MBQ[[#This Row],[MULTIPLIER]]*MBQ[[#This Row],[QTY]]</f>
        <v>1</v>
      </c>
      <c r="V477" s="9">
        <f>MBQ[[#This Row],[HEIGHT (mm)]]/1000*MBQ[[#This Row],[WIDTH (mm)]]/1000*MBQ[[#This Row],[QTY TOTAL]]</f>
        <v>2.04</v>
      </c>
      <c r="W477" s="287">
        <f>ROUNDUP(MBQ[[#This Row],[HEIGHT (mm)]]/450*MBQ[[#This Row],[QTY]]*2,0)+ROUNDUP(MBQ[[#This Row],[WIDTH (mm)]]/450*MBQ[[#This Row],[QTY]]*2,0)</f>
        <v>14</v>
      </c>
    </row>
    <row r="478" spans="1:23" hidden="1">
      <c r="A478" s="258">
        <v>1</v>
      </c>
      <c r="B478" s="276" t="s">
        <v>536</v>
      </c>
      <c r="C478" s="278" t="s">
        <v>545</v>
      </c>
      <c r="D478" s="277" t="s">
        <v>565</v>
      </c>
      <c r="E478" s="289" t="s">
        <v>608</v>
      </c>
      <c r="F478" s="261"/>
      <c r="G478" s="262"/>
      <c r="H478" s="262"/>
      <c r="I478" s="260" t="s">
        <v>441</v>
      </c>
      <c r="J478" s="263"/>
      <c r="K478" s="285" t="s">
        <v>591</v>
      </c>
      <c r="L478" s="260"/>
      <c r="M478" s="263"/>
      <c r="N478" s="263"/>
      <c r="O478" s="264">
        <v>2700</v>
      </c>
      <c r="P478" s="264">
        <v>6000</v>
      </c>
      <c r="Q478" s="265">
        <v>1</v>
      </c>
      <c r="R478" s="30">
        <f>MBQ[[#This Row],[HEIGHT (mm)]]*MBQ[[#This Row],[QTY TOTAL]]/1000</f>
        <v>2.7</v>
      </c>
      <c r="S478" s="30">
        <f>MBQ[[#This Row],[WIDTH (mm)]]*MBQ[[#This Row],[QTY TOTAL]]/1000</f>
        <v>6</v>
      </c>
      <c r="T478" s="9">
        <f>(MBQ[[#This Row],[HEIGHT (mm)]]+MBQ[[#This Row],[WIDTH (mm)]])/1000*2*MBQ[[#This Row],[QTY TOTAL]]</f>
        <v>17.399999999999999</v>
      </c>
      <c r="U478" s="266">
        <f>MBQ[[#This Row],[MULTIPLIER]]*MBQ[[#This Row],[QTY]]</f>
        <v>1</v>
      </c>
      <c r="V478" s="9">
        <f>MBQ[[#This Row],[HEIGHT (mm)]]/1000*MBQ[[#This Row],[WIDTH (mm)]]/1000*MBQ[[#This Row],[QTY TOTAL]]</f>
        <v>16.200000000000003</v>
      </c>
      <c r="W478" s="287">
        <f>ROUNDUP(MBQ[[#This Row],[HEIGHT (mm)]]/450*MBQ[[#This Row],[QTY]]*2,0)+ROUNDUP(MBQ[[#This Row],[WIDTH (mm)]]/450*MBQ[[#This Row],[QTY]]*2,0)</f>
        <v>39</v>
      </c>
    </row>
    <row r="479" spans="1:23" hidden="1">
      <c r="A479" s="258">
        <v>1</v>
      </c>
      <c r="B479" s="276" t="s">
        <v>536</v>
      </c>
      <c r="C479" s="278" t="s">
        <v>545</v>
      </c>
      <c r="D479" s="277" t="s">
        <v>565</v>
      </c>
      <c r="E479" s="289" t="s">
        <v>608</v>
      </c>
      <c r="F479" s="261"/>
      <c r="G479" s="262"/>
      <c r="H479" s="262"/>
      <c r="I479" s="260" t="s">
        <v>439</v>
      </c>
      <c r="J479" s="278" t="s">
        <v>443</v>
      </c>
      <c r="K479" s="285" t="s">
        <v>591</v>
      </c>
      <c r="L479" s="277" t="s">
        <v>556</v>
      </c>
      <c r="M479" s="263"/>
      <c r="N479" s="278" t="s">
        <v>566</v>
      </c>
      <c r="O479" s="264">
        <v>2700</v>
      </c>
      <c r="P479" s="264">
        <v>1200</v>
      </c>
      <c r="Q479" s="265">
        <v>1</v>
      </c>
      <c r="R479" s="30">
        <f>MBQ[[#This Row],[HEIGHT (mm)]]*MBQ[[#This Row],[QTY TOTAL]]/1000</f>
        <v>2.7</v>
      </c>
      <c r="S479" s="30">
        <f>MBQ[[#This Row],[WIDTH (mm)]]*MBQ[[#This Row],[QTY TOTAL]]/1000</f>
        <v>1.2</v>
      </c>
      <c r="T479" s="9">
        <f>(MBQ[[#This Row],[HEIGHT (mm)]]+MBQ[[#This Row],[WIDTH (mm)]])/1000*2*MBQ[[#This Row],[QTY TOTAL]]</f>
        <v>7.8</v>
      </c>
      <c r="U479" s="266">
        <f>MBQ[[#This Row],[MULTIPLIER]]*MBQ[[#This Row],[QTY]]</f>
        <v>1</v>
      </c>
      <c r="V479" s="9">
        <f>MBQ[[#This Row],[HEIGHT (mm)]]/1000*MBQ[[#This Row],[WIDTH (mm)]]/1000*MBQ[[#This Row],[QTY TOTAL]]</f>
        <v>3.24</v>
      </c>
      <c r="W479" s="287">
        <f>ROUNDUP(MBQ[[#This Row],[HEIGHT (mm)]]/450*MBQ[[#This Row],[QTY]]*2,0)+ROUNDUP(MBQ[[#This Row],[WIDTH (mm)]]/450*MBQ[[#This Row],[QTY]]*2,0)</f>
        <v>18</v>
      </c>
    </row>
    <row r="480" spans="1:23" hidden="1">
      <c r="A480" s="258">
        <v>1</v>
      </c>
      <c r="B480" s="276" t="s">
        <v>536</v>
      </c>
      <c r="C480" s="278" t="s">
        <v>545</v>
      </c>
      <c r="D480" s="277" t="s">
        <v>565</v>
      </c>
      <c r="E480" s="289" t="s">
        <v>608</v>
      </c>
      <c r="F480" s="261"/>
      <c r="G480" s="262"/>
      <c r="H480" s="262"/>
      <c r="I480" s="260" t="s">
        <v>439</v>
      </c>
      <c r="J480" s="278" t="s">
        <v>443</v>
      </c>
      <c r="K480" s="285" t="s">
        <v>591</v>
      </c>
      <c r="L480" s="277" t="s">
        <v>556</v>
      </c>
      <c r="M480" s="263"/>
      <c r="N480" s="263"/>
      <c r="O480" s="264">
        <v>2700</v>
      </c>
      <c r="P480" s="264">
        <v>1200</v>
      </c>
      <c r="Q480" s="265">
        <v>1</v>
      </c>
      <c r="R480" s="30">
        <f>MBQ[[#This Row],[HEIGHT (mm)]]*MBQ[[#This Row],[QTY TOTAL]]/1000</f>
        <v>2.7</v>
      </c>
      <c r="S480" s="30">
        <f>MBQ[[#This Row],[WIDTH (mm)]]*MBQ[[#This Row],[QTY TOTAL]]/1000</f>
        <v>1.2</v>
      </c>
      <c r="T480" s="9">
        <f>(MBQ[[#This Row],[HEIGHT (mm)]]+MBQ[[#This Row],[WIDTH (mm)]])/1000*2*MBQ[[#This Row],[QTY TOTAL]]</f>
        <v>7.8</v>
      </c>
      <c r="U480" s="266">
        <f>MBQ[[#This Row],[MULTIPLIER]]*MBQ[[#This Row],[QTY]]</f>
        <v>1</v>
      </c>
      <c r="V480" s="9">
        <f>MBQ[[#This Row],[HEIGHT (mm)]]/1000*MBQ[[#This Row],[WIDTH (mm)]]/1000*MBQ[[#This Row],[QTY TOTAL]]</f>
        <v>3.24</v>
      </c>
      <c r="W480" s="287">
        <f>ROUNDUP(MBQ[[#This Row],[HEIGHT (mm)]]/450*MBQ[[#This Row],[QTY]]*2,0)+ROUNDUP(MBQ[[#This Row],[WIDTH (mm)]]/450*MBQ[[#This Row],[QTY]]*2,0)</f>
        <v>18</v>
      </c>
    </row>
    <row r="481" spans="1:23" hidden="1">
      <c r="A481" s="258">
        <v>1</v>
      </c>
      <c r="B481" s="276" t="s">
        <v>536</v>
      </c>
      <c r="C481" s="278" t="s">
        <v>545</v>
      </c>
      <c r="D481" s="277" t="s">
        <v>565</v>
      </c>
      <c r="E481" s="289" t="s">
        <v>608</v>
      </c>
      <c r="F481" s="261"/>
      <c r="G481" s="262"/>
      <c r="H481" s="262"/>
      <c r="I481" s="260" t="s">
        <v>439</v>
      </c>
      <c r="J481" s="278" t="s">
        <v>443</v>
      </c>
      <c r="K481" s="285" t="s">
        <v>591</v>
      </c>
      <c r="L481" s="277" t="s">
        <v>556</v>
      </c>
      <c r="M481" s="263"/>
      <c r="N481" s="263"/>
      <c r="O481" s="264">
        <v>2700</v>
      </c>
      <c r="P481" s="264">
        <v>1200</v>
      </c>
      <c r="Q481" s="265">
        <v>1</v>
      </c>
      <c r="R481" s="30">
        <f>MBQ[[#This Row],[HEIGHT (mm)]]*MBQ[[#This Row],[QTY TOTAL]]/1000</f>
        <v>2.7</v>
      </c>
      <c r="S481" s="30">
        <f>MBQ[[#This Row],[WIDTH (mm)]]*MBQ[[#This Row],[QTY TOTAL]]/1000</f>
        <v>1.2</v>
      </c>
      <c r="T481" s="9">
        <f>(MBQ[[#This Row],[HEIGHT (mm)]]+MBQ[[#This Row],[WIDTH (mm)]])/1000*2*MBQ[[#This Row],[QTY TOTAL]]</f>
        <v>7.8</v>
      </c>
      <c r="U481" s="266">
        <f>MBQ[[#This Row],[MULTIPLIER]]*MBQ[[#This Row],[QTY]]</f>
        <v>1</v>
      </c>
      <c r="V481" s="9">
        <f>MBQ[[#This Row],[HEIGHT (mm)]]/1000*MBQ[[#This Row],[WIDTH (mm)]]/1000*MBQ[[#This Row],[QTY TOTAL]]</f>
        <v>3.24</v>
      </c>
      <c r="W481" s="287">
        <f>ROUNDUP(MBQ[[#This Row],[HEIGHT (mm)]]/450*MBQ[[#This Row],[QTY]]*2,0)+ROUNDUP(MBQ[[#This Row],[WIDTH (mm)]]/450*MBQ[[#This Row],[QTY]]*2,0)</f>
        <v>18</v>
      </c>
    </row>
    <row r="482" spans="1:23" hidden="1">
      <c r="A482" s="258">
        <v>1</v>
      </c>
      <c r="B482" s="276" t="s">
        <v>536</v>
      </c>
      <c r="C482" s="278" t="s">
        <v>545</v>
      </c>
      <c r="D482" s="277" t="s">
        <v>565</v>
      </c>
      <c r="E482" s="289" t="s">
        <v>608</v>
      </c>
      <c r="F482" s="261"/>
      <c r="G482" s="262"/>
      <c r="H482" s="262"/>
      <c r="I482" s="260" t="s">
        <v>439</v>
      </c>
      <c r="J482" s="278" t="s">
        <v>443</v>
      </c>
      <c r="K482" s="285" t="s">
        <v>591</v>
      </c>
      <c r="L482" s="277" t="s">
        <v>556</v>
      </c>
      <c r="M482" s="263"/>
      <c r="N482" s="263"/>
      <c r="O482" s="264">
        <v>2700</v>
      </c>
      <c r="P482" s="264">
        <v>1200</v>
      </c>
      <c r="Q482" s="265">
        <v>1</v>
      </c>
      <c r="R482" s="30">
        <f>MBQ[[#This Row],[HEIGHT (mm)]]*MBQ[[#This Row],[QTY TOTAL]]/1000</f>
        <v>2.7</v>
      </c>
      <c r="S482" s="30">
        <f>MBQ[[#This Row],[WIDTH (mm)]]*MBQ[[#This Row],[QTY TOTAL]]/1000</f>
        <v>1.2</v>
      </c>
      <c r="T482" s="9">
        <f>(MBQ[[#This Row],[HEIGHT (mm)]]+MBQ[[#This Row],[WIDTH (mm)]])/1000*2*MBQ[[#This Row],[QTY TOTAL]]</f>
        <v>7.8</v>
      </c>
      <c r="U482" s="266">
        <f>MBQ[[#This Row],[MULTIPLIER]]*MBQ[[#This Row],[QTY]]</f>
        <v>1</v>
      </c>
      <c r="V482" s="9">
        <f>MBQ[[#This Row],[HEIGHT (mm)]]/1000*MBQ[[#This Row],[WIDTH (mm)]]/1000*MBQ[[#This Row],[QTY TOTAL]]</f>
        <v>3.24</v>
      </c>
      <c r="W482" s="287">
        <f>ROUNDUP(MBQ[[#This Row],[HEIGHT (mm)]]/450*MBQ[[#This Row],[QTY]]*2,0)+ROUNDUP(MBQ[[#This Row],[WIDTH (mm)]]/450*MBQ[[#This Row],[QTY]]*2,0)</f>
        <v>18</v>
      </c>
    </row>
    <row r="483" spans="1:23" hidden="1">
      <c r="A483" s="258">
        <v>1</v>
      </c>
      <c r="B483" s="276" t="s">
        <v>536</v>
      </c>
      <c r="C483" s="278" t="s">
        <v>545</v>
      </c>
      <c r="D483" s="277" t="s">
        <v>565</v>
      </c>
      <c r="E483" s="289" t="s">
        <v>608</v>
      </c>
      <c r="F483" s="261"/>
      <c r="G483" s="262"/>
      <c r="H483" s="262"/>
      <c r="I483" s="260" t="s">
        <v>439</v>
      </c>
      <c r="J483" s="278" t="s">
        <v>443</v>
      </c>
      <c r="K483" s="285" t="s">
        <v>591</v>
      </c>
      <c r="L483" s="277" t="s">
        <v>556</v>
      </c>
      <c r="M483" s="263"/>
      <c r="N483" s="263"/>
      <c r="O483" s="264">
        <v>2700</v>
      </c>
      <c r="P483" s="264">
        <v>1200</v>
      </c>
      <c r="Q483" s="265">
        <v>1</v>
      </c>
      <c r="R483" s="30">
        <f>MBQ[[#This Row],[HEIGHT (mm)]]*MBQ[[#This Row],[QTY TOTAL]]/1000</f>
        <v>2.7</v>
      </c>
      <c r="S483" s="30">
        <f>MBQ[[#This Row],[WIDTH (mm)]]*MBQ[[#This Row],[QTY TOTAL]]/1000</f>
        <v>1.2</v>
      </c>
      <c r="T483" s="9">
        <f>(MBQ[[#This Row],[HEIGHT (mm)]]+MBQ[[#This Row],[WIDTH (mm)]])/1000*2*MBQ[[#This Row],[QTY TOTAL]]</f>
        <v>7.8</v>
      </c>
      <c r="U483" s="266">
        <f>MBQ[[#This Row],[MULTIPLIER]]*MBQ[[#This Row],[QTY]]</f>
        <v>1</v>
      </c>
      <c r="V483" s="9">
        <f>MBQ[[#This Row],[HEIGHT (mm)]]/1000*MBQ[[#This Row],[WIDTH (mm)]]/1000*MBQ[[#This Row],[QTY TOTAL]]</f>
        <v>3.24</v>
      </c>
      <c r="W483" s="287">
        <f>ROUNDUP(MBQ[[#This Row],[HEIGHT (mm)]]/450*MBQ[[#This Row],[QTY]]*2,0)+ROUNDUP(MBQ[[#This Row],[WIDTH (mm)]]/450*MBQ[[#This Row],[QTY]]*2,0)</f>
        <v>18</v>
      </c>
    </row>
    <row r="484" spans="1:23" hidden="1">
      <c r="A484" s="258">
        <v>1</v>
      </c>
      <c r="B484" s="276" t="s">
        <v>536</v>
      </c>
      <c r="C484" s="278" t="s">
        <v>545</v>
      </c>
      <c r="D484" s="277" t="s">
        <v>565</v>
      </c>
      <c r="E484" s="289" t="s">
        <v>608</v>
      </c>
      <c r="F484" s="261"/>
      <c r="G484" s="262"/>
      <c r="H484" s="262"/>
      <c r="I484" s="260" t="s">
        <v>442</v>
      </c>
      <c r="J484" s="278" t="s">
        <v>443</v>
      </c>
      <c r="K484" s="285" t="s">
        <v>591</v>
      </c>
      <c r="L484" s="277" t="s">
        <v>556</v>
      </c>
      <c r="M484" s="263"/>
      <c r="N484" s="278" t="s">
        <v>566</v>
      </c>
      <c r="O484" s="264">
        <v>2700</v>
      </c>
      <c r="P484" s="264">
        <v>1200</v>
      </c>
      <c r="Q484" s="265">
        <v>1</v>
      </c>
      <c r="R484" s="30">
        <f>MBQ[[#This Row],[HEIGHT (mm)]]*MBQ[[#This Row],[QTY TOTAL]]/1000</f>
        <v>2.7</v>
      </c>
      <c r="S484" s="30">
        <f>MBQ[[#This Row],[WIDTH (mm)]]*MBQ[[#This Row],[QTY TOTAL]]/1000</f>
        <v>1.2</v>
      </c>
      <c r="T484" s="9">
        <f>(MBQ[[#This Row],[HEIGHT (mm)]]+MBQ[[#This Row],[WIDTH (mm)]])/1000*2*MBQ[[#This Row],[QTY TOTAL]]</f>
        <v>7.8</v>
      </c>
      <c r="U484" s="266">
        <f>MBQ[[#This Row],[MULTIPLIER]]*MBQ[[#This Row],[QTY]]</f>
        <v>1</v>
      </c>
      <c r="V484" s="9">
        <f>MBQ[[#This Row],[HEIGHT (mm)]]/1000*MBQ[[#This Row],[WIDTH (mm)]]/1000*MBQ[[#This Row],[QTY TOTAL]]</f>
        <v>3.24</v>
      </c>
      <c r="W484" s="287">
        <f>ROUNDUP(MBQ[[#This Row],[HEIGHT (mm)]]/450*MBQ[[#This Row],[QTY]]*2,0)+ROUNDUP(MBQ[[#This Row],[WIDTH (mm)]]/450*MBQ[[#This Row],[QTY]]*2,0)</f>
        <v>18</v>
      </c>
    </row>
    <row r="485" spans="1:23" hidden="1">
      <c r="A485" s="258">
        <v>1</v>
      </c>
      <c r="B485" s="276" t="s">
        <v>536</v>
      </c>
      <c r="C485" s="278" t="s">
        <v>545</v>
      </c>
      <c r="D485" s="277" t="s">
        <v>565</v>
      </c>
      <c r="E485" s="289" t="s">
        <v>608</v>
      </c>
      <c r="F485" s="261"/>
      <c r="G485" s="262"/>
      <c r="H485" s="262"/>
      <c r="I485" s="260" t="s">
        <v>442</v>
      </c>
      <c r="J485" s="278" t="s">
        <v>443</v>
      </c>
      <c r="K485" s="285" t="s">
        <v>591</v>
      </c>
      <c r="L485" s="277" t="s">
        <v>556</v>
      </c>
      <c r="M485" s="263"/>
      <c r="N485" s="263"/>
      <c r="O485" s="264">
        <v>2700</v>
      </c>
      <c r="P485" s="264">
        <v>1200</v>
      </c>
      <c r="Q485" s="265">
        <v>1</v>
      </c>
      <c r="R485" s="30">
        <f>MBQ[[#This Row],[HEIGHT (mm)]]*MBQ[[#This Row],[QTY TOTAL]]/1000</f>
        <v>2.7</v>
      </c>
      <c r="S485" s="30">
        <f>MBQ[[#This Row],[WIDTH (mm)]]*MBQ[[#This Row],[QTY TOTAL]]/1000</f>
        <v>1.2</v>
      </c>
      <c r="T485" s="9">
        <f>(MBQ[[#This Row],[HEIGHT (mm)]]+MBQ[[#This Row],[WIDTH (mm)]])/1000*2*MBQ[[#This Row],[QTY TOTAL]]</f>
        <v>7.8</v>
      </c>
      <c r="U485" s="266">
        <f>MBQ[[#This Row],[MULTIPLIER]]*MBQ[[#This Row],[QTY]]</f>
        <v>1</v>
      </c>
      <c r="V485" s="9">
        <f>MBQ[[#This Row],[HEIGHT (mm)]]/1000*MBQ[[#This Row],[WIDTH (mm)]]/1000*MBQ[[#This Row],[QTY TOTAL]]</f>
        <v>3.24</v>
      </c>
      <c r="W485" s="287">
        <f>ROUNDUP(MBQ[[#This Row],[HEIGHT (mm)]]/450*MBQ[[#This Row],[QTY]]*2,0)+ROUNDUP(MBQ[[#This Row],[WIDTH (mm)]]/450*MBQ[[#This Row],[QTY]]*2,0)</f>
        <v>18</v>
      </c>
    </row>
    <row r="486" spans="1:23" hidden="1">
      <c r="A486" s="258">
        <v>1</v>
      </c>
      <c r="B486" s="276" t="s">
        <v>536</v>
      </c>
      <c r="C486" s="278" t="s">
        <v>545</v>
      </c>
      <c r="D486" s="277" t="s">
        <v>565</v>
      </c>
      <c r="E486" s="289" t="s">
        <v>608</v>
      </c>
      <c r="F486" s="261"/>
      <c r="G486" s="262"/>
      <c r="H486" s="262"/>
      <c r="I486" s="260" t="s">
        <v>442</v>
      </c>
      <c r="J486" s="278" t="s">
        <v>443</v>
      </c>
      <c r="K486" s="285" t="s">
        <v>591</v>
      </c>
      <c r="L486" s="277" t="s">
        <v>556</v>
      </c>
      <c r="M486" s="263"/>
      <c r="N486" s="263"/>
      <c r="O486" s="264">
        <v>2700</v>
      </c>
      <c r="P486" s="264">
        <v>1200</v>
      </c>
      <c r="Q486" s="265">
        <v>1</v>
      </c>
      <c r="R486" s="30">
        <f>MBQ[[#This Row],[HEIGHT (mm)]]*MBQ[[#This Row],[QTY TOTAL]]/1000</f>
        <v>2.7</v>
      </c>
      <c r="S486" s="30">
        <f>MBQ[[#This Row],[WIDTH (mm)]]*MBQ[[#This Row],[QTY TOTAL]]/1000</f>
        <v>1.2</v>
      </c>
      <c r="T486" s="9">
        <f>(MBQ[[#This Row],[HEIGHT (mm)]]+MBQ[[#This Row],[WIDTH (mm)]])/1000*2*MBQ[[#This Row],[QTY TOTAL]]</f>
        <v>7.8</v>
      </c>
      <c r="U486" s="266">
        <f>MBQ[[#This Row],[MULTIPLIER]]*MBQ[[#This Row],[QTY]]</f>
        <v>1</v>
      </c>
      <c r="V486" s="9">
        <f>MBQ[[#This Row],[HEIGHT (mm)]]/1000*MBQ[[#This Row],[WIDTH (mm)]]/1000*MBQ[[#This Row],[QTY TOTAL]]</f>
        <v>3.24</v>
      </c>
      <c r="W486" s="287">
        <f>ROUNDUP(MBQ[[#This Row],[HEIGHT (mm)]]/450*MBQ[[#This Row],[QTY]]*2,0)+ROUNDUP(MBQ[[#This Row],[WIDTH (mm)]]/450*MBQ[[#This Row],[QTY]]*2,0)</f>
        <v>18</v>
      </c>
    </row>
    <row r="487" spans="1:23" hidden="1">
      <c r="A487" s="258">
        <v>1</v>
      </c>
      <c r="B487" s="276" t="s">
        <v>536</v>
      </c>
      <c r="C487" s="278" t="s">
        <v>545</v>
      </c>
      <c r="D487" s="277" t="s">
        <v>565</v>
      </c>
      <c r="E487" s="289" t="s">
        <v>608</v>
      </c>
      <c r="F487" s="261"/>
      <c r="G487" s="262"/>
      <c r="H487" s="262"/>
      <c r="I487" s="260" t="s">
        <v>442</v>
      </c>
      <c r="J487" s="278" t="s">
        <v>443</v>
      </c>
      <c r="K487" s="285" t="s">
        <v>591</v>
      </c>
      <c r="L487" s="277" t="s">
        <v>556</v>
      </c>
      <c r="M487" s="263"/>
      <c r="N487" s="263"/>
      <c r="O487" s="264">
        <v>2700</v>
      </c>
      <c r="P487" s="264">
        <v>1200</v>
      </c>
      <c r="Q487" s="265">
        <v>1</v>
      </c>
      <c r="R487" s="30">
        <f>MBQ[[#This Row],[HEIGHT (mm)]]*MBQ[[#This Row],[QTY TOTAL]]/1000</f>
        <v>2.7</v>
      </c>
      <c r="S487" s="30">
        <f>MBQ[[#This Row],[WIDTH (mm)]]*MBQ[[#This Row],[QTY TOTAL]]/1000</f>
        <v>1.2</v>
      </c>
      <c r="T487" s="9">
        <f>(MBQ[[#This Row],[HEIGHT (mm)]]+MBQ[[#This Row],[WIDTH (mm)]])/1000*2*MBQ[[#This Row],[QTY TOTAL]]</f>
        <v>7.8</v>
      </c>
      <c r="U487" s="266">
        <f>MBQ[[#This Row],[MULTIPLIER]]*MBQ[[#This Row],[QTY]]</f>
        <v>1</v>
      </c>
      <c r="V487" s="9">
        <f>MBQ[[#This Row],[HEIGHT (mm)]]/1000*MBQ[[#This Row],[WIDTH (mm)]]/1000*MBQ[[#This Row],[QTY TOTAL]]</f>
        <v>3.24</v>
      </c>
      <c r="W487" s="287">
        <f>ROUNDUP(MBQ[[#This Row],[HEIGHT (mm)]]/450*MBQ[[#This Row],[QTY]]*2,0)+ROUNDUP(MBQ[[#This Row],[WIDTH (mm)]]/450*MBQ[[#This Row],[QTY]]*2,0)</f>
        <v>18</v>
      </c>
    </row>
    <row r="488" spans="1:23" hidden="1">
      <c r="A488" s="258">
        <v>1</v>
      </c>
      <c r="B488" s="276" t="s">
        <v>536</v>
      </c>
      <c r="C488" s="278" t="s">
        <v>545</v>
      </c>
      <c r="D488" s="277" t="s">
        <v>565</v>
      </c>
      <c r="E488" s="289" t="s">
        <v>608</v>
      </c>
      <c r="F488" s="261"/>
      <c r="G488" s="262"/>
      <c r="H488" s="262"/>
      <c r="I488" s="260" t="s">
        <v>442</v>
      </c>
      <c r="J488" s="278" t="s">
        <v>443</v>
      </c>
      <c r="K488" s="285" t="s">
        <v>591</v>
      </c>
      <c r="L488" s="277" t="s">
        <v>556</v>
      </c>
      <c r="M488" s="263"/>
      <c r="N488" s="263"/>
      <c r="O488" s="264">
        <v>2700</v>
      </c>
      <c r="P488" s="264">
        <v>1200</v>
      </c>
      <c r="Q488" s="265">
        <v>1</v>
      </c>
      <c r="R488" s="30">
        <f>MBQ[[#This Row],[HEIGHT (mm)]]*MBQ[[#This Row],[QTY TOTAL]]/1000</f>
        <v>2.7</v>
      </c>
      <c r="S488" s="30">
        <f>MBQ[[#This Row],[WIDTH (mm)]]*MBQ[[#This Row],[QTY TOTAL]]/1000</f>
        <v>1.2</v>
      </c>
      <c r="T488" s="9">
        <f>(MBQ[[#This Row],[HEIGHT (mm)]]+MBQ[[#This Row],[WIDTH (mm)]])/1000*2*MBQ[[#This Row],[QTY TOTAL]]</f>
        <v>7.8</v>
      </c>
      <c r="U488" s="266">
        <f>MBQ[[#This Row],[MULTIPLIER]]*MBQ[[#This Row],[QTY]]</f>
        <v>1</v>
      </c>
      <c r="V488" s="9">
        <f>MBQ[[#This Row],[HEIGHT (mm)]]/1000*MBQ[[#This Row],[WIDTH (mm)]]/1000*MBQ[[#This Row],[QTY TOTAL]]</f>
        <v>3.24</v>
      </c>
      <c r="W488" s="287">
        <f>ROUNDUP(MBQ[[#This Row],[HEIGHT (mm)]]/450*MBQ[[#This Row],[QTY]]*2,0)+ROUNDUP(MBQ[[#This Row],[WIDTH (mm)]]/450*MBQ[[#This Row],[QTY]]*2,0)</f>
        <v>18</v>
      </c>
    </row>
    <row r="489" spans="1:23" hidden="1">
      <c r="A489" s="258">
        <v>1</v>
      </c>
      <c r="B489" s="276" t="s">
        <v>536</v>
      </c>
      <c r="C489" s="278" t="s">
        <v>554</v>
      </c>
      <c r="D489" s="277" t="s">
        <v>567</v>
      </c>
      <c r="E489" s="289" t="s">
        <v>608</v>
      </c>
      <c r="F489" s="261"/>
      <c r="G489" s="262"/>
      <c r="H489" s="262"/>
      <c r="I489" s="260" t="s">
        <v>441</v>
      </c>
      <c r="J489" s="263"/>
      <c r="K489" s="285" t="s">
        <v>591</v>
      </c>
      <c r="L489" s="260"/>
      <c r="M489" s="263"/>
      <c r="N489" s="263"/>
      <c r="O489" s="264">
        <v>2700</v>
      </c>
      <c r="P489" s="264">
        <v>2000</v>
      </c>
      <c r="Q489" s="265">
        <v>1</v>
      </c>
      <c r="R489" s="30">
        <f>MBQ[[#This Row],[HEIGHT (mm)]]*MBQ[[#This Row],[QTY TOTAL]]/1000</f>
        <v>2.7</v>
      </c>
      <c r="S489" s="30">
        <f>MBQ[[#This Row],[WIDTH (mm)]]*MBQ[[#This Row],[QTY TOTAL]]/1000</f>
        <v>2</v>
      </c>
      <c r="T489" s="9">
        <f>(MBQ[[#This Row],[HEIGHT (mm)]]+MBQ[[#This Row],[WIDTH (mm)]])/1000*2*MBQ[[#This Row],[QTY TOTAL]]</f>
        <v>9.4</v>
      </c>
      <c r="U489" s="266">
        <f>MBQ[[#This Row],[MULTIPLIER]]*MBQ[[#This Row],[QTY]]</f>
        <v>1</v>
      </c>
      <c r="V489" s="9">
        <f>MBQ[[#This Row],[HEIGHT (mm)]]/1000*MBQ[[#This Row],[WIDTH (mm)]]/1000*MBQ[[#This Row],[QTY TOTAL]]</f>
        <v>5.4</v>
      </c>
      <c r="W489" s="287">
        <f>ROUNDUP(MBQ[[#This Row],[HEIGHT (mm)]]/450*MBQ[[#This Row],[QTY]]*2,0)+ROUNDUP(MBQ[[#This Row],[WIDTH (mm)]]/450*MBQ[[#This Row],[QTY]]*2,0)</f>
        <v>21</v>
      </c>
    </row>
    <row r="490" spans="1:23" hidden="1">
      <c r="A490" s="258">
        <v>1</v>
      </c>
      <c r="B490" s="276" t="s">
        <v>536</v>
      </c>
      <c r="C490" s="278" t="s">
        <v>554</v>
      </c>
      <c r="D490" s="277" t="s">
        <v>567</v>
      </c>
      <c r="E490" s="289" t="s">
        <v>608</v>
      </c>
      <c r="F490" s="261"/>
      <c r="G490" s="262"/>
      <c r="H490" s="262"/>
      <c r="I490" s="260" t="s">
        <v>439</v>
      </c>
      <c r="J490" s="278" t="s">
        <v>443</v>
      </c>
      <c r="K490" s="285" t="s">
        <v>591</v>
      </c>
      <c r="L490" s="277" t="s">
        <v>556</v>
      </c>
      <c r="M490" s="263"/>
      <c r="N490" s="278"/>
      <c r="O490" s="264">
        <v>2700</v>
      </c>
      <c r="P490" s="264">
        <v>1000</v>
      </c>
      <c r="Q490" s="265">
        <v>1</v>
      </c>
      <c r="R490" s="30">
        <f>MBQ[[#This Row],[HEIGHT (mm)]]*MBQ[[#This Row],[QTY TOTAL]]/1000</f>
        <v>2.7</v>
      </c>
      <c r="S490" s="30">
        <f>MBQ[[#This Row],[WIDTH (mm)]]*MBQ[[#This Row],[QTY TOTAL]]/1000</f>
        <v>1</v>
      </c>
      <c r="T490" s="9">
        <f>(MBQ[[#This Row],[HEIGHT (mm)]]+MBQ[[#This Row],[WIDTH (mm)]])/1000*2*MBQ[[#This Row],[QTY TOTAL]]</f>
        <v>7.4</v>
      </c>
      <c r="U490" s="266">
        <f>MBQ[[#This Row],[MULTIPLIER]]*MBQ[[#This Row],[QTY]]</f>
        <v>1</v>
      </c>
      <c r="V490" s="9">
        <f>MBQ[[#This Row],[HEIGHT (mm)]]/1000*MBQ[[#This Row],[WIDTH (mm)]]/1000*MBQ[[#This Row],[QTY TOTAL]]</f>
        <v>2.7</v>
      </c>
      <c r="W490" s="287">
        <f>ROUNDUP(MBQ[[#This Row],[HEIGHT (mm)]]/450*MBQ[[#This Row],[QTY]]*2,0)+ROUNDUP(MBQ[[#This Row],[WIDTH (mm)]]/450*MBQ[[#This Row],[QTY]]*2,0)</f>
        <v>17</v>
      </c>
    </row>
    <row r="491" spans="1:23" hidden="1">
      <c r="A491" s="258">
        <v>1</v>
      </c>
      <c r="B491" s="276" t="s">
        <v>536</v>
      </c>
      <c r="C491" s="278" t="s">
        <v>554</v>
      </c>
      <c r="D491" s="277" t="s">
        <v>567</v>
      </c>
      <c r="E491" s="289" t="s">
        <v>608</v>
      </c>
      <c r="F491" s="261"/>
      <c r="G491" s="262"/>
      <c r="H491" s="262"/>
      <c r="I491" s="260" t="s">
        <v>439</v>
      </c>
      <c r="J491" s="278" t="s">
        <v>443</v>
      </c>
      <c r="K491" s="285" t="s">
        <v>591</v>
      </c>
      <c r="L491" s="277" t="s">
        <v>556</v>
      </c>
      <c r="M491" s="263"/>
      <c r="N491" s="263"/>
      <c r="O491" s="264">
        <v>2700</v>
      </c>
      <c r="P491" s="264">
        <v>1000</v>
      </c>
      <c r="Q491" s="265">
        <v>1</v>
      </c>
      <c r="R491" s="30">
        <f>MBQ[[#This Row],[HEIGHT (mm)]]*MBQ[[#This Row],[QTY TOTAL]]/1000</f>
        <v>2.7</v>
      </c>
      <c r="S491" s="30">
        <f>MBQ[[#This Row],[WIDTH (mm)]]*MBQ[[#This Row],[QTY TOTAL]]/1000</f>
        <v>1</v>
      </c>
      <c r="T491" s="9">
        <f>(MBQ[[#This Row],[HEIGHT (mm)]]+MBQ[[#This Row],[WIDTH (mm)]])/1000*2*MBQ[[#This Row],[QTY TOTAL]]</f>
        <v>7.4</v>
      </c>
      <c r="U491" s="266">
        <f>MBQ[[#This Row],[MULTIPLIER]]*MBQ[[#This Row],[QTY]]</f>
        <v>1</v>
      </c>
      <c r="V491" s="9">
        <f>MBQ[[#This Row],[HEIGHT (mm)]]/1000*MBQ[[#This Row],[WIDTH (mm)]]/1000*MBQ[[#This Row],[QTY TOTAL]]</f>
        <v>2.7</v>
      </c>
      <c r="W491" s="287">
        <f>ROUNDUP(MBQ[[#This Row],[HEIGHT (mm)]]/450*MBQ[[#This Row],[QTY]]*2,0)+ROUNDUP(MBQ[[#This Row],[WIDTH (mm)]]/450*MBQ[[#This Row],[QTY]]*2,0)</f>
        <v>17</v>
      </c>
    </row>
    <row r="492" spans="1:23" hidden="1">
      <c r="A492" s="258">
        <v>1</v>
      </c>
      <c r="B492" s="276" t="s">
        <v>536</v>
      </c>
      <c r="C492" s="278" t="s">
        <v>554</v>
      </c>
      <c r="D492" s="277" t="s">
        <v>567</v>
      </c>
      <c r="E492" s="289" t="s">
        <v>608</v>
      </c>
      <c r="F492" s="261"/>
      <c r="G492" s="262"/>
      <c r="H492" s="262"/>
      <c r="I492" s="260" t="s">
        <v>442</v>
      </c>
      <c r="J492" s="278" t="s">
        <v>443</v>
      </c>
      <c r="K492" s="285" t="s">
        <v>591</v>
      </c>
      <c r="L492" s="277" t="s">
        <v>556</v>
      </c>
      <c r="M492" s="263"/>
      <c r="N492" s="263"/>
      <c r="O492" s="264">
        <v>2700</v>
      </c>
      <c r="P492" s="264">
        <v>1000</v>
      </c>
      <c r="Q492" s="265">
        <v>1</v>
      </c>
      <c r="R492" s="30">
        <f>MBQ[[#This Row],[HEIGHT (mm)]]*MBQ[[#This Row],[QTY TOTAL]]/1000</f>
        <v>2.7</v>
      </c>
      <c r="S492" s="30">
        <f>MBQ[[#This Row],[WIDTH (mm)]]*MBQ[[#This Row],[QTY TOTAL]]/1000</f>
        <v>1</v>
      </c>
      <c r="T492" s="9">
        <f>(MBQ[[#This Row],[HEIGHT (mm)]]+MBQ[[#This Row],[WIDTH (mm)]])/1000*2*MBQ[[#This Row],[QTY TOTAL]]</f>
        <v>7.4</v>
      </c>
      <c r="U492" s="266">
        <f>MBQ[[#This Row],[MULTIPLIER]]*MBQ[[#This Row],[QTY]]</f>
        <v>1</v>
      </c>
      <c r="V492" s="9">
        <f>MBQ[[#This Row],[HEIGHT (mm)]]/1000*MBQ[[#This Row],[WIDTH (mm)]]/1000*MBQ[[#This Row],[QTY TOTAL]]</f>
        <v>2.7</v>
      </c>
      <c r="W492" s="287">
        <f>ROUNDUP(MBQ[[#This Row],[HEIGHT (mm)]]/450*MBQ[[#This Row],[QTY]]*2,0)+ROUNDUP(MBQ[[#This Row],[WIDTH (mm)]]/450*MBQ[[#This Row],[QTY]]*2,0)</f>
        <v>17</v>
      </c>
    </row>
    <row r="493" spans="1:23" hidden="1">
      <c r="A493" s="258">
        <v>1</v>
      </c>
      <c r="B493" s="276" t="s">
        <v>536</v>
      </c>
      <c r="C493" s="278" t="s">
        <v>554</v>
      </c>
      <c r="D493" s="277" t="s">
        <v>567</v>
      </c>
      <c r="E493" s="289" t="s">
        <v>608</v>
      </c>
      <c r="F493" s="261"/>
      <c r="G493" s="262"/>
      <c r="H493" s="262"/>
      <c r="I493" s="260" t="s">
        <v>442</v>
      </c>
      <c r="J493" s="278" t="s">
        <v>443</v>
      </c>
      <c r="K493" s="285" t="s">
        <v>591</v>
      </c>
      <c r="L493" s="277" t="s">
        <v>556</v>
      </c>
      <c r="M493" s="263"/>
      <c r="N493" s="263"/>
      <c r="O493" s="264">
        <v>2700</v>
      </c>
      <c r="P493" s="264">
        <v>1000</v>
      </c>
      <c r="Q493" s="265">
        <v>1</v>
      </c>
      <c r="R493" s="30">
        <f>MBQ[[#This Row],[HEIGHT (mm)]]*MBQ[[#This Row],[QTY TOTAL]]/1000</f>
        <v>2.7</v>
      </c>
      <c r="S493" s="30">
        <f>MBQ[[#This Row],[WIDTH (mm)]]*MBQ[[#This Row],[QTY TOTAL]]/1000</f>
        <v>1</v>
      </c>
      <c r="T493" s="9">
        <f>(MBQ[[#This Row],[HEIGHT (mm)]]+MBQ[[#This Row],[WIDTH (mm)]])/1000*2*MBQ[[#This Row],[QTY TOTAL]]</f>
        <v>7.4</v>
      </c>
      <c r="U493" s="266">
        <f>MBQ[[#This Row],[MULTIPLIER]]*MBQ[[#This Row],[QTY]]</f>
        <v>1</v>
      </c>
      <c r="V493" s="9">
        <f>MBQ[[#This Row],[HEIGHT (mm)]]/1000*MBQ[[#This Row],[WIDTH (mm)]]/1000*MBQ[[#This Row],[QTY TOTAL]]</f>
        <v>2.7</v>
      </c>
      <c r="W493" s="287">
        <f>ROUNDUP(MBQ[[#This Row],[HEIGHT (mm)]]/450*MBQ[[#This Row],[QTY]]*2,0)+ROUNDUP(MBQ[[#This Row],[WIDTH (mm)]]/450*MBQ[[#This Row],[QTY]]*2,0)</f>
        <v>17</v>
      </c>
    </row>
    <row r="494" spans="1:23" hidden="1">
      <c r="A494" s="258">
        <v>1</v>
      </c>
      <c r="B494" s="276" t="s">
        <v>536</v>
      </c>
      <c r="C494" s="278" t="s">
        <v>554</v>
      </c>
      <c r="D494" s="277" t="s">
        <v>568</v>
      </c>
      <c r="E494" s="289" t="s">
        <v>608</v>
      </c>
      <c r="F494" s="261"/>
      <c r="G494" s="262"/>
      <c r="H494" s="262"/>
      <c r="I494" s="260" t="s">
        <v>441</v>
      </c>
      <c r="J494" s="263"/>
      <c r="K494" s="285" t="s">
        <v>591</v>
      </c>
      <c r="L494" s="260"/>
      <c r="M494" s="263"/>
      <c r="N494" s="263"/>
      <c r="O494" s="264">
        <v>1700</v>
      </c>
      <c r="P494" s="264">
        <v>2400</v>
      </c>
      <c r="Q494" s="265">
        <v>1</v>
      </c>
      <c r="R494" s="30">
        <f>MBQ[[#This Row],[HEIGHT (mm)]]*MBQ[[#This Row],[QTY TOTAL]]/1000</f>
        <v>1.7</v>
      </c>
      <c r="S494" s="30">
        <f>MBQ[[#This Row],[WIDTH (mm)]]*MBQ[[#This Row],[QTY TOTAL]]/1000</f>
        <v>2.4</v>
      </c>
      <c r="T494" s="9">
        <f>(MBQ[[#This Row],[HEIGHT (mm)]]+MBQ[[#This Row],[WIDTH (mm)]])/1000*2*MBQ[[#This Row],[QTY TOTAL]]</f>
        <v>8.1999999999999993</v>
      </c>
      <c r="U494" s="266">
        <f>MBQ[[#This Row],[MULTIPLIER]]*MBQ[[#This Row],[QTY]]</f>
        <v>1</v>
      </c>
      <c r="V494" s="9">
        <f>MBQ[[#This Row],[HEIGHT (mm)]]/1000*MBQ[[#This Row],[WIDTH (mm)]]/1000*MBQ[[#This Row],[QTY TOTAL]]</f>
        <v>4.08</v>
      </c>
      <c r="W494" s="287">
        <f>ROUNDUP(MBQ[[#This Row],[HEIGHT (mm)]]/450*MBQ[[#This Row],[QTY]]*2,0)+ROUNDUP(MBQ[[#This Row],[WIDTH (mm)]]/450*MBQ[[#This Row],[QTY]]*2,0)</f>
        <v>19</v>
      </c>
    </row>
    <row r="495" spans="1:23" hidden="1">
      <c r="A495" s="258">
        <v>1</v>
      </c>
      <c r="B495" s="276" t="s">
        <v>536</v>
      </c>
      <c r="C495" s="278" t="s">
        <v>554</v>
      </c>
      <c r="D495" s="277" t="s">
        <v>568</v>
      </c>
      <c r="E495" s="289" t="s">
        <v>608</v>
      </c>
      <c r="F495" s="261"/>
      <c r="G495" s="262"/>
      <c r="H495" s="262"/>
      <c r="I495" s="260" t="s">
        <v>439</v>
      </c>
      <c r="J495" s="278" t="s">
        <v>443</v>
      </c>
      <c r="K495" s="285" t="s">
        <v>591</v>
      </c>
      <c r="L495" s="277" t="s">
        <v>556</v>
      </c>
      <c r="M495" s="263"/>
      <c r="N495" s="278"/>
      <c r="O495" s="264">
        <v>1700</v>
      </c>
      <c r="P495" s="264">
        <v>1200</v>
      </c>
      <c r="Q495" s="265">
        <v>1</v>
      </c>
      <c r="R495" s="30">
        <f>MBQ[[#This Row],[HEIGHT (mm)]]*MBQ[[#This Row],[QTY TOTAL]]/1000</f>
        <v>1.7</v>
      </c>
      <c r="S495" s="30">
        <f>MBQ[[#This Row],[WIDTH (mm)]]*MBQ[[#This Row],[QTY TOTAL]]/1000</f>
        <v>1.2</v>
      </c>
      <c r="T495" s="9">
        <f>(MBQ[[#This Row],[HEIGHT (mm)]]+MBQ[[#This Row],[WIDTH (mm)]])/1000*2*MBQ[[#This Row],[QTY TOTAL]]</f>
        <v>5.8</v>
      </c>
      <c r="U495" s="266">
        <f>MBQ[[#This Row],[MULTIPLIER]]*MBQ[[#This Row],[QTY]]</f>
        <v>1</v>
      </c>
      <c r="V495" s="9">
        <f>MBQ[[#This Row],[HEIGHT (mm)]]/1000*MBQ[[#This Row],[WIDTH (mm)]]/1000*MBQ[[#This Row],[QTY TOTAL]]</f>
        <v>2.04</v>
      </c>
      <c r="W495" s="287">
        <f>ROUNDUP(MBQ[[#This Row],[HEIGHT (mm)]]/450*MBQ[[#This Row],[QTY]]*2,0)+ROUNDUP(MBQ[[#This Row],[WIDTH (mm)]]/450*MBQ[[#This Row],[QTY]]*2,0)</f>
        <v>14</v>
      </c>
    </row>
    <row r="496" spans="1:23" hidden="1">
      <c r="A496" s="258">
        <v>1</v>
      </c>
      <c r="B496" s="276" t="s">
        <v>536</v>
      </c>
      <c r="C496" s="278" t="s">
        <v>554</v>
      </c>
      <c r="D496" s="277" t="s">
        <v>568</v>
      </c>
      <c r="E496" s="289" t="s">
        <v>608</v>
      </c>
      <c r="F496" s="261"/>
      <c r="G496" s="262"/>
      <c r="H496" s="262"/>
      <c r="I496" s="260" t="s">
        <v>439</v>
      </c>
      <c r="J496" s="278" t="s">
        <v>443</v>
      </c>
      <c r="K496" s="285" t="s">
        <v>591</v>
      </c>
      <c r="L496" s="277" t="s">
        <v>556</v>
      </c>
      <c r="M496" s="263"/>
      <c r="N496" s="263"/>
      <c r="O496" s="264">
        <v>1700</v>
      </c>
      <c r="P496" s="264">
        <v>1200</v>
      </c>
      <c r="Q496" s="265">
        <v>1</v>
      </c>
      <c r="R496" s="30">
        <f>MBQ[[#This Row],[HEIGHT (mm)]]*MBQ[[#This Row],[QTY TOTAL]]/1000</f>
        <v>1.7</v>
      </c>
      <c r="S496" s="30">
        <f>MBQ[[#This Row],[WIDTH (mm)]]*MBQ[[#This Row],[QTY TOTAL]]/1000</f>
        <v>1.2</v>
      </c>
      <c r="T496" s="9">
        <f>(MBQ[[#This Row],[HEIGHT (mm)]]+MBQ[[#This Row],[WIDTH (mm)]])/1000*2*MBQ[[#This Row],[QTY TOTAL]]</f>
        <v>5.8</v>
      </c>
      <c r="U496" s="266">
        <f>MBQ[[#This Row],[MULTIPLIER]]*MBQ[[#This Row],[QTY]]</f>
        <v>1</v>
      </c>
      <c r="V496" s="9">
        <f>MBQ[[#This Row],[HEIGHT (mm)]]/1000*MBQ[[#This Row],[WIDTH (mm)]]/1000*MBQ[[#This Row],[QTY TOTAL]]</f>
        <v>2.04</v>
      </c>
      <c r="W496" s="287">
        <f>ROUNDUP(MBQ[[#This Row],[HEIGHT (mm)]]/450*MBQ[[#This Row],[QTY]]*2,0)+ROUNDUP(MBQ[[#This Row],[WIDTH (mm)]]/450*MBQ[[#This Row],[QTY]]*2,0)</f>
        <v>14</v>
      </c>
    </row>
    <row r="497" spans="1:23" hidden="1">
      <c r="A497" s="258">
        <v>1</v>
      </c>
      <c r="B497" s="276" t="s">
        <v>536</v>
      </c>
      <c r="C497" s="278" t="s">
        <v>554</v>
      </c>
      <c r="D497" s="277" t="s">
        <v>568</v>
      </c>
      <c r="E497" s="289" t="s">
        <v>608</v>
      </c>
      <c r="F497" s="261"/>
      <c r="G497" s="262"/>
      <c r="H497" s="262"/>
      <c r="I497" s="260" t="s">
        <v>442</v>
      </c>
      <c r="J497" s="278" t="s">
        <v>443</v>
      </c>
      <c r="K497" s="285" t="s">
        <v>591</v>
      </c>
      <c r="L497" s="277" t="s">
        <v>556</v>
      </c>
      <c r="M497" s="263"/>
      <c r="N497" s="263"/>
      <c r="O497" s="264">
        <v>1700</v>
      </c>
      <c r="P497" s="264">
        <v>1200</v>
      </c>
      <c r="Q497" s="265">
        <v>1</v>
      </c>
      <c r="R497" s="30">
        <f>MBQ[[#This Row],[HEIGHT (mm)]]*MBQ[[#This Row],[QTY TOTAL]]/1000</f>
        <v>1.7</v>
      </c>
      <c r="S497" s="30">
        <f>MBQ[[#This Row],[WIDTH (mm)]]*MBQ[[#This Row],[QTY TOTAL]]/1000</f>
        <v>1.2</v>
      </c>
      <c r="T497" s="9">
        <f>(MBQ[[#This Row],[HEIGHT (mm)]]+MBQ[[#This Row],[WIDTH (mm)]])/1000*2*MBQ[[#This Row],[QTY TOTAL]]</f>
        <v>5.8</v>
      </c>
      <c r="U497" s="266">
        <f>MBQ[[#This Row],[MULTIPLIER]]*MBQ[[#This Row],[QTY]]</f>
        <v>1</v>
      </c>
      <c r="V497" s="9">
        <f>MBQ[[#This Row],[HEIGHT (mm)]]/1000*MBQ[[#This Row],[WIDTH (mm)]]/1000*MBQ[[#This Row],[QTY TOTAL]]</f>
        <v>2.04</v>
      </c>
      <c r="W497" s="287">
        <f>ROUNDUP(MBQ[[#This Row],[HEIGHT (mm)]]/450*MBQ[[#This Row],[QTY]]*2,0)+ROUNDUP(MBQ[[#This Row],[WIDTH (mm)]]/450*MBQ[[#This Row],[QTY]]*2,0)</f>
        <v>14</v>
      </c>
    </row>
    <row r="498" spans="1:23" hidden="1">
      <c r="A498" s="258">
        <v>1</v>
      </c>
      <c r="B498" s="276" t="s">
        <v>536</v>
      </c>
      <c r="C498" s="278" t="s">
        <v>554</v>
      </c>
      <c r="D498" s="277" t="s">
        <v>568</v>
      </c>
      <c r="E498" s="289" t="s">
        <v>608</v>
      </c>
      <c r="F498" s="261"/>
      <c r="G498" s="262"/>
      <c r="H498" s="262"/>
      <c r="I498" s="260" t="s">
        <v>442</v>
      </c>
      <c r="J498" s="278" t="s">
        <v>443</v>
      </c>
      <c r="K498" s="285" t="s">
        <v>591</v>
      </c>
      <c r="L498" s="277" t="s">
        <v>556</v>
      </c>
      <c r="M498" s="263"/>
      <c r="N498" s="263"/>
      <c r="O498" s="264">
        <v>1700</v>
      </c>
      <c r="P498" s="264">
        <v>1200</v>
      </c>
      <c r="Q498" s="265">
        <v>1</v>
      </c>
      <c r="R498" s="30">
        <f>MBQ[[#This Row],[HEIGHT (mm)]]*MBQ[[#This Row],[QTY TOTAL]]/1000</f>
        <v>1.7</v>
      </c>
      <c r="S498" s="30">
        <f>MBQ[[#This Row],[WIDTH (mm)]]*MBQ[[#This Row],[QTY TOTAL]]/1000</f>
        <v>1.2</v>
      </c>
      <c r="T498" s="9">
        <f>(MBQ[[#This Row],[HEIGHT (mm)]]+MBQ[[#This Row],[WIDTH (mm)]])/1000*2*MBQ[[#This Row],[QTY TOTAL]]</f>
        <v>5.8</v>
      </c>
      <c r="U498" s="266">
        <f>MBQ[[#This Row],[MULTIPLIER]]*MBQ[[#This Row],[QTY]]</f>
        <v>1</v>
      </c>
      <c r="V498" s="9">
        <f>MBQ[[#This Row],[HEIGHT (mm)]]/1000*MBQ[[#This Row],[WIDTH (mm)]]/1000*MBQ[[#This Row],[QTY TOTAL]]</f>
        <v>2.04</v>
      </c>
      <c r="W498" s="287">
        <f>ROUNDUP(MBQ[[#This Row],[HEIGHT (mm)]]/450*MBQ[[#This Row],[QTY]]*2,0)+ROUNDUP(MBQ[[#This Row],[WIDTH (mm)]]/450*MBQ[[#This Row],[QTY]]*2,0)</f>
        <v>14</v>
      </c>
    </row>
    <row r="499" spans="1:23" hidden="1">
      <c r="A499" s="258">
        <v>1</v>
      </c>
      <c r="B499" s="276" t="s">
        <v>536</v>
      </c>
      <c r="C499" s="278" t="s">
        <v>554</v>
      </c>
      <c r="D499" s="277" t="s">
        <v>569</v>
      </c>
      <c r="E499" s="289" t="s">
        <v>608</v>
      </c>
      <c r="F499" s="261"/>
      <c r="G499" s="262"/>
      <c r="H499" s="262"/>
      <c r="I499" s="260" t="s">
        <v>441</v>
      </c>
      <c r="J499" s="263"/>
      <c r="K499" s="285" t="s">
        <v>591</v>
      </c>
      <c r="L499" s="260"/>
      <c r="M499" s="263"/>
      <c r="N499" s="263"/>
      <c r="O499" s="264">
        <v>1700</v>
      </c>
      <c r="P499" s="264">
        <v>2400</v>
      </c>
      <c r="Q499" s="265">
        <v>1</v>
      </c>
      <c r="R499" s="30">
        <f>MBQ[[#This Row],[HEIGHT (mm)]]*MBQ[[#This Row],[QTY TOTAL]]/1000</f>
        <v>1.7</v>
      </c>
      <c r="S499" s="30">
        <f>MBQ[[#This Row],[WIDTH (mm)]]*MBQ[[#This Row],[QTY TOTAL]]/1000</f>
        <v>2.4</v>
      </c>
      <c r="T499" s="9">
        <f>(MBQ[[#This Row],[HEIGHT (mm)]]+MBQ[[#This Row],[WIDTH (mm)]])/1000*2*MBQ[[#This Row],[QTY TOTAL]]</f>
        <v>8.1999999999999993</v>
      </c>
      <c r="U499" s="266">
        <f>MBQ[[#This Row],[MULTIPLIER]]*MBQ[[#This Row],[QTY]]</f>
        <v>1</v>
      </c>
      <c r="V499" s="9">
        <f>MBQ[[#This Row],[HEIGHT (mm)]]/1000*MBQ[[#This Row],[WIDTH (mm)]]/1000*MBQ[[#This Row],[QTY TOTAL]]</f>
        <v>4.08</v>
      </c>
      <c r="W499" s="287">
        <f>ROUNDUP(MBQ[[#This Row],[HEIGHT (mm)]]/450*MBQ[[#This Row],[QTY]]*2,0)+ROUNDUP(MBQ[[#This Row],[WIDTH (mm)]]/450*MBQ[[#This Row],[QTY]]*2,0)</f>
        <v>19</v>
      </c>
    </row>
    <row r="500" spans="1:23" hidden="1">
      <c r="A500" s="258">
        <v>1</v>
      </c>
      <c r="B500" s="276" t="s">
        <v>536</v>
      </c>
      <c r="C500" s="278" t="s">
        <v>554</v>
      </c>
      <c r="D500" s="277" t="s">
        <v>569</v>
      </c>
      <c r="E500" s="289" t="s">
        <v>608</v>
      </c>
      <c r="F500" s="261"/>
      <c r="G500" s="262"/>
      <c r="H500" s="262"/>
      <c r="I500" s="260" t="s">
        <v>439</v>
      </c>
      <c r="J500" s="278" t="s">
        <v>443</v>
      </c>
      <c r="K500" s="285" t="s">
        <v>591</v>
      </c>
      <c r="L500" s="277" t="s">
        <v>556</v>
      </c>
      <c r="M500" s="263"/>
      <c r="N500" s="278"/>
      <c r="O500" s="264">
        <v>1700</v>
      </c>
      <c r="P500" s="264">
        <v>1200</v>
      </c>
      <c r="Q500" s="265">
        <v>1</v>
      </c>
      <c r="R500" s="30">
        <f>MBQ[[#This Row],[HEIGHT (mm)]]*MBQ[[#This Row],[QTY TOTAL]]/1000</f>
        <v>1.7</v>
      </c>
      <c r="S500" s="30">
        <f>MBQ[[#This Row],[WIDTH (mm)]]*MBQ[[#This Row],[QTY TOTAL]]/1000</f>
        <v>1.2</v>
      </c>
      <c r="T500" s="9">
        <f>(MBQ[[#This Row],[HEIGHT (mm)]]+MBQ[[#This Row],[WIDTH (mm)]])/1000*2*MBQ[[#This Row],[QTY TOTAL]]</f>
        <v>5.8</v>
      </c>
      <c r="U500" s="266">
        <f>MBQ[[#This Row],[MULTIPLIER]]*MBQ[[#This Row],[QTY]]</f>
        <v>1</v>
      </c>
      <c r="V500" s="9">
        <f>MBQ[[#This Row],[HEIGHT (mm)]]/1000*MBQ[[#This Row],[WIDTH (mm)]]/1000*MBQ[[#This Row],[QTY TOTAL]]</f>
        <v>2.04</v>
      </c>
      <c r="W500" s="287">
        <f>ROUNDUP(MBQ[[#This Row],[HEIGHT (mm)]]/450*MBQ[[#This Row],[QTY]]*2,0)+ROUNDUP(MBQ[[#This Row],[WIDTH (mm)]]/450*MBQ[[#This Row],[QTY]]*2,0)</f>
        <v>14</v>
      </c>
    </row>
    <row r="501" spans="1:23" hidden="1">
      <c r="A501" s="258">
        <v>1</v>
      </c>
      <c r="B501" s="276" t="s">
        <v>536</v>
      </c>
      <c r="C501" s="278" t="s">
        <v>554</v>
      </c>
      <c r="D501" s="277" t="s">
        <v>569</v>
      </c>
      <c r="E501" s="289" t="s">
        <v>608</v>
      </c>
      <c r="F501" s="261"/>
      <c r="G501" s="262"/>
      <c r="H501" s="262"/>
      <c r="I501" s="260" t="s">
        <v>439</v>
      </c>
      <c r="J501" s="278" t="s">
        <v>443</v>
      </c>
      <c r="K501" s="285" t="s">
        <v>591</v>
      </c>
      <c r="L501" s="277" t="s">
        <v>556</v>
      </c>
      <c r="M501" s="263"/>
      <c r="N501" s="263"/>
      <c r="O501" s="264">
        <v>1700</v>
      </c>
      <c r="P501" s="264">
        <v>1200</v>
      </c>
      <c r="Q501" s="265">
        <v>1</v>
      </c>
      <c r="R501" s="30">
        <f>MBQ[[#This Row],[HEIGHT (mm)]]*MBQ[[#This Row],[QTY TOTAL]]/1000</f>
        <v>1.7</v>
      </c>
      <c r="S501" s="30">
        <f>MBQ[[#This Row],[WIDTH (mm)]]*MBQ[[#This Row],[QTY TOTAL]]/1000</f>
        <v>1.2</v>
      </c>
      <c r="T501" s="9">
        <f>(MBQ[[#This Row],[HEIGHT (mm)]]+MBQ[[#This Row],[WIDTH (mm)]])/1000*2*MBQ[[#This Row],[QTY TOTAL]]</f>
        <v>5.8</v>
      </c>
      <c r="U501" s="266">
        <f>MBQ[[#This Row],[MULTIPLIER]]*MBQ[[#This Row],[QTY]]</f>
        <v>1</v>
      </c>
      <c r="V501" s="9">
        <f>MBQ[[#This Row],[HEIGHT (mm)]]/1000*MBQ[[#This Row],[WIDTH (mm)]]/1000*MBQ[[#This Row],[QTY TOTAL]]</f>
        <v>2.04</v>
      </c>
      <c r="W501" s="287">
        <f>ROUNDUP(MBQ[[#This Row],[HEIGHT (mm)]]/450*MBQ[[#This Row],[QTY]]*2,0)+ROUNDUP(MBQ[[#This Row],[WIDTH (mm)]]/450*MBQ[[#This Row],[QTY]]*2,0)</f>
        <v>14</v>
      </c>
    </row>
    <row r="502" spans="1:23" hidden="1">
      <c r="A502" s="258">
        <v>1</v>
      </c>
      <c r="B502" s="276" t="s">
        <v>536</v>
      </c>
      <c r="C502" s="278" t="s">
        <v>554</v>
      </c>
      <c r="D502" s="277" t="s">
        <v>569</v>
      </c>
      <c r="E502" s="289" t="s">
        <v>608</v>
      </c>
      <c r="F502" s="261"/>
      <c r="G502" s="262"/>
      <c r="H502" s="262"/>
      <c r="I502" s="260" t="s">
        <v>442</v>
      </c>
      <c r="J502" s="278" t="s">
        <v>443</v>
      </c>
      <c r="K502" s="285" t="s">
        <v>591</v>
      </c>
      <c r="L502" s="277" t="s">
        <v>556</v>
      </c>
      <c r="M502" s="263"/>
      <c r="N502" s="263"/>
      <c r="O502" s="264">
        <v>1700</v>
      </c>
      <c r="P502" s="264">
        <v>1200</v>
      </c>
      <c r="Q502" s="265">
        <v>1</v>
      </c>
      <c r="R502" s="30">
        <f>MBQ[[#This Row],[HEIGHT (mm)]]*MBQ[[#This Row],[QTY TOTAL]]/1000</f>
        <v>1.7</v>
      </c>
      <c r="S502" s="30">
        <f>MBQ[[#This Row],[WIDTH (mm)]]*MBQ[[#This Row],[QTY TOTAL]]/1000</f>
        <v>1.2</v>
      </c>
      <c r="T502" s="9">
        <f>(MBQ[[#This Row],[HEIGHT (mm)]]+MBQ[[#This Row],[WIDTH (mm)]])/1000*2*MBQ[[#This Row],[QTY TOTAL]]</f>
        <v>5.8</v>
      </c>
      <c r="U502" s="266">
        <f>MBQ[[#This Row],[MULTIPLIER]]*MBQ[[#This Row],[QTY]]</f>
        <v>1</v>
      </c>
      <c r="V502" s="9">
        <f>MBQ[[#This Row],[HEIGHT (mm)]]/1000*MBQ[[#This Row],[WIDTH (mm)]]/1000*MBQ[[#This Row],[QTY TOTAL]]</f>
        <v>2.04</v>
      </c>
      <c r="W502" s="287">
        <f>ROUNDUP(MBQ[[#This Row],[HEIGHT (mm)]]/450*MBQ[[#This Row],[QTY]]*2,0)+ROUNDUP(MBQ[[#This Row],[WIDTH (mm)]]/450*MBQ[[#This Row],[QTY]]*2,0)</f>
        <v>14</v>
      </c>
    </row>
    <row r="503" spans="1:23" hidden="1">
      <c r="A503" s="258">
        <v>1</v>
      </c>
      <c r="B503" s="276" t="s">
        <v>536</v>
      </c>
      <c r="C503" s="278" t="s">
        <v>554</v>
      </c>
      <c r="D503" s="277" t="s">
        <v>569</v>
      </c>
      <c r="E503" s="289" t="s">
        <v>608</v>
      </c>
      <c r="F503" s="261"/>
      <c r="G503" s="262"/>
      <c r="H503" s="262"/>
      <c r="I503" s="260" t="s">
        <v>442</v>
      </c>
      <c r="J503" s="278" t="s">
        <v>443</v>
      </c>
      <c r="K503" s="285" t="s">
        <v>591</v>
      </c>
      <c r="L503" s="277" t="s">
        <v>556</v>
      </c>
      <c r="M503" s="263"/>
      <c r="N503" s="263"/>
      <c r="O503" s="264">
        <v>1700</v>
      </c>
      <c r="P503" s="264">
        <v>1200</v>
      </c>
      <c r="Q503" s="265">
        <v>1</v>
      </c>
      <c r="R503" s="30">
        <f>MBQ[[#This Row],[HEIGHT (mm)]]*MBQ[[#This Row],[QTY TOTAL]]/1000</f>
        <v>1.7</v>
      </c>
      <c r="S503" s="30">
        <f>MBQ[[#This Row],[WIDTH (mm)]]*MBQ[[#This Row],[QTY TOTAL]]/1000</f>
        <v>1.2</v>
      </c>
      <c r="T503" s="9">
        <f>(MBQ[[#This Row],[HEIGHT (mm)]]+MBQ[[#This Row],[WIDTH (mm)]])/1000*2*MBQ[[#This Row],[QTY TOTAL]]</f>
        <v>5.8</v>
      </c>
      <c r="U503" s="266">
        <f>MBQ[[#This Row],[MULTIPLIER]]*MBQ[[#This Row],[QTY]]</f>
        <v>1</v>
      </c>
      <c r="V503" s="9">
        <f>MBQ[[#This Row],[HEIGHT (mm)]]/1000*MBQ[[#This Row],[WIDTH (mm)]]/1000*MBQ[[#This Row],[QTY TOTAL]]</f>
        <v>2.04</v>
      </c>
      <c r="W503" s="287">
        <f>ROUNDUP(MBQ[[#This Row],[HEIGHT (mm)]]/450*MBQ[[#This Row],[QTY]]*2,0)+ROUNDUP(MBQ[[#This Row],[WIDTH (mm)]]/450*MBQ[[#This Row],[QTY]]*2,0)</f>
        <v>14</v>
      </c>
    </row>
    <row r="504" spans="1:23" hidden="1">
      <c r="A504" s="258">
        <v>1</v>
      </c>
      <c r="B504" s="276" t="s">
        <v>536</v>
      </c>
      <c r="C504" s="278" t="s">
        <v>554</v>
      </c>
      <c r="D504" s="277" t="s">
        <v>570</v>
      </c>
      <c r="E504" s="289" t="s">
        <v>608</v>
      </c>
      <c r="F504" s="261"/>
      <c r="G504" s="262"/>
      <c r="H504" s="262"/>
      <c r="I504" s="260" t="s">
        <v>441</v>
      </c>
      <c r="J504" s="263"/>
      <c r="K504" s="285" t="s">
        <v>591</v>
      </c>
      <c r="L504" s="260"/>
      <c r="M504" s="263"/>
      <c r="N504" s="263"/>
      <c r="O504" s="264">
        <v>1700</v>
      </c>
      <c r="P504" s="264">
        <v>2400</v>
      </c>
      <c r="Q504" s="265">
        <v>1</v>
      </c>
      <c r="R504" s="30">
        <f>MBQ[[#This Row],[HEIGHT (mm)]]*MBQ[[#This Row],[QTY TOTAL]]/1000</f>
        <v>1.7</v>
      </c>
      <c r="S504" s="30">
        <f>MBQ[[#This Row],[WIDTH (mm)]]*MBQ[[#This Row],[QTY TOTAL]]/1000</f>
        <v>2.4</v>
      </c>
      <c r="T504" s="9">
        <f>(MBQ[[#This Row],[HEIGHT (mm)]]+MBQ[[#This Row],[WIDTH (mm)]])/1000*2*MBQ[[#This Row],[QTY TOTAL]]</f>
        <v>8.1999999999999993</v>
      </c>
      <c r="U504" s="266">
        <f>MBQ[[#This Row],[MULTIPLIER]]*MBQ[[#This Row],[QTY]]</f>
        <v>1</v>
      </c>
      <c r="V504" s="9">
        <f>MBQ[[#This Row],[HEIGHT (mm)]]/1000*MBQ[[#This Row],[WIDTH (mm)]]/1000*MBQ[[#This Row],[QTY TOTAL]]</f>
        <v>4.08</v>
      </c>
      <c r="W504" s="287">
        <f>ROUNDUP(MBQ[[#This Row],[HEIGHT (mm)]]/450*MBQ[[#This Row],[QTY]]*2,0)+ROUNDUP(MBQ[[#This Row],[WIDTH (mm)]]/450*MBQ[[#This Row],[QTY]]*2,0)</f>
        <v>19</v>
      </c>
    </row>
    <row r="505" spans="1:23" hidden="1">
      <c r="A505" s="258">
        <v>1</v>
      </c>
      <c r="B505" s="276" t="s">
        <v>536</v>
      </c>
      <c r="C505" s="278" t="s">
        <v>554</v>
      </c>
      <c r="D505" s="277" t="s">
        <v>570</v>
      </c>
      <c r="E505" s="289" t="s">
        <v>608</v>
      </c>
      <c r="F505" s="261"/>
      <c r="G505" s="262"/>
      <c r="H505" s="262"/>
      <c r="I505" s="260" t="s">
        <v>439</v>
      </c>
      <c r="J505" s="278" t="s">
        <v>443</v>
      </c>
      <c r="K505" s="285" t="s">
        <v>591</v>
      </c>
      <c r="L505" s="277" t="s">
        <v>556</v>
      </c>
      <c r="M505" s="263"/>
      <c r="N505" s="278"/>
      <c r="O505" s="264">
        <v>1700</v>
      </c>
      <c r="P505" s="264">
        <v>1200</v>
      </c>
      <c r="Q505" s="265">
        <v>1</v>
      </c>
      <c r="R505" s="30">
        <f>MBQ[[#This Row],[HEIGHT (mm)]]*MBQ[[#This Row],[QTY TOTAL]]/1000</f>
        <v>1.7</v>
      </c>
      <c r="S505" s="30">
        <f>MBQ[[#This Row],[WIDTH (mm)]]*MBQ[[#This Row],[QTY TOTAL]]/1000</f>
        <v>1.2</v>
      </c>
      <c r="T505" s="9">
        <f>(MBQ[[#This Row],[HEIGHT (mm)]]+MBQ[[#This Row],[WIDTH (mm)]])/1000*2*MBQ[[#This Row],[QTY TOTAL]]</f>
        <v>5.8</v>
      </c>
      <c r="U505" s="266">
        <f>MBQ[[#This Row],[MULTIPLIER]]*MBQ[[#This Row],[QTY]]</f>
        <v>1</v>
      </c>
      <c r="V505" s="9">
        <f>MBQ[[#This Row],[HEIGHT (mm)]]/1000*MBQ[[#This Row],[WIDTH (mm)]]/1000*MBQ[[#This Row],[QTY TOTAL]]</f>
        <v>2.04</v>
      </c>
      <c r="W505" s="287">
        <f>ROUNDUP(MBQ[[#This Row],[HEIGHT (mm)]]/450*MBQ[[#This Row],[QTY]]*2,0)+ROUNDUP(MBQ[[#This Row],[WIDTH (mm)]]/450*MBQ[[#This Row],[QTY]]*2,0)</f>
        <v>14</v>
      </c>
    </row>
    <row r="506" spans="1:23" hidden="1">
      <c r="A506" s="258">
        <v>1</v>
      </c>
      <c r="B506" s="276" t="s">
        <v>536</v>
      </c>
      <c r="C506" s="278" t="s">
        <v>554</v>
      </c>
      <c r="D506" s="277" t="s">
        <v>570</v>
      </c>
      <c r="E506" s="289" t="s">
        <v>608</v>
      </c>
      <c r="F506" s="261"/>
      <c r="G506" s="262"/>
      <c r="H506" s="262"/>
      <c r="I506" s="260" t="s">
        <v>439</v>
      </c>
      <c r="J506" s="278" t="s">
        <v>443</v>
      </c>
      <c r="K506" s="285" t="s">
        <v>591</v>
      </c>
      <c r="L506" s="277" t="s">
        <v>556</v>
      </c>
      <c r="M506" s="263"/>
      <c r="N506" s="263"/>
      <c r="O506" s="264">
        <v>1700</v>
      </c>
      <c r="P506" s="264">
        <v>1200</v>
      </c>
      <c r="Q506" s="265">
        <v>1</v>
      </c>
      <c r="R506" s="30">
        <f>MBQ[[#This Row],[HEIGHT (mm)]]*MBQ[[#This Row],[QTY TOTAL]]/1000</f>
        <v>1.7</v>
      </c>
      <c r="S506" s="30">
        <f>MBQ[[#This Row],[WIDTH (mm)]]*MBQ[[#This Row],[QTY TOTAL]]/1000</f>
        <v>1.2</v>
      </c>
      <c r="T506" s="9">
        <f>(MBQ[[#This Row],[HEIGHT (mm)]]+MBQ[[#This Row],[WIDTH (mm)]])/1000*2*MBQ[[#This Row],[QTY TOTAL]]</f>
        <v>5.8</v>
      </c>
      <c r="U506" s="266">
        <f>MBQ[[#This Row],[MULTIPLIER]]*MBQ[[#This Row],[QTY]]</f>
        <v>1</v>
      </c>
      <c r="V506" s="9">
        <f>MBQ[[#This Row],[HEIGHT (mm)]]/1000*MBQ[[#This Row],[WIDTH (mm)]]/1000*MBQ[[#This Row],[QTY TOTAL]]</f>
        <v>2.04</v>
      </c>
      <c r="W506" s="287">
        <f>ROUNDUP(MBQ[[#This Row],[HEIGHT (mm)]]/450*MBQ[[#This Row],[QTY]]*2,0)+ROUNDUP(MBQ[[#This Row],[WIDTH (mm)]]/450*MBQ[[#This Row],[QTY]]*2,0)</f>
        <v>14</v>
      </c>
    </row>
    <row r="507" spans="1:23" hidden="1">
      <c r="A507" s="258">
        <v>1</v>
      </c>
      <c r="B507" s="276" t="s">
        <v>536</v>
      </c>
      <c r="C507" s="278" t="s">
        <v>554</v>
      </c>
      <c r="D507" s="277" t="s">
        <v>570</v>
      </c>
      <c r="E507" s="289" t="s">
        <v>608</v>
      </c>
      <c r="F507" s="261"/>
      <c r="G507" s="262"/>
      <c r="H507" s="262"/>
      <c r="I507" s="260" t="s">
        <v>442</v>
      </c>
      <c r="J507" s="278" t="s">
        <v>443</v>
      </c>
      <c r="K507" s="285" t="s">
        <v>591</v>
      </c>
      <c r="L507" s="277" t="s">
        <v>556</v>
      </c>
      <c r="M507" s="263"/>
      <c r="N507" s="263"/>
      <c r="O507" s="264">
        <v>1700</v>
      </c>
      <c r="P507" s="264">
        <v>1200</v>
      </c>
      <c r="Q507" s="265">
        <v>1</v>
      </c>
      <c r="R507" s="30">
        <f>MBQ[[#This Row],[HEIGHT (mm)]]*MBQ[[#This Row],[QTY TOTAL]]/1000</f>
        <v>1.7</v>
      </c>
      <c r="S507" s="30">
        <f>MBQ[[#This Row],[WIDTH (mm)]]*MBQ[[#This Row],[QTY TOTAL]]/1000</f>
        <v>1.2</v>
      </c>
      <c r="T507" s="9">
        <f>(MBQ[[#This Row],[HEIGHT (mm)]]+MBQ[[#This Row],[WIDTH (mm)]])/1000*2*MBQ[[#This Row],[QTY TOTAL]]</f>
        <v>5.8</v>
      </c>
      <c r="U507" s="266">
        <f>MBQ[[#This Row],[MULTIPLIER]]*MBQ[[#This Row],[QTY]]</f>
        <v>1</v>
      </c>
      <c r="V507" s="9">
        <f>MBQ[[#This Row],[HEIGHT (mm)]]/1000*MBQ[[#This Row],[WIDTH (mm)]]/1000*MBQ[[#This Row],[QTY TOTAL]]</f>
        <v>2.04</v>
      </c>
      <c r="W507" s="287">
        <f>ROUNDUP(MBQ[[#This Row],[HEIGHT (mm)]]/450*MBQ[[#This Row],[QTY]]*2,0)+ROUNDUP(MBQ[[#This Row],[WIDTH (mm)]]/450*MBQ[[#This Row],[QTY]]*2,0)</f>
        <v>14</v>
      </c>
    </row>
    <row r="508" spans="1:23" hidden="1">
      <c r="A508" s="258">
        <v>1</v>
      </c>
      <c r="B508" s="276" t="s">
        <v>536</v>
      </c>
      <c r="C508" s="278" t="s">
        <v>554</v>
      </c>
      <c r="D508" s="277" t="s">
        <v>570</v>
      </c>
      <c r="E508" s="289" t="s">
        <v>608</v>
      </c>
      <c r="F508" s="261"/>
      <c r="G508" s="262"/>
      <c r="H508" s="262"/>
      <c r="I508" s="260" t="s">
        <v>442</v>
      </c>
      <c r="J508" s="278" t="s">
        <v>443</v>
      </c>
      <c r="K508" s="285" t="s">
        <v>591</v>
      </c>
      <c r="L508" s="277" t="s">
        <v>556</v>
      </c>
      <c r="M508" s="263"/>
      <c r="N508" s="263"/>
      <c r="O508" s="264">
        <v>1700</v>
      </c>
      <c r="P508" s="264">
        <v>1200</v>
      </c>
      <c r="Q508" s="265">
        <v>1</v>
      </c>
      <c r="R508" s="30">
        <f>MBQ[[#This Row],[HEIGHT (mm)]]*MBQ[[#This Row],[QTY TOTAL]]/1000</f>
        <v>1.7</v>
      </c>
      <c r="S508" s="30">
        <f>MBQ[[#This Row],[WIDTH (mm)]]*MBQ[[#This Row],[QTY TOTAL]]/1000</f>
        <v>1.2</v>
      </c>
      <c r="T508" s="9">
        <f>(MBQ[[#This Row],[HEIGHT (mm)]]+MBQ[[#This Row],[WIDTH (mm)]])/1000*2*MBQ[[#This Row],[QTY TOTAL]]</f>
        <v>5.8</v>
      </c>
      <c r="U508" s="266">
        <f>MBQ[[#This Row],[MULTIPLIER]]*MBQ[[#This Row],[QTY]]</f>
        <v>1</v>
      </c>
      <c r="V508" s="9">
        <f>MBQ[[#This Row],[HEIGHT (mm)]]/1000*MBQ[[#This Row],[WIDTH (mm)]]/1000*MBQ[[#This Row],[QTY TOTAL]]</f>
        <v>2.04</v>
      </c>
      <c r="W508" s="287">
        <f>ROUNDUP(MBQ[[#This Row],[HEIGHT (mm)]]/450*MBQ[[#This Row],[QTY]]*2,0)+ROUNDUP(MBQ[[#This Row],[WIDTH (mm)]]/450*MBQ[[#This Row],[QTY]]*2,0)</f>
        <v>14</v>
      </c>
    </row>
    <row r="509" spans="1:23" hidden="1">
      <c r="A509" s="258">
        <v>1</v>
      </c>
      <c r="B509" s="276" t="s">
        <v>536</v>
      </c>
      <c r="C509" s="278" t="s">
        <v>554</v>
      </c>
      <c r="D509" s="277" t="s">
        <v>571</v>
      </c>
      <c r="E509" s="289" t="s">
        <v>608</v>
      </c>
      <c r="F509" s="261"/>
      <c r="G509" s="262"/>
      <c r="H509" s="262"/>
      <c r="I509" s="260" t="s">
        <v>441</v>
      </c>
      <c r="J509" s="263"/>
      <c r="K509" s="285" t="s">
        <v>591</v>
      </c>
      <c r="L509" s="260"/>
      <c r="M509" s="263"/>
      <c r="N509" s="263"/>
      <c r="O509" s="264">
        <v>1700</v>
      </c>
      <c r="P509" s="264">
        <v>2400</v>
      </c>
      <c r="Q509" s="265">
        <v>1</v>
      </c>
      <c r="R509" s="30">
        <f>MBQ[[#This Row],[HEIGHT (mm)]]*MBQ[[#This Row],[QTY TOTAL]]/1000</f>
        <v>1.7</v>
      </c>
      <c r="S509" s="30">
        <f>MBQ[[#This Row],[WIDTH (mm)]]*MBQ[[#This Row],[QTY TOTAL]]/1000</f>
        <v>2.4</v>
      </c>
      <c r="T509" s="9">
        <f>(MBQ[[#This Row],[HEIGHT (mm)]]+MBQ[[#This Row],[WIDTH (mm)]])/1000*2*MBQ[[#This Row],[QTY TOTAL]]</f>
        <v>8.1999999999999993</v>
      </c>
      <c r="U509" s="266">
        <f>MBQ[[#This Row],[MULTIPLIER]]*MBQ[[#This Row],[QTY]]</f>
        <v>1</v>
      </c>
      <c r="V509" s="9">
        <f>MBQ[[#This Row],[HEIGHT (mm)]]/1000*MBQ[[#This Row],[WIDTH (mm)]]/1000*MBQ[[#This Row],[QTY TOTAL]]</f>
        <v>4.08</v>
      </c>
      <c r="W509" s="287">
        <f>ROUNDUP(MBQ[[#This Row],[HEIGHT (mm)]]/450*MBQ[[#This Row],[QTY]]*2,0)+ROUNDUP(MBQ[[#This Row],[WIDTH (mm)]]/450*MBQ[[#This Row],[QTY]]*2,0)</f>
        <v>19</v>
      </c>
    </row>
    <row r="510" spans="1:23" hidden="1">
      <c r="A510" s="258">
        <v>1</v>
      </c>
      <c r="B510" s="276" t="s">
        <v>536</v>
      </c>
      <c r="C510" s="278" t="s">
        <v>554</v>
      </c>
      <c r="D510" s="277" t="s">
        <v>571</v>
      </c>
      <c r="E510" s="289" t="s">
        <v>608</v>
      </c>
      <c r="F510" s="261"/>
      <c r="G510" s="262"/>
      <c r="H510" s="262"/>
      <c r="I510" s="260" t="s">
        <v>439</v>
      </c>
      <c r="J510" s="278" t="s">
        <v>443</v>
      </c>
      <c r="K510" s="285" t="s">
        <v>591</v>
      </c>
      <c r="L510" s="277" t="s">
        <v>556</v>
      </c>
      <c r="M510" s="263"/>
      <c r="N510" s="278"/>
      <c r="O510" s="264">
        <v>1700</v>
      </c>
      <c r="P510" s="264">
        <v>1200</v>
      </c>
      <c r="Q510" s="265">
        <v>1</v>
      </c>
      <c r="R510" s="30">
        <f>MBQ[[#This Row],[HEIGHT (mm)]]*MBQ[[#This Row],[QTY TOTAL]]/1000</f>
        <v>1.7</v>
      </c>
      <c r="S510" s="30">
        <f>MBQ[[#This Row],[WIDTH (mm)]]*MBQ[[#This Row],[QTY TOTAL]]/1000</f>
        <v>1.2</v>
      </c>
      <c r="T510" s="9">
        <f>(MBQ[[#This Row],[HEIGHT (mm)]]+MBQ[[#This Row],[WIDTH (mm)]])/1000*2*MBQ[[#This Row],[QTY TOTAL]]</f>
        <v>5.8</v>
      </c>
      <c r="U510" s="266">
        <f>MBQ[[#This Row],[MULTIPLIER]]*MBQ[[#This Row],[QTY]]</f>
        <v>1</v>
      </c>
      <c r="V510" s="9">
        <f>MBQ[[#This Row],[HEIGHT (mm)]]/1000*MBQ[[#This Row],[WIDTH (mm)]]/1000*MBQ[[#This Row],[QTY TOTAL]]</f>
        <v>2.04</v>
      </c>
      <c r="W510" s="287">
        <f>ROUNDUP(MBQ[[#This Row],[HEIGHT (mm)]]/450*MBQ[[#This Row],[QTY]]*2,0)+ROUNDUP(MBQ[[#This Row],[WIDTH (mm)]]/450*MBQ[[#This Row],[QTY]]*2,0)</f>
        <v>14</v>
      </c>
    </row>
    <row r="511" spans="1:23" hidden="1">
      <c r="A511" s="258">
        <v>1</v>
      </c>
      <c r="B511" s="276" t="s">
        <v>536</v>
      </c>
      <c r="C511" s="278" t="s">
        <v>554</v>
      </c>
      <c r="D511" s="277" t="s">
        <v>571</v>
      </c>
      <c r="E511" s="289" t="s">
        <v>608</v>
      </c>
      <c r="F511" s="261"/>
      <c r="G511" s="262"/>
      <c r="H511" s="262"/>
      <c r="I511" s="260" t="s">
        <v>439</v>
      </c>
      <c r="J511" s="278" t="s">
        <v>443</v>
      </c>
      <c r="K511" s="285" t="s">
        <v>591</v>
      </c>
      <c r="L511" s="277" t="s">
        <v>556</v>
      </c>
      <c r="M511" s="263"/>
      <c r="N511" s="263"/>
      <c r="O511" s="264">
        <v>1700</v>
      </c>
      <c r="P511" s="264">
        <v>1200</v>
      </c>
      <c r="Q511" s="265">
        <v>1</v>
      </c>
      <c r="R511" s="30">
        <f>MBQ[[#This Row],[HEIGHT (mm)]]*MBQ[[#This Row],[QTY TOTAL]]/1000</f>
        <v>1.7</v>
      </c>
      <c r="S511" s="30">
        <f>MBQ[[#This Row],[WIDTH (mm)]]*MBQ[[#This Row],[QTY TOTAL]]/1000</f>
        <v>1.2</v>
      </c>
      <c r="T511" s="9">
        <f>(MBQ[[#This Row],[HEIGHT (mm)]]+MBQ[[#This Row],[WIDTH (mm)]])/1000*2*MBQ[[#This Row],[QTY TOTAL]]</f>
        <v>5.8</v>
      </c>
      <c r="U511" s="266">
        <f>MBQ[[#This Row],[MULTIPLIER]]*MBQ[[#This Row],[QTY]]</f>
        <v>1</v>
      </c>
      <c r="V511" s="9">
        <f>MBQ[[#This Row],[HEIGHT (mm)]]/1000*MBQ[[#This Row],[WIDTH (mm)]]/1000*MBQ[[#This Row],[QTY TOTAL]]</f>
        <v>2.04</v>
      </c>
      <c r="W511" s="287">
        <f>ROUNDUP(MBQ[[#This Row],[HEIGHT (mm)]]/450*MBQ[[#This Row],[QTY]]*2,0)+ROUNDUP(MBQ[[#This Row],[WIDTH (mm)]]/450*MBQ[[#This Row],[QTY]]*2,0)</f>
        <v>14</v>
      </c>
    </row>
    <row r="512" spans="1:23" hidden="1">
      <c r="A512" s="258">
        <v>1</v>
      </c>
      <c r="B512" s="276" t="s">
        <v>536</v>
      </c>
      <c r="C512" s="278" t="s">
        <v>554</v>
      </c>
      <c r="D512" s="277" t="s">
        <v>571</v>
      </c>
      <c r="E512" s="289" t="s">
        <v>608</v>
      </c>
      <c r="F512" s="261"/>
      <c r="G512" s="262"/>
      <c r="H512" s="262"/>
      <c r="I512" s="260" t="s">
        <v>442</v>
      </c>
      <c r="J512" s="278" t="s">
        <v>443</v>
      </c>
      <c r="K512" s="285" t="s">
        <v>591</v>
      </c>
      <c r="L512" s="277" t="s">
        <v>556</v>
      </c>
      <c r="M512" s="263"/>
      <c r="N512" s="263"/>
      <c r="O512" s="264">
        <v>1700</v>
      </c>
      <c r="P512" s="264">
        <v>1200</v>
      </c>
      <c r="Q512" s="265">
        <v>1</v>
      </c>
      <c r="R512" s="30">
        <f>MBQ[[#This Row],[HEIGHT (mm)]]*MBQ[[#This Row],[QTY TOTAL]]/1000</f>
        <v>1.7</v>
      </c>
      <c r="S512" s="30">
        <f>MBQ[[#This Row],[WIDTH (mm)]]*MBQ[[#This Row],[QTY TOTAL]]/1000</f>
        <v>1.2</v>
      </c>
      <c r="T512" s="9">
        <f>(MBQ[[#This Row],[HEIGHT (mm)]]+MBQ[[#This Row],[WIDTH (mm)]])/1000*2*MBQ[[#This Row],[QTY TOTAL]]</f>
        <v>5.8</v>
      </c>
      <c r="U512" s="266">
        <f>MBQ[[#This Row],[MULTIPLIER]]*MBQ[[#This Row],[QTY]]</f>
        <v>1</v>
      </c>
      <c r="V512" s="9">
        <f>MBQ[[#This Row],[HEIGHT (mm)]]/1000*MBQ[[#This Row],[WIDTH (mm)]]/1000*MBQ[[#This Row],[QTY TOTAL]]</f>
        <v>2.04</v>
      </c>
      <c r="W512" s="287">
        <f>ROUNDUP(MBQ[[#This Row],[HEIGHT (mm)]]/450*MBQ[[#This Row],[QTY]]*2,0)+ROUNDUP(MBQ[[#This Row],[WIDTH (mm)]]/450*MBQ[[#This Row],[QTY]]*2,0)</f>
        <v>14</v>
      </c>
    </row>
    <row r="513" spans="1:23" hidden="1">
      <c r="A513" s="258">
        <v>1</v>
      </c>
      <c r="B513" s="276" t="s">
        <v>536</v>
      </c>
      <c r="C513" s="278" t="s">
        <v>554</v>
      </c>
      <c r="D513" s="277" t="s">
        <v>571</v>
      </c>
      <c r="E513" s="289" t="s">
        <v>608</v>
      </c>
      <c r="F513" s="261"/>
      <c r="G513" s="262"/>
      <c r="H513" s="262"/>
      <c r="I513" s="260" t="s">
        <v>442</v>
      </c>
      <c r="J513" s="278" t="s">
        <v>443</v>
      </c>
      <c r="K513" s="285" t="s">
        <v>591</v>
      </c>
      <c r="L513" s="277" t="s">
        <v>556</v>
      </c>
      <c r="M513" s="263"/>
      <c r="N513" s="263"/>
      <c r="O513" s="264">
        <v>1700</v>
      </c>
      <c r="P513" s="264">
        <v>1200</v>
      </c>
      <c r="Q513" s="265">
        <v>1</v>
      </c>
      <c r="R513" s="30">
        <f>MBQ[[#This Row],[HEIGHT (mm)]]*MBQ[[#This Row],[QTY TOTAL]]/1000</f>
        <v>1.7</v>
      </c>
      <c r="S513" s="30">
        <f>MBQ[[#This Row],[WIDTH (mm)]]*MBQ[[#This Row],[QTY TOTAL]]/1000</f>
        <v>1.2</v>
      </c>
      <c r="T513" s="9">
        <f>(MBQ[[#This Row],[HEIGHT (mm)]]+MBQ[[#This Row],[WIDTH (mm)]])/1000*2*MBQ[[#This Row],[QTY TOTAL]]</f>
        <v>5.8</v>
      </c>
      <c r="U513" s="266">
        <f>MBQ[[#This Row],[MULTIPLIER]]*MBQ[[#This Row],[QTY]]</f>
        <v>1</v>
      </c>
      <c r="V513" s="9">
        <f>MBQ[[#This Row],[HEIGHT (mm)]]/1000*MBQ[[#This Row],[WIDTH (mm)]]/1000*MBQ[[#This Row],[QTY TOTAL]]</f>
        <v>2.04</v>
      </c>
      <c r="W513" s="287">
        <f>ROUNDUP(MBQ[[#This Row],[HEIGHT (mm)]]/450*MBQ[[#This Row],[QTY]]*2,0)+ROUNDUP(MBQ[[#This Row],[WIDTH (mm)]]/450*MBQ[[#This Row],[QTY]]*2,0)</f>
        <v>14</v>
      </c>
    </row>
    <row r="514" spans="1:23" hidden="1">
      <c r="A514" s="258">
        <v>1</v>
      </c>
      <c r="B514" s="276" t="s">
        <v>536</v>
      </c>
      <c r="C514" s="278" t="s">
        <v>554</v>
      </c>
      <c r="D514" s="277" t="s">
        <v>572</v>
      </c>
      <c r="E514" s="289" t="s">
        <v>608</v>
      </c>
      <c r="F514" s="261"/>
      <c r="G514" s="262"/>
      <c r="H514" s="262"/>
      <c r="I514" s="260" t="s">
        <v>441</v>
      </c>
      <c r="J514" s="263"/>
      <c r="K514" s="285" t="s">
        <v>591</v>
      </c>
      <c r="L514" s="260"/>
      <c r="M514" s="263"/>
      <c r="N514" s="263"/>
      <c r="O514" s="264">
        <v>1700</v>
      </c>
      <c r="P514" s="264">
        <v>2400</v>
      </c>
      <c r="Q514" s="265">
        <v>1</v>
      </c>
      <c r="R514" s="30">
        <f>MBQ[[#This Row],[HEIGHT (mm)]]*MBQ[[#This Row],[QTY TOTAL]]/1000</f>
        <v>1.7</v>
      </c>
      <c r="S514" s="30">
        <f>MBQ[[#This Row],[WIDTH (mm)]]*MBQ[[#This Row],[QTY TOTAL]]/1000</f>
        <v>2.4</v>
      </c>
      <c r="T514" s="9">
        <f>(MBQ[[#This Row],[HEIGHT (mm)]]+MBQ[[#This Row],[WIDTH (mm)]])/1000*2*MBQ[[#This Row],[QTY TOTAL]]</f>
        <v>8.1999999999999993</v>
      </c>
      <c r="U514" s="266">
        <f>MBQ[[#This Row],[MULTIPLIER]]*MBQ[[#This Row],[QTY]]</f>
        <v>1</v>
      </c>
      <c r="V514" s="9">
        <f>MBQ[[#This Row],[HEIGHT (mm)]]/1000*MBQ[[#This Row],[WIDTH (mm)]]/1000*MBQ[[#This Row],[QTY TOTAL]]</f>
        <v>4.08</v>
      </c>
      <c r="W514" s="287">
        <f>ROUNDUP(MBQ[[#This Row],[HEIGHT (mm)]]/450*MBQ[[#This Row],[QTY]]*2,0)+ROUNDUP(MBQ[[#This Row],[WIDTH (mm)]]/450*MBQ[[#This Row],[QTY]]*2,0)</f>
        <v>19</v>
      </c>
    </row>
    <row r="515" spans="1:23" hidden="1">
      <c r="A515" s="258">
        <v>1</v>
      </c>
      <c r="B515" s="276" t="s">
        <v>536</v>
      </c>
      <c r="C515" s="278" t="s">
        <v>554</v>
      </c>
      <c r="D515" s="277" t="s">
        <v>572</v>
      </c>
      <c r="E515" s="289" t="s">
        <v>608</v>
      </c>
      <c r="F515" s="261"/>
      <c r="G515" s="262"/>
      <c r="H515" s="262"/>
      <c r="I515" s="260" t="s">
        <v>439</v>
      </c>
      <c r="J515" s="278" t="s">
        <v>443</v>
      </c>
      <c r="K515" s="285" t="s">
        <v>591</v>
      </c>
      <c r="L515" s="277" t="s">
        <v>556</v>
      </c>
      <c r="M515" s="263"/>
      <c r="N515" s="278"/>
      <c r="O515" s="264">
        <v>1700</v>
      </c>
      <c r="P515" s="264">
        <v>1200</v>
      </c>
      <c r="Q515" s="265">
        <v>1</v>
      </c>
      <c r="R515" s="30">
        <f>MBQ[[#This Row],[HEIGHT (mm)]]*MBQ[[#This Row],[QTY TOTAL]]/1000</f>
        <v>1.7</v>
      </c>
      <c r="S515" s="30">
        <f>MBQ[[#This Row],[WIDTH (mm)]]*MBQ[[#This Row],[QTY TOTAL]]/1000</f>
        <v>1.2</v>
      </c>
      <c r="T515" s="9">
        <f>(MBQ[[#This Row],[HEIGHT (mm)]]+MBQ[[#This Row],[WIDTH (mm)]])/1000*2*MBQ[[#This Row],[QTY TOTAL]]</f>
        <v>5.8</v>
      </c>
      <c r="U515" s="266">
        <f>MBQ[[#This Row],[MULTIPLIER]]*MBQ[[#This Row],[QTY]]</f>
        <v>1</v>
      </c>
      <c r="V515" s="9">
        <f>MBQ[[#This Row],[HEIGHT (mm)]]/1000*MBQ[[#This Row],[WIDTH (mm)]]/1000*MBQ[[#This Row],[QTY TOTAL]]</f>
        <v>2.04</v>
      </c>
      <c r="W515" s="287">
        <f>ROUNDUP(MBQ[[#This Row],[HEIGHT (mm)]]/450*MBQ[[#This Row],[QTY]]*2,0)+ROUNDUP(MBQ[[#This Row],[WIDTH (mm)]]/450*MBQ[[#This Row],[QTY]]*2,0)</f>
        <v>14</v>
      </c>
    </row>
    <row r="516" spans="1:23" hidden="1">
      <c r="A516" s="258">
        <v>1</v>
      </c>
      <c r="B516" s="276" t="s">
        <v>536</v>
      </c>
      <c r="C516" s="278" t="s">
        <v>554</v>
      </c>
      <c r="D516" s="277" t="s">
        <v>572</v>
      </c>
      <c r="E516" s="289" t="s">
        <v>608</v>
      </c>
      <c r="F516" s="261"/>
      <c r="G516" s="262"/>
      <c r="H516" s="262"/>
      <c r="I516" s="260" t="s">
        <v>439</v>
      </c>
      <c r="J516" s="278" t="s">
        <v>443</v>
      </c>
      <c r="K516" s="285" t="s">
        <v>591</v>
      </c>
      <c r="L516" s="277" t="s">
        <v>556</v>
      </c>
      <c r="M516" s="263"/>
      <c r="N516" s="263"/>
      <c r="O516" s="264">
        <v>1700</v>
      </c>
      <c r="P516" s="264">
        <v>1200</v>
      </c>
      <c r="Q516" s="265">
        <v>1</v>
      </c>
      <c r="R516" s="30">
        <f>MBQ[[#This Row],[HEIGHT (mm)]]*MBQ[[#This Row],[QTY TOTAL]]/1000</f>
        <v>1.7</v>
      </c>
      <c r="S516" s="30">
        <f>MBQ[[#This Row],[WIDTH (mm)]]*MBQ[[#This Row],[QTY TOTAL]]/1000</f>
        <v>1.2</v>
      </c>
      <c r="T516" s="9">
        <f>(MBQ[[#This Row],[HEIGHT (mm)]]+MBQ[[#This Row],[WIDTH (mm)]])/1000*2*MBQ[[#This Row],[QTY TOTAL]]</f>
        <v>5.8</v>
      </c>
      <c r="U516" s="266">
        <f>MBQ[[#This Row],[MULTIPLIER]]*MBQ[[#This Row],[QTY]]</f>
        <v>1</v>
      </c>
      <c r="V516" s="9">
        <f>MBQ[[#This Row],[HEIGHT (mm)]]/1000*MBQ[[#This Row],[WIDTH (mm)]]/1000*MBQ[[#This Row],[QTY TOTAL]]</f>
        <v>2.04</v>
      </c>
      <c r="W516" s="287">
        <f>ROUNDUP(MBQ[[#This Row],[HEIGHT (mm)]]/450*MBQ[[#This Row],[QTY]]*2,0)+ROUNDUP(MBQ[[#This Row],[WIDTH (mm)]]/450*MBQ[[#This Row],[QTY]]*2,0)</f>
        <v>14</v>
      </c>
    </row>
    <row r="517" spans="1:23" hidden="1">
      <c r="A517" s="258">
        <v>1</v>
      </c>
      <c r="B517" s="276" t="s">
        <v>536</v>
      </c>
      <c r="C517" s="278" t="s">
        <v>554</v>
      </c>
      <c r="D517" s="277" t="s">
        <v>572</v>
      </c>
      <c r="E517" s="289" t="s">
        <v>608</v>
      </c>
      <c r="F517" s="261"/>
      <c r="G517" s="262"/>
      <c r="H517" s="262"/>
      <c r="I517" s="260" t="s">
        <v>442</v>
      </c>
      <c r="J517" s="278" t="s">
        <v>443</v>
      </c>
      <c r="K517" s="285" t="s">
        <v>591</v>
      </c>
      <c r="L517" s="277" t="s">
        <v>556</v>
      </c>
      <c r="M517" s="263"/>
      <c r="N517" s="263"/>
      <c r="O517" s="264">
        <v>1700</v>
      </c>
      <c r="P517" s="264">
        <v>1200</v>
      </c>
      <c r="Q517" s="265">
        <v>1</v>
      </c>
      <c r="R517" s="30">
        <f>MBQ[[#This Row],[HEIGHT (mm)]]*MBQ[[#This Row],[QTY TOTAL]]/1000</f>
        <v>1.7</v>
      </c>
      <c r="S517" s="30">
        <f>MBQ[[#This Row],[WIDTH (mm)]]*MBQ[[#This Row],[QTY TOTAL]]/1000</f>
        <v>1.2</v>
      </c>
      <c r="T517" s="9">
        <f>(MBQ[[#This Row],[HEIGHT (mm)]]+MBQ[[#This Row],[WIDTH (mm)]])/1000*2*MBQ[[#This Row],[QTY TOTAL]]</f>
        <v>5.8</v>
      </c>
      <c r="U517" s="266">
        <f>MBQ[[#This Row],[MULTIPLIER]]*MBQ[[#This Row],[QTY]]</f>
        <v>1</v>
      </c>
      <c r="V517" s="9">
        <f>MBQ[[#This Row],[HEIGHT (mm)]]/1000*MBQ[[#This Row],[WIDTH (mm)]]/1000*MBQ[[#This Row],[QTY TOTAL]]</f>
        <v>2.04</v>
      </c>
      <c r="W517" s="287">
        <f>ROUNDUP(MBQ[[#This Row],[HEIGHT (mm)]]/450*MBQ[[#This Row],[QTY]]*2,0)+ROUNDUP(MBQ[[#This Row],[WIDTH (mm)]]/450*MBQ[[#This Row],[QTY]]*2,0)</f>
        <v>14</v>
      </c>
    </row>
    <row r="518" spans="1:23" hidden="1">
      <c r="A518" s="258">
        <v>1</v>
      </c>
      <c r="B518" s="276" t="s">
        <v>536</v>
      </c>
      <c r="C518" s="278" t="s">
        <v>554</v>
      </c>
      <c r="D518" s="277" t="s">
        <v>572</v>
      </c>
      <c r="E518" s="289" t="s">
        <v>608</v>
      </c>
      <c r="F518" s="261"/>
      <c r="G518" s="262"/>
      <c r="H518" s="262"/>
      <c r="I518" s="260" t="s">
        <v>442</v>
      </c>
      <c r="J518" s="278" t="s">
        <v>443</v>
      </c>
      <c r="K518" s="285" t="s">
        <v>591</v>
      </c>
      <c r="L518" s="277" t="s">
        <v>556</v>
      </c>
      <c r="M518" s="263"/>
      <c r="N518" s="263"/>
      <c r="O518" s="264">
        <v>1700</v>
      </c>
      <c r="P518" s="264">
        <v>1200</v>
      </c>
      <c r="Q518" s="265">
        <v>1</v>
      </c>
      <c r="R518" s="30">
        <f>MBQ[[#This Row],[HEIGHT (mm)]]*MBQ[[#This Row],[QTY TOTAL]]/1000</f>
        <v>1.7</v>
      </c>
      <c r="S518" s="30">
        <f>MBQ[[#This Row],[WIDTH (mm)]]*MBQ[[#This Row],[QTY TOTAL]]/1000</f>
        <v>1.2</v>
      </c>
      <c r="T518" s="9">
        <f>(MBQ[[#This Row],[HEIGHT (mm)]]+MBQ[[#This Row],[WIDTH (mm)]])/1000*2*MBQ[[#This Row],[QTY TOTAL]]</f>
        <v>5.8</v>
      </c>
      <c r="U518" s="266">
        <f>MBQ[[#This Row],[MULTIPLIER]]*MBQ[[#This Row],[QTY]]</f>
        <v>1</v>
      </c>
      <c r="V518" s="9">
        <f>MBQ[[#This Row],[HEIGHT (mm)]]/1000*MBQ[[#This Row],[WIDTH (mm)]]/1000*MBQ[[#This Row],[QTY TOTAL]]</f>
        <v>2.04</v>
      </c>
      <c r="W518" s="287">
        <f>ROUNDUP(MBQ[[#This Row],[HEIGHT (mm)]]/450*MBQ[[#This Row],[QTY]]*2,0)+ROUNDUP(MBQ[[#This Row],[WIDTH (mm)]]/450*MBQ[[#This Row],[QTY]]*2,0)</f>
        <v>14</v>
      </c>
    </row>
    <row r="519" spans="1:23" hidden="1">
      <c r="A519" s="258">
        <v>1</v>
      </c>
      <c r="B519" s="276" t="s">
        <v>535</v>
      </c>
      <c r="C519" s="278" t="s">
        <v>554</v>
      </c>
      <c r="D519" s="277" t="s">
        <v>573</v>
      </c>
      <c r="E519" s="289" t="s">
        <v>608</v>
      </c>
      <c r="F519" s="261"/>
      <c r="G519" s="262"/>
      <c r="H519" s="262"/>
      <c r="I519" s="260" t="s">
        <v>441</v>
      </c>
      <c r="J519" s="263"/>
      <c r="K519" s="285" t="s">
        <v>591</v>
      </c>
      <c r="L519" s="260"/>
      <c r="M519" s="263"/>
      <c r="N519" s="263"/>
      <c r="O519" s="264">
        <v>1700</v>
      </c>
      <c r="P519" s="264">
        <v>3600</v>
      </c>
      <c r="Q519" s="265">
        <v>1</v>
      </c>
      <c r="R519" s="30">
        <f>MBQ[[#This Row],[HEIGHT (mm)]]*MBQ[[#This Row],[QTY TOTAL]]/1000</f>
        <v>1.7</v>
      </c>
      <c r="S519" s="30">
        <f>MBQ[[#This Row],[WIDTH (mm)]]*MBQ[[#This Row],[QTY TOTAL]]/1000</f>
        <v>3.6</v>
      </c>
      <c r="T519" s="9">
        <f>(MBQ[[#This Row],[HEIGHT (mm)]]+MBQ[[#This Row],[WIDTH (mm)]])/1000*2*MBQ[[#This Row],[QTY TOTAL]]</f>
        <v>10.6</v>
      </c>
      <c r="U519" s="266">
        <f>MBQ[[#This Row],[MULTIPLIER]]*MBQ[[#This Row],[QTY]]</f>
        <v>1</v>
      </c>
      <c r="V519" s="9">
        <f>MBQ[[#This Row],[HEIGHT (mm)]]/1000*MBQ[[#This Row],[WIDTH (mm)]]/1000*MBQ[[#This Row],[QTY TOTAL]]</f>
        <v>6.12</v>
      </c>
      <c r="W519" s="287">
        <f>ROUNDUP(MBQ[[#This Row],[HEIGHT (mm)]]/450*MBQ[[#This Row],[QTY]]*2,0)+ROUNDUP(MBQ[[#This Row],[WIDTH (mm)]]/450*MBQ[[#This Row],[QTY]]*2,0)</f>
        <v>24</v>
      </c>
    </row>
    <row r="520" spans="1:23" hidden="1">
      <c r="A520" s="258">
        <v>1</v>
      </c>
      <c r="B520" s="276" t="s">
        <v>535</v>
      </c>
      <c r="C520" s="278" t="s">
        <v>554</v>
      </c>
      <c r="D520" s="277" t="s">
        <v>573</v>
      </c>
      <c r="E520" s="289" t="s">
        <v>608</v>
      </c>
      <c r="F520" s="261"/>
      <c r="G520" s="262"/>
      <c r="H520" s="262"/>
      <c r="I520" s="260" t="s">
        <v>439</v>
      </c>
      <c r="J520" s="278" t="s">
        <v>443</v>
      </c>
      <c r="K520" s="285" t="s">
        <v>591</v>
      </c>
      <c r="L520" s="277" t="s">
        <v>556</v>
      </c>
      <c r="M520" s="263"/>
      <c r="N520" s="278"/>
      <c r="O520" s="264">
        <v>1700</v>
      </c>
      <c r="P520" s="264">
        <v>1200</v>
      </c>
      <c r="Q520" s="265">
        <v>1</v>
      </c>
      <c r="R520" s="30">
        <f>MBQ[[#This Row],[HEIGHT (mm)]]*MBQ[[#This Row],[QTY TOTAL]]/1000</f>
        <v>1.7</v>
      </c>
      <c r="S520" s="30">
        <f>MBQ[[#This Row],[WIDTH (mm)]]*MBQ[[#This Row],[QTY TOTAL]]/1000</f>
        <v>1.2</v>
      </c>
      <c r="T520" s="9">
        <f>(MBQ[[#This Row],[HEIGHT (mm)]]+MBQ[[#This Row],[WIDTH (mm)]])/1000*2*MBQ[[#This Row],[QTY TOTAL]]</f>
        <v>5.8</v>
      </c>
      <c r="U520" s="266">
        <f>MBQ[[#This Row],[MULTIPLIER]]*MBQ[[#This Row],[QTY]]</f>
        <v>1</v>
      </c>
      <c r="V520" s="9">
        <f>MBQ[[#This Row],[HEIGHT (mm)]]/1000*MBQ[[#This Row],[WIDTH (mm)]]/1000*MBQ[[#This Row],[QTY TOTAL]]</f>
        <v>2.04</v>
      </c>
      <c r="W520" s="287">
        <f>ROUNDUP(MBQ[[#This Row],[HEIGHT (mm)]]/450*MBQ[[#This Row],[QTY]]*2,0)+ROUNDUP(MBQ[[#This Row],[WIDTH (mm)]]/450*MBQ[[#This Row],[QTY]]*2,0)</f>
        <v>14</v>
      </c>
    </row>
    <row r="521" spans="1:23" hidden="1">
      <c r="A521" s="258">
        <v>1</v>
      </c>
      <c r="B521" s="276" t="s">
        <v>535</v>
      </c>
      <c r="C521" s="278" t="s">
        <v>554</v>
      </c>
      <c r="D521" s="277" t="s">
        <v>573</v>
      </c>
      <c r="E521" s="289" t="s">
        <v>608</v>
      </c>
      <c r="F521" s="261"/>
      <c r="G521" s="262"/>
      <c r="H521" s="262"/>
      <c r="I521" s="260" t="s">
        <v>439</v>
      </c>
      <c r="J521" s="278" t="s">
        <v>443</v>
      </c>
      <c r="K521" s="285" t="s">
        <v>591</v>
      </c>
      <c r="L521" s="277" t="s">
        <v>556</v>
      </c>
      <c r="M521" s="263"/>
      <c r="N521" s="263"/>
      <c r="O521" s="264">
        <v>1700</v>
      </c>
      <c r="P521" s="264">
        <v>1200</v>
      </c>
      <c r="Q521" s="265">
        <v>1</v>
      </c>
      <c r="R521" s="30">
        <f>MBQ[[#This Row],[HEIGHT (mm)]]*MBQ[[#This Row],[QTY TOTAL]]/1000</f>
        <v>1.7</v>
      </c>
      <c r="S521" s="30">
        <f>MBQ[[#This Row],[WIDTH (mm)]]*MBQ[[#This Row],[QTY TOTAL]]/1000</f>
        <v>1.2</v>
      </c>
      <c r="T521" s="9">
        <f>(MBQ[[#This Row],[HEIGHT (mm)]]+MBQ[[#This Row],[WIDTH (mm)]])/1000*2*MBQ[[#This Row],[QTY TOTAL]]</f>
        <v>5.8</v>
      </c>
      <c r="U521" s="266">
        <f>MBQ[[#This Row],[MULTIPLIER]]*MBQ[[#This Row],[QTY]]</f>
        <v>1</v>
      </c>
      <c r="V521" s="9">
        <f>MBQ[[#This Row],[HEIGHT (mm)]]/1000*MBQ[[#This Row],[WIDTH (mm)]]/1000*MBQ[[#This Row],[QTY TOTAL]]</f>
        <v>2.04</v>
      </c>
      <c r="W521" s="287">
        <f>ROUNDUP(MBQ[[#This Row],[HEIGHT (mm)]]/450*MBQ[[#This Row],[QTY]]*2,0)+ROUNDUP(MBQ[[#This Row],[WIDTH (mm)]]/450*MBQ[[#This Row],[QTY]]*2,0)</f>
        <v>14</v>
      </c>
    </row>
    <row r="522" spans="1:23" hidden="1">
      <c r="A522" s="258">
        <v>1</v>
      </c>
      <c r="B522" s="276" t="s">
        <v>535</v>
      </c>
      <c r="C522" s="278" t="s">
        <v>554</v>
      </c>
      <c r="D522" s="277" t="s">
        <v>573</v>
      </c>
      <c r="E522" s="289" t="s">
        <v>608</v>
      </c>
      <c r="F522" s="261"/>
      <c r="G522" s="262"/>
      <c r="H522" s="262"/>
      <c r="I522" s="260" t="s">
        <v>439</v>
      </c>
      <c r="J522" s="278" t="s">
        <v>443</v>
      </c>
      <c r="K522" s="285" t="s">
        <v>591</v>
      </c>
      <c r="L522" s="277" t="s">
        <v>556</v>
      </c>
      <c r="M522" s="263"/>
      <c r="N522" s="263"/>
      <c r="O522" s="264">
        <v>1700</v>
      </c>
      <c r="P522" s="264">
        <v>1200</v>
      </c>
      <c r="Q522" s="265">
        <v>1</v>
      </c>
      <c r="R522" s="30">
        <f>MBQ[[#This Row],[HEIGHT (mm)]]*MBQ[[#This Row],[QTY TOTAL]]/1000</f>
        <v>1.7</v>
      </c>
      <c r="S522" s="30">
        <f>MBQ[[#This Row],[WIDTH (mm)]]*MBQ[[#This Row],[QTY TOTAL]]/1000</f>
        <v>1.2</v>
      </c>
      <c r="T522" s="9">
        <f>(MBQ[[#This Row],[HEIGHT (mm)]]+MBQ[[#This Row],[WIDTH (mm)]])/1000*2*MBQ[[#This Row],[QTY TOTAL]]</f>
        <v>5.8</v>
      </c>
      <c r="U522" s="266">
        <f>MBQ[[#This Row],[MULTIPLIER]]*MBQ[[#This Row],[QTY]]</f>
        <v>1</v>
      </c>
      <c r="V522" s="9">
        <f>MBQ[[#This Row],[HEIGHT (mm)]]/1000*MBQ[[#This Row],[WIDTH (mm)]]/1000*MBQ[[#This Row],[QTY TOTAL]]</f>
        <v>2.04</v>
      </c>
      <c r="W522" s="287">
        <f>ROUNDUP(MBQ[[#This Row],[HEIGHT (mm)]]/450*MBQ[[#This Row],[QTY]]*2,0)+ROUNDUP(MBQ[[#This Row],[WIDTH (mm)]]/450*MBQ[[#This Row],[QTY]]*2,0)</f>
        <v>14</v>
      </c>
    </row>
    <row r="523" spans="1:23" hidden="1">
      <c r="A523" s="258">
        <v>1</v>
      </c>
      <c r="B523" s="276" t="s">
        <v>535</v>
      </c>
      <c r="C523" s="278" t="s">
        <v>554</v>
      </c>
      <c r="D523" s="277" t="s">
        <v>573</v>
      </c>
      <c r="E523" s="289" t="s">
        <v>608</v>
      </c>
      <c r="F523" s="261"/>
      <c r="G523" s="262"/>
      <c r="H523" s="262"/>
      <c r="I523" s="260" t="s">
        <v>442</v>
      </c>
      <c r="J523" s="278" t="s">
        <v>443</v>
      </c>
      <c r="K523" s="285" t="s">
        <v>591</v>
      </c>
      <c r="L523" s="277" t="s">
        <v>556</v>
      </c>
      <c r="M523" s="263"/>
      <c r="N523" s="263"/>
      <c r="O523" s="264">
        <v>1700</v>
      </c>
      <c r="P523" s="264">
        <v>1200</v>
      </c>
      <c r="Q523" s="265">
        <v>1</v>
      </c>
      <c r="R523" s="30">
        <f>MBQ[[#This Row],[HEIGHT (mm)]]*MBQ[[#This Row],[QTY TOTAL]]/1000</f>
        <v>1.7</v>
      </c>
      <c r="S523" s="30">
        <f>MBQ[[#This Row],[WIDTH (mm)]]*MBQ[[#This Row],[QTY TOTAL]]/1000</f>
        <v>1.2</v>
      </c>
      <c r="T523" s="9">
        <f>(MBQ[[#This Row],[HEIGHT (mm)]]+MBQ[[#This Row],[WIDTH (mm)]])/1000*2*MBQ[[#This Row],[QTY TOTAL]]</f>
        <v>5.8</v>
      </c>
      <c r="U523" s="266">
        <f>MBQ[[#This Row],[MULTIPLIER]]*MBQ[[#This Row],[QTY]]</f>
        <v>1</v>
      </c>
      <c r="V523" s="9">
        <f>MBQ[[#This Row],[HEIGHT (mm)]]/1000*MBQ[[#This Row],[WIDTH (mm)]]/1000*MBQ[[#This Row],[QTY TOTAL]]</f>
        <v>2.04</v>
      </c>
      <c r="W523" s="287">
        <f>ROUNDUP(MBQ[[#This Row],[HEIGHT (mm)]]/450*MBQ[[#This Row],[QTY]]*2,0)+ROUNDUP(MBQ[[#This Row],[WIDTH (mm)]]/450*MBQ[[#This Row],[QTY]]*2,0)</f>
        <v>14</v>
      </c>
    </row>
    <row r="524" spans="1:23" hidden="1">
      <c r="A524" s="258">
        <v>1</v>
      </c>
      <c r="B524" s="276" t="s">
        <v>535</v>
      </c>
      <c r="C524" s="278" t="s">
        <v>554</v>
      </c>
      <c r="D524" s="277" t="s">
        <v>573</v>
      </c>
      <c r="E524" s="289" t="s">
        <v>608</v>
      </c>
      <c r="F524" s="261"/>
      <c r="G524" s="262"/>
      <c r="H524" s="262"/>
      <c r="I524" s="260" t="s">
        <v>442</v>
      </c>
      <c r="J524" s="278" t="s">
        <v>443</v>
      </c>
      <c r="K524" s="285" t="s">
        <v>591</v>
      </c>
      <c r="L524" s="277" t="s">
        <v>556</v>
      </c>
      <c r="M524" s="263"/>
      <c r="N524" s="263"/>
      <c r="O524" s="264">
        <v>1700</v>
      </c>
      <c r="P524" s="264">
        <v>1200</v>
      </c>
      <c r="Q524" s="265">
        <v>1</v>
      </c>
      <c r="R524" s="30">
        <f>MBQ[[#This Row],[HEIGHT (mm)]]*MBQ[[#This Row],[QTY TOTAL]]/1000</f>
        <v>1.7</v>
      </c>
      <c r="S524" s="30">
        <f>MBQ[[#This Row],[WIDTH (mm)]]*MBQ[[#This Row],[QTY TOTAL]]/1000</f>
        <v>1.2</v>
      </c>
      <c r="T524" s="9">
        <f>(MBQ[[#This Row],[HEIGHT (mm)]]+MBQ[[#This Row],[WIDTH (mm)]])/1000*2*MBQ[[#This Row],[QTY TOTAL]]</f>
        <v>5.8</v>
      </c>
      <c r="U524" s="266">
        <f>MBQ[[#This Row],[MULTIPLIER]]*MBQ[[#This Row],[QTY]]</f>
        <v>1</v>
      </c>
      <c r="V524" s="9">
        <f>MBQ[[#This Row],[HEIGHT (mm)]]/1000*MBQ[[#This Row],[WIDTH (mm)]]/1000*MBQ[[#This Row],[QTY TOTAL]]</f>
        <v>2.04</v>
      </c>
      <c r="W524" s="287">
        <f>ROUNDUP(MBQ[[#This Row],[HEIGHT (mm)]]/450*MBQ[[#This Row],[QTY]]*2,0)+ROUNDUP(MBQ[[#This Row],[WIDTH (mm)]]/450*MBQ[[#This Row],[QTY]]*2,0)</f>
        <v>14</v>
      </c>
    </row>
    <row r="525" spans="1:23" hidden="1">
      <c r="A525" s="258">
        <v>1</v>
      </c>
      <c r="B525" s="276" t="s">
        <v>535</v>
      </c>
      <c r="C525" s="278" t="s">
        <v>554</v>
      </c>
      <c r="D525" s="277" t="s">
        <v>573</v>
      </c>
      <c r="E525" s="289" t="s">
        <v>608</v>
      </c>
      <c r="F525" s="261"/>
      <c r="G525" s="262"/>
      <c r="H525" s="262"/>
      <c r="I525" s="260" t="s">
        <v>442</v>
      </c>
      <c r="J525" s="278" t="s">
        <v>443</v>
      </c>
      <c r="K525" s="285" t="s">
        <v>591</v>
      </c>
      <c r="L525" s="277" t="s">
        <v>556</v>
      </c>
      <c r="M525" s="263"/>
      <c r="N525" s="263"/>
      <c r="O525" s="264">
        <v>1700</v>
      </c>
      <c r="P525" s="264">
        <v>1200</v>
      </c>
      <c r="Q525" s="265">
        <v>1</v>
      </c>
      <c r="R525" s="30">
        <f>MBQ[[#This Row],[HEIGHT (mm)]]*MBQ[[#This Row],[QTY TOTAL]]/1000</f>
        <v>1.7</v>
      </c>
      <c r="S525" s="30">
        <f>MBQ[[#This Row],[WIDTH (mm)]]*MBQ[[#This Row],[QTY TOTAL]]/1000</f>
        <v>1.2</v>
      </c>
      <c r="T525" s="9">
        <f>(MBQ[[#This Row],[HEIGHT (mm)]]+MBQ[[#This Row],[WIDTH (mm)]])/1000*2*MBQ[[#This Row],[QTY TOTAL]]</f>
        <v>5.8</v>
      </c>
      <c r="U525" s="266">
        <f>MBQ[[#This Row],[MULTIPLIER]]*MBQ[[#This Row],[QTY]]</f>
        <v>1</v>
      </c>
      <c r="V525" s="9">
        <f>MBQ[[#This Row],[HEIGHT (mm)]]/1000*MBQ[[#This Row],[WIDTH (mm)]]/1000*MBQ[[#This Row],[QTY TOTAL]]</f>
        <v>2.04</v>
      </c>
      <c r="W525" s="287">
        <f>ROUNDUP(MBQ[[#This Row],[HEIGHT (mm)]]/450*MBQ[[#This Row],[QTY]]*2,0)+ROUNDUP(MBQ[[#This Row],[WIDTH (mm)]]/450*MBQ[[#This Row],[QTY]]*2,0)</f>
        <v>14</v>
      </c>
    </row>
    <row r="526" spans="1:23" hidden="1">
      <c r="A526" s="258">
        <v>0</v>
      </c>
      <c r="B526" s="276" t="s">
        <v>536</v>
      </c>
      <c r="C526" s="285" t="s">
        <v>534</v>
      </c>
      <c r="D526" s="289" t="s">
        <v>598</v>
      </c>
      <c r="E526" s="289" t="s">
        <v>608</v>
      </c>
      <c r="F526" s="261"/>
      <c r="G526" s="262"/>
      <c r="H526" s="262"/>
      <c r="I526" s="260" t="s">
        <v>441</v>
      </c>
      <c r="J526" s="263"/>
      <c r="K526" s="285" t="s">
        <v>591</v>
      </c>
      <c r="L526" s="260"/>
      <c r="M526" s="263"/>
      <c r="N526" s="263"/>
      <c r="O526" s="264">
        <v>2700</v>
      </c>
      <c r="P526" s="264">
        <v>2000</v>
      </c>
      <c r="Q526" s="265">
        <v>1</v>
      </c>
      <c r="R526" s="30">
        <f>MBQ[[#This Row],[HEIGHT (mm)]]*MBQ[[#This Row],[QTY TOTAL]]/1000</f>
        <v>0</v>
      </c>
      <c r="S526" s="30">
        <f>MBQ[[#This Row],[WIDTH (mm)]]*MBQ[[#This Row],[QTY TOTAL]]/1000</f>
        <v>0</v>
      </c>
      <c r="T526" s="9">
        <f>(MBQ[[#This Row],[HEIGHT (mm)]]+MBQ[[#This Row],[WIDTH (mm)]])/1000*2*MBQ[[#This Row],[QTY TOTAL]]</f>
        <v>0</v>
      </c>
      <c r="U526" s="266">
        <f>MBQ[[#This Row],[MULTIPLIER]]*MBQ[[#This Row],[QTY]]</f>
        <v>0</v>
      </c>
      <c r="V526" s="9">
        <f>MBQ[[#This Row],[HEIGHT (mm)]]/1000*MBQ[[#This Row],[WIDTH (mm)]]/1000*MBQ[[#This Row],[QTY TOTAL]]</f>
        <v>0</v>
      </c>
      <c r="W526" s="287">
        <f>ROUNDUP(MBQ[[#This Row],[HEIGHT (mm)]]/450*MBQ[[#This Row],[QTY]]*2,0)+ROUNDUP(MBQ[[#This Row],[WIDTH (mm)]]/450*MBQ[[#This Row],[QTY]]*2,0)</f>
        <v>21</v>
      </c>
    </row>
    <row r="527" spans="1:23" hidden="1">
      <c r="A527" s="258">
        <v>0</v>
      </c>
      <c r="B527" s="276" t="s">
        <v>536</v>
      </c>
      <c r="C527" s="285" t="s">
        <v>534</v>
      </c>
      <c r="D527" s="289" t="s">
        <v>598</v>
      </c>
      <c r="E527" s="289" t="s">
        <v>608</v>
      </c>
      <c r="F527" s="261"/>
      <c r="G527" s="262"/>
      <c r="H527" s="262"/>
      <c r="I527" s="260" t="s">
        <v>439</v>
      </c>
      <c r="J527" s="278" t="s">
        <v>443</v>
      </c>
      <c r="K527" s="285" t="s">
        <v>591</v>
      </c>
      <c r="L527" s="289" t="s">
        <v>603</v>
      </c>
      <c r="M527" s="263"/>
      <c r="N527" s="278"/>
      <c r="O527" s="264">
        <v>2700</v>
      </c>
      <c r="P527" s="264">
        <v>1000</v>
      </c>
      <c r="Q527" s="265">
        <v>1</v>
      </c>
      <c r="R527" s="30">
        <f>MBQ[[#This Row],[HEIGHT (mm)]]*MBQ[[#This Row],[QTY TOTAL]]/1000</f>
        <v>0</v>
      </c>
      <c r="S527" s="30">
        <f>MBQ[[#This Row],[WIDTH (mm)]]*MBQ[[#This Row],[QTY TOTAL]]/1000</f>
        <v>0</v>
      </c>
      <c r="T527" s="9">
        <f>(MBQ[[#This Row],[HEIGHT (mm)]]+MBQ[[#This Row],[WIDTH (mm)]])/1000*2*MBQ[[#This Row],[QTY TOTAL]]</f>
        <v>0</v>
      </c>
      <c r="U527" s="266">
        <f>MBQ[[#This Row],[MULTIPLIER]]*MBQ[[#This Row],[QTY]]</f>
        <v>0</v>
      </c>
      <c r="V527" s="9">
        <f>MBQ[[#This Row],[HEIGHT (mm)]]/1000*MBQ[[#This Row],[WIDTH (mm)]]/1000*MBQ[[#This Row],[QTY TOTAL]]</f>
        <v>0</v>
      </c>
      <c r="W527" s="287">
        <f>ROUNDUP(MBQ[[#This Row],[HEIGHT (mm)]]/450*MBQ[[#This Row],[QTY]]*2,0)+ROUNDUP(MBQ[[#This Row],[WIDTH (mm)]]/450*MBQ[[#This Row],[QTY]]*2,0)</f>
        <v>17</v>
      </c>
    </row>
    <row r="528" spans="1:23" hidden="1">
      <c r="A528" s="258">
        <v>0</v>
      </c>
      <c r="B528" s="276" t="s">
        <v>536</v>
      </c>
      <c r="C528" s="285" t="s">
        <v>534</v>
      </c>
      <c r="D528" s="289" t="s">
        <v>598</v>
      </c>
      <c r="E528" s="289" t="s">
        <v>608</v>
      </c>
      <c r="F528" s="261"/>
      <c r="G528" s="262"/>
      <c r="H528" s="262"/>
      <c r="I528" s="260" t="s">
        <v>439</v>
      </c>
      <c r="J528" s="278" t="s">
        <v>443</v>
      </c>
      <c r="K528" s="285" t="s">
        <v>591</v>
      </c>
      <c r="L528" s="289" t="s">
        <v>603</v>
      </c>
      <c r="M528" s="263"/>
      <c r="N528" s="263"/>
      <c r="O528" s="264">
        <v>2700</v>
      </c>
      <c r="P528" s="264">
        <v>1000</v>
      </c>
      <c r="Q528" s="265">
        <v>1</v>
      </c>
      <c r="R528" s="30">
        <f>MBQ[[#This Row],[HEIGHT (mm)]]*MBQ[[#This Row],[QTY TOTAL]]/1000</f>
        <v>0</v>
      </c>
      <c r="S528" s="30">
        <f>MBQ[[#This Row],[WIDTH (mm)]]*MBQ[[#This Row],[QTY TOTAL]]/1000</f>
        <v>0</v>
      </c>
      <c r="T528" s="9">
        <f>(MBQ[[#This Row],[HEIGHT (mm)]]+MBQ[[#This Row],[WIDTH (mm)]])/1000*2*MBQ[[#This Row],[QTY TOTAL]]</f>
        <v>0</v>
      </c>
      <c r="U528" s="266">
        <f>MBQ[[#This Row],[MULTIPLIER]]*MBQ[[#This Row],[QTY]]</f>
        <v>0</v>
      </c>
      <c r="V528" s="9">
        <f>MBQ[[#This Row],[HEIGHT (mm)]]/1000*MBQ[[#This Row],[WIDTH (mm)]]/1000*MBQ[[#This Row],[QTY TOTAL]]</f>
        <v>0</v>
      </c>
      <c r="W528" s="287">
        <f>ROUNDUP(MBQ[[#This Row],[HEIGHT (mm)]]/450*MBQ[[#This Row],[QTY]]*2,0)+ROUNDUP(MBQ[[#This Row],[WIDTH (mm)]]/450*MBQ[[#This Row],[QTY]]*2,0)</f>
        <v>17</v>
      </c>
    </row>
    <row r="529" spans="1:23" hidden="1">
      <c r="A529" s="258">
        <v>0</v>
      </c>
      <c r="B529" s="276" t="s">
        <v>536</v>
      </c>
      <c r="C529" s="285" t="s">
        <v>534</v>
      </c>
      <c r="D529" s="289" t="s">
        <v>598</v>
      </c>
      <c r="E529" s="289" t="s">
        <v>608</v>
      </c>
      <c r="F529" s="261"/>
      <c r="G529" s="262"/>
      <c r="H529" s="262"/>
      <c r="I529" s="260" t="s">
        <v>442</v>
      </c>
      <c r="J529" s="278" t="s">
        <v>443</v>
      </c>
      <c r="K529" s="285" t="s">
        <v>591</v>
      </c>
      <c r="L529" s="289" t="s">
        <v>603</v>
      </c>
      <c r="M529" s="263"/>
      <c r="N529" s="263"/>
      <c r="O529" s="264">
        <v>2700</v>
      </c>
      <c r="P529" s="264">
        <v>1000</v>
      </c>
      <c r="Q529" s="265">
        <v>1</v>
      </c>
      <c r="R529" s="30">
        <f>MBQ[[#This Row],[HEIGHT (mm)]]*MBQ[[#This Row],[QTY TOTAL]]/1000</f>
        <v>0</v>
      </c>
      <c r="S529" s="30">
        <f>MBQ[[#This Row],[WIDTH (mm)]]*MBQ[[#This Row],[QTY TOTAL]]/1000</f>
        <v>0</v>
      </c>
      <c r="T529" s="9">
        <f>(MBQ[[#This Row],[HEIGHT (mm)]]+MBQ[[#This Row],[WIDTH (mm)]])/1000*2*MBQ[[#This Row],[QTY TOTAL]]</f>
        <v>0</v>
      </c>
      <c r="U529" s="266">
        <f>MBQ[[#This Row],[MULTIPLIER]]*MBQ[[#This Row],[QTY]]</f>
        <v>0</v>
      </c>
      <c r="V529" s="9">
        <f>MBQ[[#This Row],[HEIGHT (mm)]]/1000*MBQ[[#This Row],[WIDTH (mm)]]/1000*MBQ[[#This Row],[QTY TOTAL]]</f>
        <v>0</v>
      </c>
      <c r="W529" s="287">
        <f>ROUNDUP(MBQ[[#This Row],[HEIGHT (mm)]]/450*MBQ[[#This Row],[QTY]]*2,0)+ROUNDUP(MBQ[[#This Row],[WIDTH (mm)]]/450*MBQ[[#This Row],[QTY]]*2,0)</f>
        <v>17</v>
      </c>
    </row>
    <row r="530" spans="1:23" hidden="1">
      <c r="A530" s="258">
        <v>0</v>
      </c>
      <c r="B530" s="276" t="s">
        <v>536</v>
      </c>
      <c r="C530" s="285" t="s">
        <v>534</v>
      </c>
      <c r="D530" s="289" t="s">
        <v>598</v>
      </c>
      <c r="E530" s="289" t="s">
        <v>608</v>
      </c>
      <c r="F530" s="261"/>
      <c r="G530" s="262"/>
      <c r="H530" s="262"/>
      <c r="I530" s="260" t="s">
        <v>442</v>
      </c>
      <c r="J530" s="278" t="s">
        <v>443</v>
      </c>
      <c r="K530" s="285" t="s">
        <v>591</v>
      </c>
      <c r="L530" s="289" t="s">
        <v>603</v>
      </c>
      <c r="M530" s="263"/>
      <c r="N530" s="263"/>
      <c r="O530" s="264">
        <v>2700</v>
      </c>
      <c r="P530" s="264">
        <v>1000</v>
      </c>
      <c r="Q530" s="265">
        <v>1</v>
      </c>
      <c r="R530" s="30">
        <f>MBQ[[#This Row],[HEIGHT (mm)]]*MBQ[[#This Row],[QTY TOTAL]]/1000</f>
        <v>0</v>
      </c>
      <c r="S530" s="30">
        <f>MBQ[[#This Row],[WIDTH (mm)]]*MBQ[[#This Row],[QTY TOTAL]]/1000</f>
        <v>0</v>
      </c>
      <c r="T530" s="9">
        <f>(MBQ[[#This Row],[HEIGHT (mm)]]+MBQ[[#This Row],[WIDTH (mm)]])/1000*2*MBQ[[#This Row],[QTY TOTAL]]</f>
        <v>0</v>
      </c>
      <c r="U530" s="266">
        <f>MBQ[[#This Row],[MULTIPLIER]]*MBQ[[#This Row],[QTY]]</f>
        <v>0</v>
      </c>
      <c r="V530" s="9">
        <f>MBQ[[#This Row],[HEIGHT (mm)]]/1000*MBQ[[#This Row],[WIDTH (mm)]]/1000*MBQ[[#This Row],[QTY TOTAL]]</f>
        <v>0</v>
      </c>
      <c r="W530" s="287">
        <f>ROUNDUP(MBQ[[#This Row],[HEIGHT (mm)]]/450*MBQ[[#This Row],[QTY]]*2,0)+ROUNDUP(MBQ[[#This Row],[WIDTH (mm)]]/450*MBQ[[#This Row],[QTY]]*2,0)</f>
        <v>17</v>
      </c>
    </row>
    <row r="531" spans="1:23" hidden="1">
      <c r="A531" s="258">
        <v>0</v>
      </c>
      <c r="B531" s="276" t="s">
        <v>536</v>
      </c>
      <c r="C531" s="285" t="s">
        <v>534</v>
      </c>
      <c r="D531" s="289" t="s">
        <v>599</v>
      </c>
      <c r="E531" s="289" t="s">
        <v>608</v>
      </c>
      <c r="F531" s="261"/>
      <c r="G531" s="262"/>
      <c r="H531" s="262"/>
      <c r="I531" s="260" t="s">
        <v>441</v>
      </c>
      <c r="J531" s="263"/>
      <c r="K531" s="285" t="s">
        <v>591</v>
      </c>
      <c r="L531" s="260"/>
      <c r="M531" s="263"/>
      <c r="N531" s="263"/>
      <c r="O531" s="264">
        <v>1700</v>
      </c>
      <c r="P531" s="264">
        <v>2400</v>
      </c>
      <c r="Q531" s="265">
        <v>1</v>
      </c>
      <c r="R531" s="30">
        <f>MBQ[[#This Row],[HEIGHT (mm)]]*MBQ[[#This Row],[QTY TOTAL]]/1000</f>
        <v>0</v>
      </c>
      <c r="S531" s="30">
        <f>MBQ[[#This Row],[WIDTH (mm)]]*MBQ[[#This Row],[QTY TOTAL]]/1000</f>
        <v>0</v>
      </c>
      <c r="T531" s="9">
        <f>(MBQ[[#This Row],[HEIGHT (mm)]]+MBQ[[#This Row],[WIDTH (mm)]])/1000*2*MBQ[[#This Row],[QTY TOTAL]]</f>
        <v>0</v>
      </c>
      <c r="U531" s="266">
        <f>MBQ[[#This Row],[MULTIPLIER]]*MBQ[[#This Row],[QTY]]</f>
        <v>0</v>
      </c>
      <c r="V531" s="9">
        <f>MBQ[[#This Row],[HEIGHT (mm)]]/1000*MBQ[[#This Row],[WIDTH (mm)]]/1000*MBQ[[#This Row],[QTY TOTAL]]</f>
        <v>0</v>
      </c>
      <c r="W531" s="287">
        <f>ROUNDUP(MBQ[[#This Row],[HEIGHT (mm)]]/450*MBQ[[#This Row],[QTY]]*2,0)+ROUNDUP(MBQ[[#This Row],[WIDTH (mm)]]/450*MBQ[[#This Row],[QTY]]*2,0)</f>
        <v>19</v>
      </c>
    </row>
    <row r="532" spans="1:23" hidden="1">
      <c r="A532" s="258">
        <v>0</v>
      </c>
      <c r="B532" s="276" t="s">
        <v>536</v>
      </c>
      <c r="C532" s="285" t="s">
        <v>534</v>
      </c>
      <c r="D532" s="289" t="s">
        <v>599</v>
      </c>
      <c r="E532" s="289" t="s">
        <v>608</v>
      </c>
      <c r="F532" s="261"/>
      <c r="G532" s="262"/>
      <c r="H532" s="262"/>
      <c r="I532" s="260" t="s">
        <v>439</v>
      </c>
      <c r="J532" s="278" t="s">
        <v>443</v>
      </c>
      <c r="K532" s="285" t="s">
        <v>591</v>
      </c>
      <c r="L532" s="289" t="s">
        <v>603</v>
      </c>
      <c r="M532" s="263"/>
      <c r="N532" s="278"/>
      <c r="O532" s="264">
        <v>1700</v>
      </c>
      <c r="P532" s="264">
        <v>1200</v>
      </c>
      <c r="Q532" s="265">
        <v>1</v>
      </c>
      <c r="R532" s="30">
        <f>MBQ[[#This Row],[HEIGHT (mm)]]*MBQ[[#This Row],[QTY TOTAL]]/1000</f>
        <v>0</v>
      </c>
      <c r="S532" s="30">
        <f>MBQ[[#This Row],[WIDTH (mm)]]*MBQ[[#This Row],[QTY TOTAL]]/1000</f>
        <v>0</v>
      </c>
      <c r="T532" s="9">
        <f>(MBQ[[#This Row],[HEIGHT (mm)]]+MBQ[[#This Row],[WIDTH (mm)]])/1000*2*MBQ[[#This Row],[QTY TOTAL]]</f>
        <v>0</v>
      </c>
      <c r="U532" s="266">
        <f>MBQ[[#This Row],[MULTIPLIER]]*MBQ[[#This Row],[QTY]]</f>
        <v>0</v>
      </c>
      <c r="V532" s="9">
        <f>MBQ[[#This Row],[HEIGHT (mm)]]/1000*MBQ[[#This Row],[WIDTH (mm)]]/1000*MBQ[[#This Row],[QTY TOTAL]]</f>
        <v>0</v>
      </c>
      <c r="W532" s="287">
        <f>ROUNDUP(MBQ[[#This Row],[HEIGHT (mm)]]/450*MBQ[[#This Row],[QTY]]*2,0)+ROUNDUP(MBQ[[#This Row],[WIDTH (mm)]]/450*MBQ[[#This Row],[QTY]]*2,0)</f>
        <v>14</v>
      </c>
    </row>
    <row r="533" spans="1:23" hidden="1">
      <c r="A533" s="258">
        <v>0</v>
      </c>
      <c r="B533" s="276" t="s">
        <v>536</v>
      </c>
      <c r="C533" s="285" t="s">
        <v>534</v>
      </c>
      <c r="D533" s="289" t="s">
        <v>599</v>
      </c>
      <c r="E533" s="289" t="s">
        <v>608</v>
      </c>
      <c r="F533" s="261"/>
      <c r="G533" s="262"/>
      <c r="H533" s="262"/>
      <c r="I533" s="260" t="s">
        <v>439</v>
      </c>
      <c r="J533" s="278" t="s">
        <v>443</v>
      </c>
      <c r="K533" s="285" t="s">
        <v>591</v>
      </c>
      <c r="L533" s="289" t="s">
        <v>603</v>
      </c>
      <c r="M533" s="263"/>
      <c r="N533" s="263"/>
      <c r="O533" s="264">
        <v>1700</v>
      </c>
      <c r="P533" s="264">
        <v>1200</v>
      </c>
      <c r="Q533" s="265">
        <v>1</v>
      </c>
      <c r="R533" s="30">
        <f>MBQ[[#This Row],[HEIGHT (mm)]]*MBQ[[#This Row],[QTY TOTAL]]/1000</f>
        <v>0</v>
      </c>
      <c r="S533" s="30">
        <f>MBQ[[#This Row],[WIDTH (mm)]]*MBQ[[#This Row],[QTY TOTAL]]/1000</f>
        <v>0</v>
      </c>
      <c r="T533" s="9">
        <f>(MBQ[[#This Row],[HEIGHT (mm)]]+MBQ[[#This Row],[WIDTH (mm)]])/1000*2*MBQ[[#This Row],[QTY TOTAL]]</f>
        <v>0</v>
      </c>
      <c r="U533" s="266">
        <f>MBQ[[#This Row],[MULTIPLIER]]*MBQ[[#This Row],[QTY]]</f>
        <v>0</v>
      </c>
      <c r="V533" s="9">
        <f>MBQ[[#This Row],[HEIGHT (mm)]]/1000*MBQ[[#This Row],[WIDTH (mm)]]/1000*MBQ[[#This Row],[QTY TOTAL]]</f>
        <v>0</v>
      </c>
      <c r="W533" s="287">
        <f>ROUNDUP(MBQ[[#This Row],[HEIGHT (mm)]]/450*MBQ[[#This Row],[QTY]]*2,0)+ROUNDUP(MBQ[[#This Row],[WIDTH (mm)]]/450*MBQ[[#This Row],[QTY]]*2,0)</f>
        <v>14</v>
      </c>
    </row>
    <row r="534" spans="1:23" hidden="1">
      <c r="A534" s="258">
        <v>0</v>
      </c>
      <c r="B534" s="276" t="s">
        <v>536</v>
      </c>
      <c r="C534" s="285" t="s">
        <v>534</v>
      </c>
      <c r="D534" s="289" t="s">
        <v>599</v>
      </c>
      <c r="E534" s="289" t="s">
        <v>608</v>
      </c>
      <c r="F534" s="261"/>
      <c r="G534" s="262"/>
      <c r="H534" s="262"/>
      <c r="I534" s="260" t="s">
        <v>442</v>
      </c>
      <c r="J534" s="278" t="s">
        <v>443</v>
      </c>
      <c r="K534" s="285" t="s">
        <v>591</v>
      </c>
      <c r="L534" s="289" t="s">
        <v>603</v>
      </c>
      <c r="M534" s="263"/>
      <c r="N534" s="263"/>
      <c r="O534" s="264">
        <v>1700</v>
      </c>
      <c r="P534" s="264">
        <v>1200</v>
      </c>
      <c r="Q534" s="265">
        <v>1</v>
      </c>
      <c r="R534" s="30">
        <f>MBQ[[#This Row],[HEIGHT (mm)]]*MBQ[[#This Row],[QTY TOTAL]]/1000</f>
        <v>0</v>
      </c>
      <c r="S534" s="30">
        <f>MBQ[[#This Row],[WIDTH (mm)]]*MBQ[[#This Row],[QTY TOTAL]]/1000</f>
        <v>0</v>
      </c>
      <c r="T534" s="9">
        <f>(MBQ[[#This Row],[HEIGHT (mm)]]+MBQ[[#This Row],[WIDTH (mm)]])/1000*2*MBQ[[#This Row],[QTY TOTAL]]</f>
        <v>0</v>
      </c>
      <c r="U534" s="266">
        <f>MBQ[[#This Row],[MULTIPLIER]]*MBQ[[#This Row],[QTY]]</f>
        <v>0</v>
      </c>
      <c r="V534" s="9">
        <f>MBQ[[#This Row],[HEIGHT (mm)]]/1000*MBQ[[#This Row],[WIDTH (mm)]]/1000*MBQ[[#This Row],[QTY TOTAL]]</f>
        <v>0</v>
      </c>
      <c r="W534" s="287">
        <f>ROUNDUP(MBQ[[#This Row],[HEIGHT (mm)]]/450*MBQ[[#This Row],[QTY]]*2,0)+ROUNDUP(MBQ[[#This Row],[WIDTH (mm)]]/450*MBQ[[#This Row],[QTY]]*2,0)</f>
        <v>14</v>
      </c>
    </row>
    <row r="535" spans="1:23" hidden="1">
      <c r="A535" s="258">
        <v>0</v>
      </c>
      <c r="B535" s="276" t="s">
        <v>536</v>
      </c>
      <c r="C535" s="285" t="s">
        <v>534</v>
      </c>
      <c r="D535" s="289" t="s">
        <v>599</v>
      </c>
      <c r="E535" s="289" t="s">
        <v>608</v>
      </c>
      <c r="F535" s="261"/>
      <c r="G535" s="262"/>
      <c r="H535" s="262"/>
      <c r="I535" s="260" t="s">
        <v>442</v>
      </c>
      <c r="J535" s="278" t="s">
        <v>443</v>
      </c>
      <c r="K535" s="285" t="s">
        <v>591</v>
      </c>
      <c r="L535" s="289" t="s">
        <v>603</v>
      </c>
      <c r="M535" s="263"/>
      <c r="N535" s="263"/>
      <c r="O535" s="264">
        <v>1700</v>
      </c>
      <c r="P535" s="264">
        <v>1200</v>
      </c>
      <c r="Q535" s="265">
        <v>1</v>
      </c>
      <c r="R535" s="30">
        <f>MBQ[[#This Row],[HEIGHT (mm)]]*MBQ[[#This Row],[QTY TOTAL]]/1000</f>
        <v>0</v>
      </c>
      <c r="S535" s="30">
        <f>MBQ[[#This Row],[WIDTH (mm)]]*MBQ[[#This Row],[QTY TOTAL]]/1000</f>
        <v>0</v>
      </c>
      <c r="T535" s="9">
        <f>(MBQ[[#This Row],[HEIGHT (mm)]]+MBQ[[#This Row],[WIDTH (mm)]])/1000*2*MBQ[[#This Row],[QTY TOTAL]]</f>
        <v>0</v>
      </c>
      <c r="U535" s="266">
        <f>MBQ[[#This Row],[MULTIPLIER]]*MBQ[[#This Row],[QTY]]</f>
        <v>0</v>
      </c>
      <c r="V535" s="9">
        <f>MBQ[[#This Row],[HEIGHT (mm)]]/1000*MBQ[[#This Row],[WIDTH (mm)]]/1000*MBQ[[#This Row],[QTY TOTAL]]</f>
        <v>0</v>
      </c>
      <c r="W535" s="287">
        <f>ROUNDUP(MBQ[[#This Row],[HEIGHT (mm)]]/450*MBQ[[#This Row],[QTY]]*2,0)+ROUNDUP(MBQ[[#This Row],[WIDTH (mm)]]/450*MBQ[[#This Row],[QTY]]*2,0)</f>
        <v>14</v>
      </c>
    </row>
    <row r="536" spans="1:23" hidden="1">
      <c r="A536" s="258">
        <v>0</v>
      </c>
      <c r="B536" s="276" t="s">
        <v>536</v>
      </c>
      <c r="C536" s="285" t="s">
        <v>534</v>
      </c>
      <c r="D536" s="289" t="s">
        <v>600</v>
      </c>
      <c r="E536" s="289" t="s">
        <v>608</v>
      </c>
      <c r="F536" s="261"/>
      <c r="G536" s="262"/>
      <c r="H536" s="262"/>
      <c r="I536" s="260" t="s">
        <v>441</v>
      </c>
      <c r="J536" s="263"/>
      <c r="K536" s="285" t="s">
        <v>591</v>
      </c>
      <c r="L536" s="260"/>
      <c r="M536" s="263"/>
      <c r="N536" s="263"/>
      <c r="O536" s="264">
        <v>1700</v>
      </c>
      <c r="P536" s="264">
        <v>2400</v>
      </c>
      <c r="Q536" s="265">
        <v>1</v>
      </c>
      <c r="R536" s="30">
        <f>MBQ[[#This Row],[HEIGHT (mm)]]*MBQ[[#This Row],[QTY TOTAL]]/1000</f>
        <v>0</v>
      </c>
      <c r="S536" s="30">
        <f>MBQ[[#This Row],[WIDTH (mm)]]*MBQ[[#This Row],[QTY TOTAL]]/1000</f>
        <v>0</v>
      </c>
      <c r="T536" s="9">
        <f>(MBQ[[#This Row],[HEIGHT (mm)]]+MBQ[[#This Row],[WIDTH (mm)]])/1000*2*MBQ[[#This Row],[QTY TOTAL]]</f>
        <v>0</v>
      </c>
      <c r="U536" s="266">
        <f>MBQ[[#This Row],[MULTIPLIER]]*MBQ[[#This Row],[QTY]]</f>
        <v>0</v>
      </c>
      <c r="V536" s="9">
        <f>MBQ[[#This Row],[HEIGHT (mm)]]/1000*MBQ[[#This Row],[WIDTH (mm)]]/1000*MBQ[[#This Row],[QTY TOTAL]]</f>
        <v>0</v>
      </c>
      <c r="W536" s="287">
        <f>ROUNDUP(MBQ[[#This Row],[HEIGHT (mm)]]/450*MBQ[[#This Row],[QTY]]*2,0)+ROUNDUP(MBQ[[#This Row],[WIDTH (mm)]]/450*MBQ[[#This Row],[QTY]]*2,0)</f>
        <v>19</v>
      </c>
    </row>
    <row r="537" spans="1:23" hidden="1">
      <c r="A537" s="258">
        <v>0</v>
      </c>
      <c r="B537" s="276" t="s">
        <v>536</v>
      </c>
      <c r="C537" s="285" t="s">
        <v>534</v>
      </c>
      <c r="D537" s="289" t="s">
        <v>600</v>
      </c>
      <c r="E537" s="289" t="s">
        <v>608</v>
      </c>
      <c r="F537" s="261"/>
      <c r="G537" s="262"/>
      <c r="H537" s="262"/>
      <c r="I537" s="260" t="s">
        <v>439</v>
      </c>
      <c r="J537" s="278" t="s">
        <v>443</v>
      </c>
      <c r="K537" s="285" t="s">
        <v>591</v>
      </c>
      <c r="L537" s="289" t="s">
        <v>603</v>
      </c>
      <c r="M537" s="263"/>
      <c r="N537" s="278"/>
      <c r="O537" s="264">
        <v>1700</v>
      </c>
      <c r="P537" s="264">
        <v>1200</v>
      </c>
      <c r="Q537" s="265">
        <v>1</v>
      </c>
      <c r="R537" s="30">
        <f>MBQ[[#This Row],[HEIGHT (mm)]]*MBQ[[#This Row],[QTY TOTAL]]/1000</f>
        <v>0</v>
      </c>
      <c r="S537" s="30">
        <f>MBQ[[#This Row],[WIDTH (mm)]]*MBQ[[#This Row],[QTY TOTAL]]/1000</f>
        <v>0</v>
      </c>
      <c r="T537" s="9">
        <f>(MBQ[[#This Row],[HEIGHT (mm)]]+MBQ[[#This Row],[WIDTH (mm)]])/1000*2*MBQ[[#This Row],[QTY TOTAL]]</f>
        <v>0</v>
      </c>
      <c r="U537" s="266">
        <f>MBQ[[#This Row],[MULTIPLIER]]*MBQ[[#This Row],[QTY]]</f>
        <v>0</v>
      </c>
      <c r="V537" s="9">
        <f>MBQ[[#This Row],[HEIGHT (mm)]]/1000*MBQ[[#This Row],[WIDTH (mm)]]/1000*MBQ[[#This Row],[QTY TOTAL]]</f>
        <v>0</v>
      </c>
      <c r="W537" s="287">
        <f>ROUNDUP(MBQ[[#This Row],[HEIGHT (mm)]]/450*MBQ[[#This Row],[QTY]]*2,0)+ROUNDUP(MBQ[[#This Row],[WIDTH (mm)]]/450*MBQ[[#This Row],[QTY]]*2,0)</f>
        <v>14</v>
      </c>
    </row>
    <row r="538" spans="1:23" hidden="1">
      <c r="A538" s="258">
        <v>0</v>
      </c>
      <c r="B538" s="276" t="s">
        <v>536</v>
      </c>
      <c r="C538" s="285" t="s">
        <v>534</v>
      </c>
      <c r="D538" s="289" t="s">
        <v>600</v>
      </c>
      <c r="E538" s="289" t="s">
        <v>608</v>
      </c>
      <c r="F538" s="261"/>
      <c r="G538" s="262"/>
      <c r="H538" s="262"/>
      <c r="I538" s="260" t="s">
        <v>439</v>
      </c>
      <c r="J538" s="278" t="s">
        <v>443</v>
      </c>
      <c r="K538" s="285" t="s">
        <v>591</v>
      </c>
      <c r="L538" s="289" t="s">
        <v>603</v>
      </c>
      <c r="M538" s="263"/>
      <c r="N538" s="263"/>
      <c r="O538" s="264">
        <v>1700</v>
      </c>
      <c r="P538" s="264">
        <v>1200</v>
      </c>
      <c r="Q538" s="265">
        <v>1</v>
      </c>
      <c r="R538" s="30">
        <f>MBQ[[#This Row],[HEIGHT (mm)]]*MBQ[[#This Row],[QTY TOTAL]]/1000</f>
        <v>0</v>
      </c>
      <c r="S538" s="30">
        <f>MBQ[[#This Row],[WIDTH (mm)]]*MBQ[[#This Row],[QTY TOTAL]]/1000</f>
        <v>0</v>
      </c>
      <c r="T538" s="9">
        <f>(MBQ[[#This Row],[HEIGHT (mm)]]+MBQ[[#This Row],[WIDTH (mm)]])/1000*2*MBQ[[#This Row],[QTY TOTAL]]</f>
        <v>0</v>
      </c>
      <c r="U538" s="266">
        <f>MBQ[[#This Row],[MULTIPLIER]]*MBQ[[#This Row],[QTY]]</f>
        <v>0</v>
      </c>
      <c r="V538" s="9">
        <f>MBQ[[#This Row],[HEIGHT (mm)]]/1000*MBQ[[#This Row],[WIDTH (mm)]]/1000*MBQ[[#This Row],[QTY TOTAL]]</f>
        <v>0</v>
      </c>
      <c r="W538" s="287">
        <f>ROUNDUP(MBQ[[#This Row],[HEIGHT (mm)]]/450*MBQ[[#This Row],[QTY]]*2,0)+ROUNDUP(MBQ[[#This Row],[WIDTH (mm)]]/450*MBQ[[#This Row],[QTY]]*2,0)</f>
        <v>14</v>
      </c>
    </row>
    <row r="539" spans="1:23" hidden="1">
      <c r="A539" s="258">
        <v>0</v>
      </c>
      <c r="B539" s="276" t="s">
        <v>536</v>
      </c>
      <c r="C539" s="285" t="s">
        <v>534</v>
      </c>
      <c r="D539" s="289" t="s">
        <v>600</v>
      </c>
      <c r="E539" s="289" t="s">
        <v>608</v>
      </c>
      <c r="F539" s="261"/>
      <c r="G539" s="262"/>
      <c r="H539" s="262"/>
      <c r="I539" s="260" t="s">
        <v>442</v>
      </c>
      <c r="J539" s="278" t="s">
        <v>443</v>
      </c>
      <c r="K539" s="285" t="s">
        <v>591</v>
      </c>
      <c r="L539" s="289" t="s">
        <v>603</v>
      </c>
      <c r="M539" s="263"/>
      <c r="N539" s="263"/>
      <c r="O539" s="264">
        <v>1700</v>
      </c>
      <c r="P539" s="264">
        <v>1200</v>
      </c>
      <c r="Q539" s="265">
        <v>1</v>
      </c>
      <c r="R539" s="30">
        <f>MBQ[[#This Row],[HEIGHT (mm)]]*MBQ[[#This Row],[QTY TOTAL]]/1000</f>
        <v>0</v>
      </c>
      <c r="S539" s="30">
        <f>MBQ[[#This Row],[WIDTH (mm)]]*MBQ[[#This Row],[QTY TOTAL]]/1000</f>
        <v>0</v>
      </c>
      <c r="T539" s="9">
        <f>(MBQ[[#This Row],[HEIGHT (mm)]]+MBQ[[#This Row],[WIDTH (mm)]])/1000*2*MBQ[[#This Row],[QTY TOTAL]]</f>
        <v>0</v>
      </c>
      <c r="U539" s="266">
        <f>MBQ[[#This Row],[MULTIPLIER]]*MBQ[[#This Row],[QTY]]</f>
        <v>0</v>
      </c>
      <c r="V539" s="9">
        <f>MBQ[[#This Row],[HEIGHT (mm)]]/1000*MBQ[[#This Row],[WIDTH (mm)]]/1000*MBQ[[#This Row],[QTY TOTAL]]</f>
        <v>0</v>
      </c>
      <c r="W539" s="287">
        <f>ROUNDUP(MBQ[[#This Row],[HEIGHT (mm)]]/450*MBQ[[#This Row],[QTY]]*2,0)+ROUNDUP(MBQ[[#This Row],[WIDTH (mm)]]/450*MBQ[[#This Row],[QTY]]*2,0)</f>
        <v>14</v>
      </c>
    </row>
    <row r="540" spans="1:23" hidden="1">
      <c r="A540" s="258">
        <v>0</v>
      </c>
      <c r="B540" s="276" t="s">
        <v>536</v>
      </c>
      <c r="C540" s="285" t="s">
        <v>534</v>
      </c>
      <c r="D540" s="289" t="s">
        <v>600</v>
      </c>
      <c r="E540" s="289" t="s">
        <v>608</v>
      </c>
      <c r="F540" s="261"/>
      <c r="G540" s="262"/>
      <c r="H540" s="262"/>
      <c r="I540" s="260" t="s">
        <v>442</v>
      </c>
      <c r="J540" s="278" t="s">
        <v>443</v>
      </c>
      <c r="K540" s="285" t="s">
        <v>591</v>
      </c>
      <c r="L540" s="289" t="s">
        <v>603</v>
      </c>
      <c r="M540" s="263"/>
      <c r="N540" s="263"/>
      <c r="O540" s="264">
        <v>1700</v>
      </c>
      <c r="P540" s="264">
        <v>1200</v>
      </c>
      <c r="Q540" s="265">
        <v>1</v>
      </c>
      <c r="R540" s="30">
        <f>MBQ[[#This Row],[HEIGHT (mm)]]*MBQ[[#This Row],[QTY TOTAL]]/1000</f>
        <v>0</v>
      </c>
      <c r="S540" s="30">
        <f>MBQ[[#This Row],[WIDTH (mm)]]*MBQ[[#This Row],[QTY TOTAL]]/1000</f>
        <v>0</v>
      </c>
      <c r="T540" s="9">
        <f>(MBQ[[#This Row],[HEIGHT (mm)]]+MBQ[[#This Row],[WIDTH (mm)]])/1000*2*MBQ[[#This Row],[QTY TOTAL]]</f>
        <v>0</v>
      </c>
      <c r="U540" s="266">
        <f>MBQ[[#This Row],[MULTIPLIER]]*MBQ[[#This Row],[QTY]]</f>
        <v>0</v>
      </c>
      <c r="V540" s="9">
        <f>MBQ[[#This Row],[HEIGHT (mm)]]/1000*MBQ[[#This Row],[WIDTH (mm)]]/1000*MBQ[[#This Row],[QTY TOTAL]]</f>
        <v>0</v>
      </c>
      <c r="W540" s="287">
        <f>ROUNDUP(MBQ[[#This Row],[HEIGHT (mm)]]/450*MBQ[[#This Row],[QTY]]*2,0)+ROUNDUP(MBQ[[#This Row],[WIDTH (mm)]]/450*MBQ[[#This Row],[QTY]]*2,0)</f>
        <v>14</v>
      </c>
    </row>
    <row r="541" spans="1:23" hidden="1">
      <c r="A541" s="258">
        <v>0</v>
      </c>
      <c r="B541" s="276" t="s">
        <v>536</v>
      </c>
      <c r="C541" s="285" t="s">
        <v>534</v>
      </c>
      <c r="D541" s="289" t="s">
        <v>601</v>
      </c>
      <c r="E541" s="289" t="s">
        <v>608</v>
      </c>
      <c r="F541" s="261"/>
      <c r="G541" s="262"/>
      <c r="H541" s="262"/>
      <c r="I541" s="260" t="s">
        <v>441</v>
      </c>
      <c r="J541" s="263"/>
      <c r="K541" s="285" t="s">
        <v>591</v>
      </c>
      <c r="L541" s="260"/>
      <c r="M541" s="263"/>
      <c r="N541" s="263"/>
      <c r="O541" s="264">
        <v>1700</v>
      </c>
      <c r="P541" s="264">
        <v>2400</v>
      </c>
      <c r="Q541" s="265">
        <v>1</v>
      </c>
      <c r="R541" s="30">
        <f>MBQ[[#This Row],[HEIGHT (mm)]]*MBQ[[#This Row],[QTY TOTAL]]/1000</f>
        <v>0</v>
      </c>
      <c r="S541" s="30">
        <f>MBQ[[#This Row],[WIDTH (mm)]]*MBQ[[#This Row],[QTY TOTAL]]/1000</f>
        <v>0</v>
      </c>
      <c r="T541" s="9">
        <f>(MBQ[[#This Row],[HEIGHT (mm)]]+MBQ[[#This Row],[WIDTH (mm)]])/1000*2*MBQ[[#This Row],[QTY TOTAL]]</f>
        <v>0</v>
      </c>
      <c r="U541" s="266">
        <f>MBQ[[#This Row],[MULTIPLIER]]*MBQ[[#This Row],[QTY]]</f>
        <v>0</v>
      </c>
      <c r="V541" s="9">
        <f>MBQ[[#This Row],[HEIGHT (mm)]]/1000*MBQ[[#This Row],[WIDTH (mm)]]/1000*MBQ[[#This Row],[QTY TOTAL]]</f>
        <v>0</v>
      </c>
      <c r="W541" s="287">
        <f>ROUNDUP(MBQ[[#This Row],[HEIGHT (mm)]]/450*MBQ[[#This Row],[QTY]]*2,0)+ROUNDUP(MBQ[[#This Row],[WIDTH (mm)]]/450*MBQ[[#This Row],[QTY]]*2,0)</f>
        <v>19</v>
      </c>
    </row>
    <row r="542" spans="1:23" hidden="1">
      <c r="A542" s="258">
        <v>0</v>
      </c>
      <c r="B542" s="276" t="s">
        <v>536</v>
      </c>
      <c r="C542" s="285" t="s">
        <v>534</v>
      </c>
      <c r="D542" s="289" t="s">
        <v>601</v>
      </c>
      <c r="E542" s="289" t="s">
        <v>608</v>
      </c>
      <c r="F542" s="261"/>
      <c r="G542" s="262"/>
      <c r="H542" s="262"/>
      <c r="I542" s="260" t="s">
        <v>439</v>
      </c>
      <c r="J542" s="278" t="s">
        <v>443</v>
      </c>
      <c r="K542" s="285" t="s">
        <v>591</v>
      </c>
      <c r="L542" s="289" t="s">
        <v>603</v>
      </c>
      <c r="M542" s="263"/>
      <c r="N542" s="278"/>
      <c r="O542" s="264">
        <v>1700</v>
      </c>
      <c r="P542" s="264">
        <v>1200</v>
      </c>
      <c r="Q542" s="265">
        <v>1</v>
      </c>
      <c r="R542" s="30">
        <f>MBQ[[#This Row],[HEIGHT (mm)]]*MBQ[[#This Row],[QTY TOTAL]]/1000</f>
        <v>0</v>
      </c>
      <c r="S542" s="30">
        <f>MBQ[[#This Row],[WIDTH (mm)]]*MBQ[[#This Row],[QTY TOTAL]]/1000</f>
        <v>0</v>
      </c>
      <c r="T542" s="9">
        <f>(MBQ[[#This Row],[HEIGHT (mm)]]+MBQ[[#This Row],[WIDTH (mm)]])/1000*2*MBQ[[#This Row],[QTY TOTAL]]</f>
        <v>0</v>
      </c>
      <c r="U542" s="266">
        <f>MBQ[[#This Row],[MULTIPLIER]]*MBQ[[#This Row],[QTY]]</f>
        <v>0</v>
      </c>
      <c r="V542" s="9">
        <f>MBQ[[#This Row],[HEIGHT (mm)]]/1000*MBQ[[#This Row],[WIDTH (mm)]]/1000*MBQ[[#This Row],[QTY TOTAL]]</f>
        <v>0</v>
      </c>
      <c r="W542" s="287">
        <f>ROUNDUP(MBQ[[#This Row],[HEIGHT (mm)]]/450*MBQ[[#This Row],[QTY]]*2,0)+ROUNDUP(MBQ[[#This Row],[WIDTH (mm)]]/450*MBQ[[#This Row],[QTY]]*2,0)</f>
        <v>14</v>
      </c>
    </row>
    <row r="543" spans="1:23" hidden="1">
      <c r="A543" s="258">
        <v>0</v>
      </c>
      <c r="B543" s="276" t="s">
        <v>536</v>
      </c>
      <c r="C543" s="285" t="s">
        <v>534</v>
      </c>
      <c r="D543" s="289" t="s">
        <v>601</v>
      </c>
      <c r="E543" s="289" t="s">
        <v>608</v>
      </c>
      <c r="F543" s="261"/>
      <c r="G543" s="262"/>
      <c r="H543" s="262"/>
      <c r="I543" s="260" t="s">
        <v>439</v>
      </c>
      <c r="J543" s="278" t="s">
        <v>443</v>
      </c>
      <c r="K543" s="285" t="s">
        <v>591</v>
      </c>
      <c r="L543" s="289" t="s">
        <v>603</v>
      </c>
      <c r="M543" s="263"/>
      <c r="N543" s="263"/>
      <c r="O543" s="264">
        <v>1700</v>
      </c>
      <c r="P543" s="264">
        <v>1200</v>
      </c>
      <c r="Q543" s="265">
        <v>1</v>
      </c>
      <c r="R543" s="30">
        <f>MBQ[[#This Row],[HEIGHT (mm)]]*MBQ[[#This Row],[QTY TOTAL]]/1000</f>
        <v>0</v>
      </c>
      <c r="S543" s="30">
        <f>MBQ[[#This Row],[WIDTH (mm)]]*MBQ[[#This Row],[QTY TOTAL]]/1000</f>
        <v>0</v>
      </c>
      <c r="T543" s="9">
        <f>(MBQ[[#This Row],[HEIGHT (mm)]]+MBQ[[#This Row],[WIDTH (mm)]])/1000*2*MBQ[[#This Row],[QTY TOTAL]]</f>
        <v>0</v>
      </c>
      <c r="U543" s="266">
        <f>MBQ[[#This Row],[MULTIPLIER]]*MBQ[[#This Row],[QTY]]</f>
        <v>0</v>
      </c>
      <c r="V543" s="9">
        <f>MBQ[[#This Row],[HEIGHT (mm)]]/1000*MBQ[[#This Row],[WIDTH (mm)]]/1000*MBQ[[#This Row],[QTY TOTAL]]</f>
        <v>0</v>
      </c>
      <c r="W543" s="287">
        <f>ROUNDUP(MBQ[[#This Row],[HEIGHT (mm)]]/450*MBQ[[#This Row],[QTY]]*2,0)+ROUNDUP(MBQ[[#This Row],[WIDTH (mm)]]/450*MBQ[[#This Row],[QTY]]*2,0)</f>
        <v>14</v>
      </c>
    </row>
    <row r="544" spans="1:23" hidden="1">
      <c r="A544" s="258">
        <v>0</v>
      </c>
      <c r="B544" s="276" t="s">
        <v>536</v>
      </c>
      <c r="C544" s="285" t="s">
        <v>534</v>
      </c>
      <c r="D544" s="289" t="s">
        <v>601</v>
      </c>
      <c r="E544" s="289" t="s">
        <v>608</v>
      </c>
      <c r="F544" s="261"/>
      <c r="G544" s="262"/>
      <c r="H544" s="262"/>
      <c r="I544" s="260" t="s">
        <v>442</v>
      </c>
      <c r="J544" s="278" t="s">
        <v>443</v>
      </c>
      <c r="K544" s="285" t="s">
        <v>591</v>
      </c>
      <c r="L544" s="289" t="s">
        <v>603</v>
      </c>
      <c r="M544" s="263"/>
      <c r="N544" s="263"/>
      <c r="O544" s="264">
        <v>1700</v>
      </c>
      <c r="P544" s="264">
        <v>1200</v>
      </c>
      <c r="Q544" s="265">
        <v>1</v>
      </c>
      <c r="R544" s="30">
        <f>MBQ[[#This Row],[HEIGHT (mm)]]*MBQ[[#This Row],[QTY TOTAL]]/1000</f>
        <v>0</v>
      </c>
      <c r="S544" s="30">
        <f>MBQ[[#This Row],[WIDTH (mm)]]*MBQ[[#This Row],[QTY TOTAL]]/1000</f>
        <v>0</v>
      </c>
      <c r="T544" s="9">
        <f>(MBQ[[#This Row],[HEIGHT (mm)]]+MBQ[[#This Row],[WIDTH (mm)]])/1000*2*MBQ[[#This Row],[QTY TOTAL]]</f>
        <v>0</v>
      </c>
      <c r="U544" s="266">
        <f>MBQ[[#This Row],[MULTIPLIER]]*MBQ[[#This Row],[QTY]]</f>
        <v>0</v>
      </c>
      <c r="V544" s="9">
        <f>MBQ[[#This Row],[HEIGHT (mm)]]/1000*MBQ[[#This Row],[WIDTH (mm)]]/1000*MBQ[[#This Row],[QTY TOTAL]]</f>
        <v>0</v>
      </c>
      <c r="W544" s="287">
        <f>ROUNDUP(MBQ[[#This Row],[HEIGHT (mm)]]/450*MBQ[[#This Row],[QTY]]*2,0)+ROUNDUP(MBQ[[#This Row],[WIDTH (mm)]]/450*MBQ[[#This Row],[QTY]]*2,0)</f>
        <v>14</v>
      </c>
    </row>
    <row r="545" spans="1:23" hidden="1">
      <c r="A545" s="258">
        <v>0</v>
      </c>
      <c r="B545" s="276" t="s">
        <v>536</v>
      </c>
      <c r="C545" s="285" t="s">
        <v>534</v>
      </c>
      <c r="D545" s="289" t="s">
        <v>601</v>
      </c>
      <c r="E545" s="289" t="s">
        <v>608</v>
      </c>
      <c r="F545" s="261"/>
      <c r="G545" s="262"/>
      <c r="H545" s="262"/>
      <c r="I545" s="260" t="s">
        <v>442</v>
      </c>
      <c r="J545" s="278" t="s">
        <v>443</v>
      </c>
      <c r="K545" s="285" t="s">
        <v>591</v>
      </c>
      <c r="L545" s="289" t="s">
        <v>603</v>
      </c>
      <c r="M545" s="263"/>
      <c r="N545" s="263"/>
      <c r="O545" s="264">
        <v>1700</v>
      </c>
      <c r="P545" s="264">
        <v>1200</v>
      </c>
      <c r="Q545" s="265">
        <v>1</v>
      </c>
      <c r="R545" s="30">
        <f>MBQ[[#This Row],[HEIGHT (mm)]]*MBQ[[#This Row],[QTY TOTAL]]/1000</f>
        <v>0</v>
      </c>
      <c r="S545" s="30">
        <f>MBQ[[#This Row],[WIDTH (mm)]]*MBQ[[#This Row],[QTY TOTAL]]/1000</f>
        <v>0</v>
      </c>
      <c r="T545" s="9">
        <f>(MBQ[[#This Row],[HEIGHT (mm)]]+MBQ[[#This Row],[WIDTH (mm)]])/1000*2*MBQ[[#This Row],[QTY TOTAL]]</f>
        <v>0</v>
      </c>
      <c r="U545" s="266">
        <f>MBQ[[#This Row],[MULTIPLIER]]*MBQ[[#This Row],[QTY]]</f>
        <v>0</v>
      </c>
      <c r="V545" s="9">
        <f>MBQ[[#This Row],[HEIGHT (mm)]]/1000*MBQ[[#This Row],[WIDTH (mm)]]/1000*MBQ[[#This Row],[QTY TOTAL]]</f>
        <v>0</v>
      </c>
      <c r="W545" s="287">
        <f>ROUNDUP(MBQ[[#This Row],[HEIGHT (mm)]]/450*MBQ[[#This Row],[QTY]]*2,0)+ROUNDUP(MBQ[[#This Row],[WIDTH (mm)]]/450*MBQ[[#This Row],[QTY]]*2,0)</f>
        <v>14</v>
      </c>
    </row>
    <row r="546" spans="1:23" hidden="1">
      <c r="A546" s="258">
        <v>0</v>
      </c>
      <c r="B546" s="276" t="s">
        <v>536</v>
      </c>
      <c r="C546" s="285" t="s">
        <v>544</v>
      </c>
      <c r="D546" s="289" t="s">
        <v>602</v>
      </c>
      <c r="E546" s="289" t="s">
        <v>608</v>
      </c>
      <c r="F546" s="261"/>
      <c r="G546" s="262"/>
      <c r="H546" s="262"/>
      <c r="I546" s="260" t="s">
        <v>441</v>
      </c>
      <c r="J546" s="263"/>
      <c r="K546" s="285" t="s">
        <v>591</v>
      </c>
      <c r="L546" s="260"/>
      <c r="M546" s="263"/>
      <c r="N546" s="263"/>
      <c r="O546" s="264">
        <v>1700</v>
      </c>
      <c r="P546" s="264">
        <v>2400</v>
      </c>
      <c r="Q546" s="265">
        <v>1</v>
      </c>
      <c r="R546" s="30">
        <f>MBQ[[#This Row],[HEIGHT (mm)]]*MBQ[[#This Row],[QTY TOTAL]]/1000</f>
        <v>0</v>
      </c>
      <c r="S546" s="30">
        <f>MBQ[[#This Row],[WIDTH (mm)]]*MBQ[[#This Row],[QTY TOTAL]]/1000</f>
        <v>0</v>
      </c>
      <c r="T546" s="9">
        <f>(MBQ[[#This Row],[HEIGHT (mm)]]+MBQ[[#This Row],[WIDTH (mm)]])/1000*2*MBQ[[#This Row],[QTY TOTAL]]</f>
        <v>0</v>
      </c>
      <c r="U546" s="266">
        <f>MBQ[[#This Row],[MULTIPLIER]]*MBQ[[#This Row],[QTY]]</f>
        <v>0</v>
      </c>
      <c r="V546" s="9">
        <f>MBQ[[#This Row],[HEIGHT (mm)]]/1000*MBQ[[#This Row],[WIDTH (mm)]]/1000*MBQ[[#This Row],[QTY TOTAL]]</f>
        <v>0</v>
      </c>
      <c r="W546" s="287">
        <f>ROUNDUP(MBQ[[#This Row],[HEIGHT (mm)]]/450*MBQ[[#This Row],[QTY]]*2,0)+ROUNDUP(MBQ[[#This Row],[WIDTH (mm)]]/450*MBQ[[#This Row],[QTY]]*2,0)</f>
        <v>19</v>
      </c>
    </row>
    <row r="547" spans="1:23" hidden="1">
      <c r="A547" s="258">
        <v>0</v>
      </c>
      <c r="B547" s="276" t="s">
        <v>536</v>
      </c>
      <c r="C547" s="285" t="s">
        <v>544</v>
      </c>
      <c r="D547" s="289" t="s">
        <v>602</v>
      </c>
      <c r="E547" s="289" t="s">
        <v>608</v>
      </c>
      <c r="F547" s="261"/>
      <c r="G547" s="262"/>
      <c r="H547" s="262"/>
      <c r="I547" s="260" t="s">
        <v>439</v>
      </c>
      <c r="J547" s="278" t="s">
        <v>443</v>
      </c>
      <c r="K547" s="285" t="s">
        <v>591</v>
      </c>
      <c r="L547" s="289" t="s">
        <v>603</v>
      </c>
      <c r="M547" s="263"/>
      <c r="N547" s="278"/>
      <c r="O547" s="264">
        <v>1700</v>
      </c>
      <c r="P547" s="264">
        <v>1200</v>
      </c>
      <c r="Q547" s="265">
        <v>1</v>
      </c>
      <c r="R547" s="30">
        <f>MBQ[[#This Row],[HEIGHT (mm)]]*MBQ[[#This Row],[QTY TOTAL]]/1000</f>
        <v>0</v>
      </c>
      <c r="S547" s="30">
        <f>MBQ[[#This Row],[WIDTH (mm)]]*MBQ[[#This Row],[QTY TOTAL]]/1000</f>
        <v>0</v>
      </c>
      <c r="T547" s="9">
        <f>(MBQ[[#This Row],[HEIGHT (mm)]]+MBQ[[#This Row],[WIDTH (mm)]])/1000*2*MBQ[[#This Row],[QTY TOTAL]]</f>
        <v>0</v>
      </c>
      <c r="U547" s="266">
        <f>MBQ[[#This Row],[MULTIPLIER]]*MBQ[[#This Row],[QTY]]</f>
        <v>0</v>
      </c>
      <c r="V547" s="9">
        <f>MBQ[[#This Row],[HEIGHT (mm)]]/1000*MBQ[[#This Row],[WIDTH (mm)]]/1000*MBQ[[#This Row],[QTY TOTAL]]</f>
        <v>0</v>
      </c>
      <c r="W547" s="287">
        <f>ROUNDUP(MBQ[[#This Row],[HEIGHT (mm)]]/450*MBQ[[#This Row],[QTY]]*2,0)+ROUNDUP(MBQ[[#This Row],[WIDTH (mm)]]/450*MBQ[[#This Row],[QTY]]*2,0)</f>
        <v>14</v>
      </c>
    </row>
    <row r="548" spans="1:23" hidden="1">
      <c r="A548" s="258">
        <v>0</v>
      </c>
      <c r="B548" s="276" t="s">
        <v>536</v>
      </c>
      <c r="C548" s="285" t="s">
        <v>544</v>
      </c>
      <c r="D548" s="289" t="s">
        <v>602</v>
      </c>
      <c r="E548" s="289" t="s">
        <v>608</v>
      </c>
      <c r="F548" s="261"/>
      <c r="G548" s="262"/>
      <c r="H548" s="262"/>
      <c r="I548" s="260" t="s">
        <v>439</v>
      </c>
      <c r="J548" s="278" t="s">
        <v>443</v>
      </c>
      <c r="K548" s="285" t="s">
        <v>591</v>
      </c>
      <c r="L548" s="289" t="s">
        <v>603</v>
      </c>
      <c r="M548" s="263"/>
      <c r="N548" s="263"/>
      <c r="O548" s="264">
        <v>1700</v>
      </c>
      <c r="P548" s="264">
        <v>1200</v>
      </c>
      <c r="Q548" s="265">
        <v>1</v>
      </c>
      <c r="R548" s="30">
        <f>MBQ[[#This Row],[HEIGHT (mm)]]*MBQ[[#This Row],[QTY TOTAL]]/1000</f>
        <v>0</v>
      </c>
      <c r="S548" s="30">
        <f>MBQ[[#This Row],[WIDTH (mm)]]*MBQ[[#This Row],[QTY TOTAL]]/1000</f>
        <v>0</v>
      </c>
      <c r="T548" s="9">
        <f>(MBQ[[#This Row],[HEIGHT (mm)]]+MBQ[[#This Row],[WIDTH (mm)]])/1000*2*MBQ[[#This Row],[QTY TOTAL]]</f>
        <v>0</v>
      </c>
      <c r="U548" s="266">
        <f>MBQ[[#This Row],[MULTIPLIER]]*MBQ[[#This Row],[QTY]]</f>
        <v>0</v>
      </c>
      <c r="V548" s="9">
        <f>MBQ[[#This Row],[HEIGHT (mm)]]/1000*MBQ[[#This Row],[WIDTH (mm)]]/1000*MBQ[[#This Row],[QTY TOTAL]]</f>
        <v>0</v>
      </c>
      <c r="W548" s="287">
        <f>ROUNDUP(MBQ[[#This Row],[HEIGHT (mm)]]/450*MBQ[[#This Row],[QTY]]*2,0)+ROUNDUP(MBQ[[#This Row],[WIDTH (mm)]]/450*MBQ[[#This Row],[QTY]]*2,0)</f>
        <v>14</v>
      </c>
    </row>
    <row r="549" spans="1:23" hidden="1">
      <c r="A549" s="258">
        <v>0</v>
      </c>
      <c r="B549" s="276" t="s">
        <v>536</v>
      </c>
      <c r="C549" s="285" t="s">
        <v>544</v>
      </c>
      <c r="D549" s="289" t="s">
        <v>602</v>
      </c>
      <c r="E549" s="289" t="s">
        <v>608</v>
      </c>
      <c r="F549" s="261"/>
      <c r="G549" s="262"/>
      <c r="H549" s="262"/>
      <c r="I549" s="260" t="s">
        <v>442</v>
      </c>
      <c r="J549" s="278" t="s">
        <v>443</v>
      </c>
      <c r="K549" s="285" t="s">
        <v>591</v>
      </c>
      <c r="L549" s="289" t="s">
        <v>603</v>
      </c>
      <c r="M549" s="263"/>
      <c r="N549" s="263"/>
      <c r="O549" s="264">
        <v>1700</v>
      </c>
      <c r="P549" s="264">
        <v>1200</v>
      </c>
      <c r="Q549" s="265">
        <v>1</v>
      </c>
      <c r="R549" s="30">
        <f>MBQ[[#This Row],[HEIGHT (mm)]]*MBQ[[#This Row],[QTY TOTAL]]/1000</f>
        <v>0</v>
      </c>
      <c r="S549" s="30">
        <f>MBQ[[#This Row],[WIDTH (mm)]]*MBQ[[#This Row],[QTY TOTAL]]/1000</f>
        <v>0</v>
      </c>
      <c r="T549" s="9">
        <f>(MBQ[[#This Row],[HEIGHT (mm)]]+MBQ[[#This Row],[WIDTH (mm)]])/1000*2*MBQ[[#This Row],[QTY TOTAL]]</f>
        <v>0</v>
      </c>
      <c r="U549" s="266">
        <f>MBQ[[#This Row],[MULTIPLIER]]*MBQ[[#This Row],[QTY]]</f>
        <v>0</v>
      </c>
      <c r="V549" s="9">
        <f>MBQ[[#This Row],[HEIGHT (mm)]]/1000*MBQ[[#This Row],[WIDTH (mm)]]/1000*MBQ[[#This Row],[QTY TOTAL]]</f>
        <v>0</v>
      </c>
      <c r="W549" s="287">
        <f>ROUNDUP(MBQ[[#This Row],[HEIGHT (mm)]]/450*MBQ[[#This Row],[QTY]]*2,0)+ROUNDUP(MBQ[[#This Row],[WIDTH (mm)]]/450*MBQ[[#This Row],[QTY]]*2,0)</f>
        <v>14</v>
      </c>
    </row>
    <row r="550" spans="1:23" hidden="1">
      <c r="A550" s="258">
        <v>0</v>
      </c>
      <c r="B550" s="276" t="s">
        <v>536</v>
      </c>
      <c r="C550" s="285" t="s">
        <v>544</v>
      </c>
      <c r="D550" s="289" t="s">
        <v>602</v>
      </c>
      <c r="E550" s="289" t="s">
        <v>608</v>
      </c>
      <c r="F550" s="261"/>
      <c r="G550" s="262"/>
      <c r="H550" s="262"/>
      <c r="I550" s="260" t="s">
        <v>442</v>
      </c>
      <c r="J550" s="278" t="s">
        <v>443</v>
      </c>
      <c r="K550" s="285" t="s">
        <v>591</v>
      </c>
      <c r="L550" s="289" t="s">
        <v>603</v>
      </c>
      <c r="M550" s="263"/>
      <c r="N550" s="263"/>
      <c r="O550" s="264">
        <v>1700</v>
      </c>
      <c r="P550" s="264">
        <v>1200</v>
      </c>
      <c r="Q550" s="265">
        <v>1</v>
      </c>
      <c r="R550" s="30">
        <f>MBQ[[#This Row],[HEIGHT (mm)]]*MBQ[[#This Row],[QTY TOTAL]]/1000</f>
        <v>0</v>
      </c>
      <c r="S550" s="30">
        <f>MBQ[[#This Row],[WIDTH (mm)]]*MBQ[[#This Row],[QTY TOTAL]]/1000</f>
        <v>0</v>
      </c>
      <c r="T550" s="9">
        <f>(MBQ[[#This Row],[HEIGHT (mm)]]+MBQ[[#This Row],[WIDTH (mm)]])/1000*2*MBQ[[#This Row],[QTY TOTAL]]</f>
        <v>0</v>
      </c>
      <c r="U550" s="266">
        <f>MBQ[[#This Row],[MULTIPLIER]]*MBQ[[#This Row],[QTY]]</f>
        <v>0</v>
      </c>
      <c r="V550" s="9">
        <f>MBQ[[#This Row],[HEIGHT (mm)]]/1000*MBQ[[#This Row],[WIDTH (mm)]]/1000*MBQ[[#This Row],[QTY TOTAL]]</f>
        <v>0</v>
      </c>
      <c r="W550" s="287">
        <f>ROUNDUP(MBQ[[#This Row],[HEIGHT (mm)]]/450*MBQ[[#This Row],[QTY]]*2,0)+ROUNDUP(MBQ[[#This Row],[WIDTH (mm)]]/450*MBQ[[#This Row],[QTY]]*2,0)</f>
        <v>14</v>
      </c>
    </row>
    <row r="551" spans="1:23" hidden="1">
      <c r="A551" s="258">
        <v>0</v>
      </c>
      <c r="B551" s="276" t="s">
        <v>535</v>
      </c>
      <c r="C551" s="285" t="s">
        <v>544</v>
      </c>
      <c r="D551" s="289" t="s">
        <v>605</v>
      </c>
      <c r="E551" s="289" t="s">
        <v>608</v>
      </c>
      <c r="F551" s="261"/>
      <c r="G551" s="262"/>
      <c r="H551" s="262"/>
      <c r="I551" s="260" t="s">
        <v>441</v>
      </c>
      <c r="J551" s="263"/>
      <c r="K551" s="285" t="s">
        <v>591</v>
      </c>
      <c r="L551" s="260"/>
      <c r="M551" s="263"/>
      <c r="N551" s="263"/>
      <c r="O551" s="264">
        <v>1700</v>
      </c>
      <c r="P551" s="264">
        <v>3600</v>
      </c>
      <c r="Q551" s="265">
        <v>1</v>
      </c>
      <c r="R551" s="30">
        <f>MBQ[[#This Row],[HEIGHT (mm)]]*MBQ[[#This Row],[QTY TOTAL]]/1000</f>
        <v>0</v>
      </c>
      <c r="S551" s="30">
        <f>MBQ[[#This Row],[WIDTH (mm)]]*MBQ[[#This Row],[QTY TOTAL]]/1000</f>
        <v>0</v>
      </c>
      <c r="T551" s="9">
        <f>(MBQ[[#This Row],[HEIGHT (mm)]]+MBQ[[#This Row],[WIDTH (mm)]])/1000*2*MBQ[[#This Row],[QTY TOTAL]]</f>
        <v>0</v>
      </c>
      <c r="U551" s="266">
        <f>MBQ[[#This Row],[MULTIPLIER]]*MBQ[[#This Row],[QTY]]</f>
        <v>0</v>
      </c>
      <c r="V551" s="9">
        <f>MBQ[[#This Row],[HEIGHT (mm)]]/1000*MBQ[[#This Row],[WIDTH (mm)]]/1000*MBQ[[#This Row],[QTY TOTAL]]</f>
        <v>0</v>
      </c>
      <c r="W551" s="287">
        <f>ROUNDUP(MBQ[[#This Row],[HEIGHT (mm)]]/450*MBQ[[#This Row],[QTY]]*2,0)+ROUNDUP(MBQ[[#This Row],[WIDTH (mm)]]/450*MBQ[[#This Row],[QTY]]*2,0)</f>
        <v>24</v>
      </c>
    </row>
    <row r="552" spans="1:23" hidden="1">
      <c r="A552" s="258">
        <v>0</v>
      </c>
      <c r="B552" s="276" t="s">
        <v>535</v>
      </c>
      <c r="C552" s="285" t="s">
        <v>544</v>
      </c>
      <c r="D552" s="289" t="s">
        <v>605</v>
      </c>
      <c r="E552" s="289" t="s">
        <v>608</v>
      </c>
      <c r="F552" s="261"/>
      <c r="G552" s="262"/>
      <c r="H552" s="262"/>
      <c r="I552" s="260" t="s">
        <v>439</v>
      </c>
      <c r="J552" s="278" t="s">
        <v>443</v>
      </c>
      <c r="K552" s="285" t="s">
        <v>591</v>
      </c>
      <c r="L552" s="289" t="s">
        <v>603</v>
      </c>
      <c r="M552" s="263"/>
      <c r="N552" s="278"/>
      <c r="O552" s="264">
        <v>1700</v>
      </c>
      <c r="P552" s="264">
        <v>1200</v>
      </c>
      <c r="Q552" s="265">
        <v>1</v>
      </c>
      <c r="R552" s="30">
        <f>MBQ[[#This Row],[HEIGHT (mm)]]*MBQ[[#This Row],[QTY TOTAL]]/1000</f>
        <v>0</v>
      </c>
      <c r="S552" s="30">
        <f>MBQ[[#This Row],[WIDTH (mm)]]*MBQ[[#This Row],[QTY TOTAL]]/1000</f>
        <v>0</v>
      </c>
      <c r="T552" s="9">
        <f>(MBQ[[#This Row],[HEIGHT (mm)]]+MBQ[[#This Row],[WIDTH (mm)]])/1000*2*MBQ[[#This Row],[QTY TOTAL]]</f>
        <v>0</v>
      </c>
      <c r="U552" s="266">
        <f>MBQ[[#This Row],[MULTIPLIER]]*MBQ[[#This Row],[QTY]]</f>
        <v>0</v>
      </c>
      <c r="V552" s="9">
        <f>MBQ[[#This Row],[HEIGHT (mm)]]/1000*MBQ[[#This Row],[WIDTH (mm)]]/1000*MBQ[[#This Row],[QTY TOTAL]]</f>
        <v>0</v>
      </c>
      <c r="W552" s="287">
        <f>ROUNDUP(MBQ[[#This Row],[HEIGHT (mm)]]/450*MBQ[[#This Row],[QTY]]*2,0)+ROUNDUP(MBQ[[#This Row],[WIDTH (mm)]]/450*MBQ[[#This Row],[QTY]]*2,0)</f>
        <v>14</v>
      </c>
    </row>
    <row r="553" spans="1:23" hidden="1">
      <c r="A553" s="258">
        <v>0</v>
      </c>
      <c r="B553" s="276" t="s">
        <v>535</v>
      </c>
      <c r="C553" s="285" t="s">
        <v>544</v>
      </c>
      <c r="D553" s="289" t="s">
        <v>605</v>
      </c>
      <c r="E553" s="289" t="s">
        <v>608</v>
      </c>
      <c r="F553" s="261"/>
      <c r="G553" s="262"/>
      <c r="H553" s="262"/>
      <c r="I553" s="260" t="s">
        <v>439</v>
      </c>
      <c r="J553" s="278" t="s">
        <v>443</v>
      </c>
      <c r="K553" s="285" t="s">
        <v>591</v>
      </c>
      <c r="L553" s="289" t="s">
        <v>603</v>
      </c>
      <c r="M553" s="263"/>
      <c r="N553" s="263"/>
      <c r="O553" s="264">
        <v>1700</v>
      </c>
      <c r="P553" s="264">
        <v>1200</v>
      </c>
      <c r="Q553" s="265">
        <v>1</v>
      </c>
      <c r="R553" s="30">
        <f>MBQ[[#This Row],[HEIGHT (mm)]]*MBQ[[#This Row],[QTY TOTAL]]/1000</f>
        <v>0</v>
      </c>
      <c r="S553" s="30">
        <f>MBQ[[#This Row],[WIDTH (mm)]]*MBQ[[#This Row],[QTY TOTAL]]/1000</f>
        <v>0</v>
      </c>
      <c r="T553" s="9">
        <f>(MBQ[[#This Row],[HEIGHT (mm)]]+MBQ[[#This Row],[WIDTH (mm)]])/1000*2*MBQ[[#This Row],[QTY TOTAL]]</f>
        <v>0</v>
      </c>
      <c r="U553" s="266">
        <f>MBQ[[#This Row],[MULTIPLIER]]*MBQ[[#This Row],[QTY]]</f>
        <v>0</v>
      </c>
      <c r="V553" s="9">
        <f>MBQ[[#This Row],[HEIGHT (mm)]]/1000*MBQ[[#This Row],[WIDTH (mm)]]/1000*MBQ[[#This Row],[QTY TOTAL]]</f>
        <v>0</v>
      </c>
      <c r="W553" s="287">
        <f>ROUNDUP(MBQ[[#This Row],[HEIGHT (mm)]]/450*MBQ[[#This Row],[QTY]]*2,0)+ROUNDUP(MBQ[[#This Row],[WIDTH (mm)]]/450*MBQ[[#This Row],[QTY]]*2,0)</f>
        <v>14</v>
      </c>
    </row>
    <row r="554" spans="1:23" hidden="1">
      <c r="A554" s="258">
        <v>0</v>
      </c>
      <c r="B554" s="276" t="s">
        <v>535</v>
      </c>
      <c r="C554" s="285" t="s">
        <v>544</v>
      </c>
      <c r="D554" s="289" t="s">
        <v>605</v>
      </c>
      <c r="E554" s="289" t="s">
        <v>608</v>
      </c>
      <c r="F554" s="261"/>
      <c r="G554" s="262"/>
      <c r="H554" s="262"/>
      <c r="I554" s="260" t="s">
        <v>439</v>
      </c>
      <c r="J554" s="278" t="s">
        <v>443</v>
      </c>
      <c r="K554" s="285" t="s">
        <v>591</v>
      </c>
      <c r="L554" s="289" t="s">
        <v>603</v>
      </c>
      <c r="M554" s="263"/>
      <c r="N554" s="263"/>
      <c r="O554" s="264">
        <v>1700</v>
      </c>
      <c r="P554" s="264">
        <v>1200</v>
      </c>
      <c r="Q554" s="265">
        <v>1</v>
      </c>
      <c r="R554" s="30">
        <f>MBQ[[#This Row],[HEIGHT (mm)]]*MBQ[[#This Row],[QTY TOTAL]]/1000</f>
        <v>0</v>
      </c>
      <c r="S554" s="30">
        <f>MBQ[[#This Row],[WIDTH (mm)]]*MBQ[[#This Row],[QTY TOTAL]]/1000</f>
        <v>0</v>
      </c>
      <c r="T554" s="9">
        <f>(MBQ[[#This Row],[HEIGHT (mm)]]+MBQ[[#This Row],[WIDTH (mm)]])/1000*2*MBQ[[#This Row],[QTY TOTAL]]</f>
        <v>0</v>
      </c>
      <c r="U554" s="266">
        <f>MBQ[[#This Row],[MULTIPLIER]]*MBQ[[#This Row],[QTY]]</f>
        <v>0</v>
      </c>
      <c r="V554" s="9">
        <f>MBQ[[#This Row],[HEIGHT (mm)]]/1000*MBQ[[#This Row],[WIDTH (mm)]]/1000*MBQ[[#This Row],[QTY TOTAL]]</f>
        <v>0</v>
      </c>
      <c r="W554" s="287">
        <f>ROUNDUP(MBQ[[#This Row],[HEIGHT (mm)]]/450*MBQ[[#This Row],[QTY]]*2,0)+ROUNDUP(MBQ[[#This Row],[WIDTH (mm)]]/450*MBQ[[#This Row],[QTY]]*2,0)</f>
        <v>14</v>
      </c>
    </row>
    <row r="555" spans="1:23" hidden="1">
      <c r="A555" s="258">
        <v>0</v>
      </c>
      <c r="B555" s="276" t="s">
        <v>535</v>
      </c>
      <c r="C555" s="285" t="s">
        <v>544</v>
      </c>
      <c r="D555" s="289" t="s">
        <v>605</v>
      </c>
      <c r="E555" s="289" t="s">
        <v>608</v>
      </c>
      <c r="F555" s="261"/>
      <c r="G555" s="262"/>
      <c r="H555" s="262"/>
      <c r="I555" s="260" t="s">
        <v>442</v>
      </c>
      <c r="J555" s="278" t="s">
        <v>443</v>
      </c>
      <c r="K555" s="285" t="s">
        <v>591</v>
      </c>
      <c r="L555" s="289" t="s">
        <v>603</v>
      </c>
      <c r="M555" s="263"/>
      <c r="N555" s="263"/>
      <c r="O555" s="264">
        <v>1700</v>
      </c>
      <c r="P555" s="264">
        <v>1200</v>
      </c>
      <c r="Q555" s="265">
        <v>1</v>
      </c>
      <c r="R555" s="30">
        <f>MBQ[[#This Row],[HEIGHT (mm)]]*MBQ[[#This Row],[QTY TOTAL]]/1000</f>
        <v>0</v>
      </c>
      <c r="S555" s="30">
        <f>MBQ[[#This Row],[WIDTH (mm)]]*MBQ[[#This Row],[QTY TOTAL]]/1000</f>
        <v>0</v>
      </c>
      <c r="T555" s="9">
        <f>(MBQ[[#This Row],[HEIGHT (mm)]]+MBQ[[#This Row],[WIDTH (mm)]])/1000*2*MBQ[[#This Row],[QTY TOTAL]]</f>
        <v>0</v>
      </c>
      <c r="U555" s="266">
        <f>MBQ[[#This Row],[MULTIPLIER]]*MBQ[[#This Row],[QTY]]</f>
        <v>0</v>
      </c>
      <c r="V555" s="9">
        <f>MBQ[[#This Row],[HEIGHT (mm)]]/1000*MBQ[[#This Row],[WIDTH (mm)]]/1000*MBQ[[#This Row],[QTY TOTAL]]</f>
        <v>0</v>
      </c>
      <c r="W555" s="287">
        <f>ROUNDUP(MBQ[[#This Row],[HEIGHT (mm)]]/450*MBQ[[#This Row],[QTY]]*2,0)+ROUNDUP(MBQ[[#This Row],[WIDTH (mm)]]/450*MBQ[[#This Row],[QTY]]*2,0)</f>
        <v>14</v>
      </c>
    </row>
    <row r="556" spans="1:23" hidden="1">
      <c r="A556" s="258">
        <v>0</v>
      </c>
      <c r="B556" s="276" t="s">
        <v>535</v>
      </c>
      <c r="C556" s="285" t="s">
        <v>544</v>
      </c>
      <c r="D556" s="289" t="s">
        <v>605</v>
      </c>
      <c r="E556" s="289" t="s">
        <v>608</v>
      </c>
      <c r="F556" s="261"/>
      <c r="G556" s="262"/>
      <c r="H556" s="262"/>
      <c r="I556" s="260" t="s">
        <v>442</v>
      </c>
      <c r="J556" s="278" t="s">
        <v>443</v>
      </c>
      <c r="K556" s="285" t="s">
        <v>591</v>
      </c>
      <c r="L556" s="289" t="s">
        <v>603</v>
      </c>
      <c r="M556" s="263"/>
      <c r="N556" s="263"/>
      <c r="O556" s="264">
        <v>1700</v>
      </c>
      <c r="P556" s="264">
        <v>1200</v>
      </c>
      <c r="Q556" s="265">
        <v>1</v>
      </c>
      <c r="R556" s="30">
        <f>MBQ[[#This Row],[HEIGHT (mm)]]*MBQ[[#This Row],[QTY TOTAL]]/1000</f>
        <v>0</v>
      </c>
      <c r="S556" s="30">
        <f>MBQ[[#This Row],[WIDTH (mm)]]*MBQ[[#This Row],[QTY TOTAL]]/1000</f>
        <v>0</v>
      </c>
      <c r="T556" s="9">
        <f>(MBQ[[#This Row],[HEIGHT (mm)]]+MBQ[[#This Row],[WIDTH (mm)]])/1000*2*MBQ[[#This Row],[QTY TOTAL]]</f>
        <v>0</v>
      </c>
      <c r="U556" s="266">
        <f>MBQ[[#This Row],[MULTIPLIER]]*MBQ[[#This Row],[QTY]]</f>
        <v>0</v>
      </c>
      <c r="V556" s="9">
        <f>MBQ[[#This Row],[HEIGHT (mm)]]/1000*MBQ[[#This Row],[WIDTH (mm)]]/1000*MBQ[[#This Row],[QTY TOTAL]]</f>
        <v>0</v>
      </c>
      <c r="W556" s="287">
        <f>ROUNDUP(MBQ[[#This Row],[HEIGHT (mm)]]/450*MBQ[[#This Row],[QTY]]*2,0)+ROUNDUP(MBQ[[#This Row],[WIDTH (mm)]]/450*MBQ[[#This Row],[QTY]]*2,0)</f>
        <v>14</v>
      </c>
    </row>
    <row r="557" spans="1:23" hidden="1">
      <c r="A557" s="258">
        <v>0</v>
      </c>
      <c r="B557" s="276" t="s">
        <v>535</v>
      </c>
      <c r="C557" s="285" t="s">
        <v>544</v>
      </c>
      <c r="D557" s="289" t="s">
        <v>605</v>
      </c>
      <c r="E557" s="289" t="s">
        <v>608</v>
      </c>
      <c r="F557" s="261"/>
      <c r="G557" s="262"/>
      <c r="H557" s="262"/>
      <c r="I557" s="260" t="s">
        <v>442</v>
      </c>
      <c r="J557" s="278" t="s">
        <v>443</v>
      </c>
      <c r="K557" s="285" t="s">
        <v>591</v>
      </c>
      <c r="L557" s="289" t="s">
        <v>603</v>
      </c>
      <c r="M557" s="263"/>
      <c r="N557" s="263"/>
      <c r="O557" s="264">
        <v>1700</v>
      </c>
      <c r="P557" s="264">
        <v>1200</v>
      </c>
      <c r="Q557" s="265">
        <v>1</v>
      </c>
      <c r="R557" s="30">
        <f>MBQ[[#This Row],[HEIGHT (mm)]]*MBQ[[#This Row],[QTY TOTAL]]/1000</f>
        <v>0</v>
      </c>
      <c r="S557" s="30">
        <f>MBQ[[#This Row],[WIDTH (mm)]]*MBQ[[#This Row],[QTY TOTAL]]/1000</f>
        <v>0</v>
      </c>
      <c r="T557" s="9">
        <f>(MBQ[[#This Row],[HEIGHT (mm)]]+MBQ[[#This Row],[WIDTH (mm)]])/1000*2*MBQ[[#This Row],[QTY TOTAL]]</f>
        <v>0</v>
      </c>
      <c r="U557" s="266">
        <f>MBQ[[#This Row],[MULTIPLIER]]*MBQ[[#This Row],[QTY]]</f>
        <v>0</v>
      </c>
      <c r="V557" s="9">
        <f>MBQ[[#This Row],[HEIGHT (mm)]]/1000*MBQ[[#This Row],[WIDTH (mm)]]/1000*MBQ[[#This Row],[QTY TOTAL]]</f>
        <v>0</v>
      </c>
      <c r="W557" s="287">
        <f>ROUNDUP(MBQ[[#This Row],[HEIGHT (mm)]]/450*MBQ[[#This Row],[QTY]]*2,0)+ROUNDUP(MBQ[[#This Row],[WIDTH (mm)]]/450*MBQ[[#This Row],[QTY]]*2,0)</f>
        <v>14</v>
      </c>
    </row>
    <row r="558" spans="1:23" hidden="1">
      <c r="A558" s="258">
        <v>0</v>
      </c>
      <c r="B558" s="276" t="s">
        <v>535</v>
      </c>
      <c r="C558" s="285" t="s">
        <v>534</v>
      </c>
      <c r="D558" s="289" t="s">
        <v>604</v>
      </c>
      <c r="E558" s="289" t="s">
        <v>608</v>
      </c>
      <c r="F558" s="261"/>
      <c r="G558" s="262"/>
      <c r="H558" s="262"/>
      <c r="I558" s="260" t="s">
        <v>441</v>
      </c>
      <c r="J558" s="263"/>
      <c r="K558" s="285" t="s">
        <v>591</v>
      </c>
      <c r="L558" s="260"/>
      <c r="M558" s="263"/>
      <c r="N558" s="263"/>
      <c r="O558" s="264">
        <v>1700</v>
      </c>
      <c r="P558" s="264">
        <v>3600</v>
      </c>
      <c r="Q558" s="265">
        <v>1</v>
      </c>
      <c r="R558" s="30">
        <f>MBQ[[#This Row],[HEIGHT (mm)]]*MBQ[[#This Row],[QTY TOTAL]]/1000</f>
        <v>0</v>
      </c>
      <c r="S558" s="30">
        <f>MBQ[[#This Row],[WIDTH (mm)]]*MBQ[[#This Row],[QTY TOTAL]]/1000</f>
        <v>0</v>
      </c>
      <c r="T558" s="9">
        <f>(MBQ[[#This Row],[HEIGHT (mm)]]+MBQ[[#This Row],[WIDTH (mm)]])/1000*2*MBQ[[#This Row],[QTY TOTAL]]</f>
        <v>0</v>
      </c>
      <c r="U558" s="266">
        <f>MBQ[[#This Row],[MULTIPLIER]]*MBQ[[#This Row],[QTY]]</f>
        <v>0</v>
      </c>
      <c r="V558" s="9">
        <f>MBQ[[#This Row],[HEIGHT (mm)]]/1000*MBQ[[#This Row],[WIDTH (mm)]]/1000*MBQ[[#This Row],[QTY TOTAL]]</f>
        <v>0</v>
      </c>
      <c r="W558" s="287">
        <f>ROUNDUP(MBQ[[#This Row],[HEIGHT (mm)]]/450*MBQ[[#This Row],[QTY]]*2,0)+ROUNDUP(MBQ[[#This Row],[WIDTH (mm)]]/450*MBQ[[#This Row],[QTY]]*2,0)</f>
        <v>24</v>
      </c>
    </row>
    <row r="559" spans="1:23" hidden="1">
      <c r="A559" s="258">
        <v>0</v>
      </c>
      <c r="B559" s="276" t="s">
        <v>535</v>
      </c>
      <c r="C559" s="285" t="s">
        <v>534</v>
      </c>
      <c r="D559" s="289" t="s">
        <v>604</v>
      </c>
      <c r="E559" s="289" t="s">
        <v>608</v>
      </c>
      <c r="F559" s="261"/>
      <c r="G559" s="262"/>
      <c r="H559" s="262"/>
      <c r="I559" s="260" t="s">
        <v>439</v>
      </c>
      <c r="J559" s="278" t="s">
        <v>443</v>
      </c>
      <c r="K559" s="285" t="s">
        <v>591</v>
      </c>
      <c r="L559" s="289" t="s">
        <v>603</v>
      </c>
      <c r="M559" s="263"/>
      <c r="N559" s="278"/>
      <c r="O559" s="264">
        <v>1700</v>
      </c>
      <c r="P559" s="264">
        <v>1200</v>
      </c>
      <c r="Q559" s="265">
        <v>1</v>
      </c>
      <c r="R559" s="30">
        <f>MBQ[[#This Row],[HEIGHT (mm)]]*MBQ[[#This Row],[QTY TOTAL]]/1000</f>
        <v>0</v>
      </c>
      <c r="S559" s="30">
        <f>MBQ[[#This Row],[WIDTH (mm)]]*MBQ[[#This Row],[QTY TOTAL]]/1000</f>
        <v>0</v>
      </c>
      <c r="T559" s="9">
        <f>(MBQ[[#This Row],[HEIGHT (mm)]]+MBQ[[#This Row],[WIDTH (mm)]])/1000*2*MBQ[[#This Row],[QTY TOTAL]]</f>
        <v>0</v>
      </c>
      <c r="U559" s="266">
        <f>MBQ[[#This Row],[MULTIPLIER]]*MBQ[[#This Row],[QTY]]</f>
        <v>0</v>
      </c>
      <c r="V559" s="9">
        <f>MBQ[[#This Row],[HEIGHT (mm)]]/1000*MBQ[[#This Row],[WIDTH (mm)]]/1000*MBQ[[#This Row],[QTY TOTAL]]</f>
        <v>0</v>
      </c>
      <c r="W559" s="287">
        <f>ROUNDUP(MBQ[[#This Row],[HEIGHT (mm)]]/450*MBQ[[#This Row],[QTY]]*2,0)+ROUNDUP(MBQ[[#This Row],[WIDTH (mm)]]/450*MBQ[[#This Row],[QTY]]*2,0)</f>
        <v>14</v>
      </c>
    </row>
    <row r="560" spans="1:23" hidden="1">
      <c r="A560" s="258">
        <v>0</v>
      </c>
      <c r="B560" s="276" t="s">
        <v>535</v>
      </c>
      <c r="C560" s="285" t="s">
        <v>534</v>
      </c>
      <c r="D560" s="289" t="s">
        <v>604</v>
      </c>
      <c r="E560" s="289" t="s">
        <v>608</v>
      </c>
      <c r="F560" s="261"/>
      <c r="G560" s="262"/>
      <c r="H560" s="262"/>
      <c r="I560" s="260" t="s">
        <v>439</v>
      </c>
      <c r="J560" s="278" t="s">
        <v>443</v>
      </c>
      <c r="K560" s="285" t="s">
        <v>591</v>
      </c>
      <c r="L560" s="289" t="s">
        <v>603</v>
      </c>
      <c r="M560" s="263"/>
      <c r="N560" s="263"/>
      <c r="O560" s="264">
        <v>1700</v>
      </c>
      <c r="P560" s="264">
        <v>1200</v>
      </c>
      <c r="Q560" s="265">
        <v>1</v>
      </c>
      <c r="R560" s="30">
        <f>MBQ[[#This Row],[HEIGHT (mm)]]*MBQ[[#This Row],[QTY TOTAL]]/1000</f>
        <v>0</v>
      </c>
      <c r="S560" s="30">
        <f>MBQ[[#This Row],[WIDTH (mm)]]*MBQ[[#This Row],[QTY TOTAL]]/1000</f>
        <v>0</v>
      </c>
      <c r="T560" s="9">
        <f>(MBQ[[#This Row],[HEIGHT (mm)]]+MBQ[[#This Row],[WIDTH (mm)]])/1000*2*MBQ[[#This Row],[QTY TOTAL]]</f>
        <v>0</v>
      </c>
      <c r="U560" s="266">
        <f>MBQ[[#This Row],[MULTIPLIER]]*MBQ[[#This Row],[QTY]]</f>
        <v>0</v>
      </c>
      <c r="V560" s="9">
        <f>MBQ[[#This Row],[HEIGHT (mm)]]/1000*MBQ[[#This Row],[WIDTH (mm)]]/1000*MBQ[[#This Row],[QTY TOTAL]]</f>
        <v>0</v>
      </c>
      <c r="W560" s="287">
        <f>ROUNDUP(MBQ[[#This Row],[HEIGHT (mm)]]/450*MBQ[[#This Row],[QTY]]*2,0)+ROUNDUP(MBQ[[#This Row],[WIDTH (mm)]]/450*MBQ[[#This Row],[QTY]]*2,0)</f>
        <v>14</v>
      </c>
    </row>
    <row r="561" spans="1:23" hidden="1">
      <c r="A561" s="258">
        <v>0</v>
      </c>
      <c r="B561" s="276" t="s">
        <v>535</v>
      </c>
      <c r="C561" s="285" t="s">
        <v>534</v>
      </c>
      <c r="D561" s="289" t="s">
        <v>604</v>
      </c>
      <c r="E561" s="289" t="s">
        <v>608</v>
      </c>
      <c r="F561" s="261"/>
      <c r="G561" s="262"/>
      <c r="H561" s="262"/>
      <c r="I561" s="260" t="s">
        <v>439</v>
      </c>
      <c r="J561" s="278" t="s">
        <v>443</v>
      </c>
      <c r="K561" s="285" t="s">
        <v>591</v>
      </c>
      <c r="L561" s="289" t="s">
        <v>603</v>
      </c>
      <c r="M561" s="263"/>
      <c r="N561" s="263"/>
      <c r="O561" s="264">
        <v>1700</v>
      </c>
      <c r="P561" s="264">
        <v>1200</v>
      </c>
      <c r="Q561" s="265">
        <v>1</v>
      </c>
      <c r="R561" s="30">
        <f>MBQ[[#This Row],[HEIGHT (mm)]]*MBQ[[#This Row],[QTY TOTAL]]/1000</f>
        <v>0</v>
      </c>
      <c r="S561" s="30">
        <f>MBQ[[#This Row],[WIDTH (mm)]]*MBQ[[#This Row],[QTY TOTAL]]/1000</f>
        <v>0</v>
      </c>
      <c r="T561" s="9">
        <f>(MBQ[[#This Row],[HEIGHT (mm)]]+MBQ[[#This Row],[WIDTH (mm)]])/1000*2*MBQ[[#This Row],[QTY TOTAL]]</f>
        <v>0</v>
      </c>
      <c r="U561" s="266">
        <f>MBQ[[#This Row],[MULTIPLIER]]*MBQ[[#This Row],[QTY]]</f>
        <v>0</v>
      </c>
      <c r="V561" s="9">
        <f>MBQ[[#This Row],[HEIGHT (mm)]]/1000*MBQ[[#This Row],[WIDTH (mm)]]/1000*MBQ[[#This Row],[QTY TOTAL]]</f>
        <v>0</v>
      </c>
      <c r="W561" s="287">
        <f>ROUNDUP(MBQ[[#This Row],[HEIGHT (mm)]]/450*MBQ[[#This Row],[QTY]]*2,0)+ROUNDUP(MBQ[[#This Row],[WIDTH (mm)]]/450*MBQ[[#This Row],[QTY]]*2,0)</f>
        <v>14</v>
      </c>
    </row>
    <row r="562" spans="1:23" hidden="1">
      <c r="A562" s="258">
        <v>0</v>
      </c>
      <c r="B562" s="276" t="s">
        <v>535</v>
      </c>
      <c r="C562" s="285" t="s">
        <v>534</v>
      </c>
      <c r="D562" s="289" t="s">
        <v>604</v>
      </c>
      <c r="E562" s="289" t="s">
        <v>608</v>
      </c>
      <c r="F562" s="261"/>
      <c r="G562" s="262"/>
      <c r="H562" s="262"/>
      <c r="I562" s="260" t="s">
        <v>442</v>
      </c>
      <c r="J562" s="278" t="s">
        <v>443</v>
      </c>
      <c r="K562" s="285" t="s">
        <v>591</v>
      </c>
      <c r="L562" s="289" t="s">
        <v>603</v>
      </c>
      <c r="M562" s="263"/>
      <c r="N562" s="263"/>
      <c r="O562" s="264">
        <v>1700</v>
      </c>
      <c r="P562" s="264">
        <v>1200</v>
      </c>
      <c r="Q562" s="265">
        <v>1</v>
      </c>
      <c r="R562" s="30">
        <f>MBQ[[#This Row],[HEIGHT (mm)]]*MBQ[[#This Row],[QTY TOTAL]]/1000</f>
        <v>0</v>
      </c>
      <c r="S562" s="30">
        <f>MBQ[[#This Row],[WIDTH (mm)]]*MBQ[[#This Row],[QTY TOTAL]]/1000</f>
        <v>0</v>
      </c>
      <c r="T562" s="9">
        <f>(MBQ[[#This Row],[HEIGHT (mm)]]+MBQ[[#This Row],[WIDTH (mm)]])/1000*2*MBQ[[#This Row],[QTY TOTAL]]</f>
        <v>0</v>
      </c>
      <c r="U562" s="266">
        <f>MBQ[[#This Row],[MULTIPLIER]]*MBQ[[#This Row],[QTY]]</f>
        <v>0</v>
      </c>
      <c r="V562" s="9">
        <f>MBQ[[#This Row],[HEIGHT (mm)]]/1000*MBQ[[#This Row],[WIDTH (mm)]]/1000*MBQ[[#This Row],[QTY TOTAL]]</f>
        <v>0</v>
      </c>
      <c r="W562" s="287">
        <f>ROUNDUP(MBQ[[#This Row],[HEIGHT (mm)]]/450*MBQ[[#This Row],[QTY]]*2,0)+ROUNDUP(MBQ[[#This Row],[WIDTH (mm)]]/450*MBQ[[#This Row],[QTY]]*2,0)</f>
        <v>14</v>
      </c>
    </row>
    <row r="563" spans="1:23" hidden="1">
      <c r="A563" s="258">
        <v>0</v>
      </c>
      <c r="B563" s="276" t="s">
        <v>535</v>
      </c>
      <c r="C563" s="285" t="s">
        <v>534</v>
      </c>
      <c r="D563" s="289" t="s">
        <v>604</v>
      </c>
      <c r="E563" s="289" t="s">
        <v>608</v>
      </c>
      <c r="F563" s="261"/>
      <c r="G563" s="262"/>
      <c r="H563" s="262"/>
      <c r="I563" s="260" t="s">
        <v>442</v>
      </c>
      <c r="J563" s="278" t="s">
        <v>443</v>
      </c>
      <c r="K563" s="285" t="s">
        <v>591</v>
      </c>
      <c r="L563" s="289" t="s">
        <v>603</v>
      </c>
      <c r="M563" s="263"/>
      <c r="N563" s="263"/>
      <c r="O563" s="264">
        <v>1700</v>
      </c>
      <c r="P563" s="264">
        <v>1200</v>
      </c>
      <c r="Q563" s="265">
        <v>1</v>
      </c>
      <c r="R563" s="30">
        <f>MBQ[[#This Row],[HEIGHT (mm)]]*MBQ[[#This Row],[QTY TOTAL]]/1000</f>
        <v>0</v>
      </c>
      <c r="S563" s="30">
        <f>MBQ[[#This Row],[WIDTH (mm)]]*MBQ[[#This Row],[QTY TOTAL]]/1000</f>
        <v>0</v>
      </c>
      <c r="T563" s="9">
        <f>(MBQ[[#This Row],[HEIGHT (mm)]]+MBQ[[#This Row],[WIDTH (mm)]])/1000*2*MBQ[[#This Row],[QTY TOTAL]]</f>
        <v>0</v>
      </c>
      <c r="U563" s="266">
        <f>MBQ[[#This Row],[MULTIPLIER]]*MBQ[[#This Row],[QTY]]</f>
        <v>0</v>
      </c>
      <c r="V563" s="9">
        <f>MBQ[[#This Row],[HEIGHT (mm)]]/1000*MBQ[[#This Row],[WIDTH (mm)]]/1000*MBQ[[#This Row],[QTY TOTAL]]</f>
        <v>0</v>
      </c>
      <c r="W563" s="287">
        <f>ROUNDUP(MBQ[[#This Row],[HEIGHT (mm)]]/450*MBQ[[#This Row],[QTY]]*2,0)+ROUNDUP(MBQ[[#This Row],[WIDTH (mm)]]/450*MBQ[[#This Row],[QTY]]*2,0)</f>
        <v>14</v>
      </c>
    </row>
    <row r="564" spans="1:23" hidden="1">
      <c r="A564" s="258">
        <v>0</v>
      </c>
      <c r="B564" s="276" t="s">
        <v>535</v>
      </c>
      <c r="C564" s="285" t="s">
        <v>534</v>
      </c>
      <c r="D564" s="289" t="s">
        <v>604</v>
      </c>
      <c r="E564" s="289" t="s">
        <v>608</v>
      </c>
      <c r="F564" s="261"/>
      <c r="G564" s="262"/>
      <c r="H564" s="262"/>
      <c r="I564" s="260" t="s">
        <v>442</v>
      </c>
      <c r="J564" s="278" t="s">
        <v>443</v>
      </c>
      <c r="K564" s="285" t="s">
        <v>591</v>
      </c>
      <c r="L564" s="289" t="s">
        <v>603</v>
      </c>
      <c r="M564" s="263"/>
      <c r="N564" s="263"/>
      <c r="O564" s="264">
        <v>1700</v>
      </c>
      <c r="P564" s="264">
        <v>1200</v>
      </c>
      <c r="Q564" s="265">
        <v>1</v>
      </c>
      <c r="R564" s="30">
        <f>MBQ[[#This Row],[HEIGHT (mm)]]*MBQ[[#This Row],[QTY TOTAL]]/1000</f>
        <v>0</v>
      </c>
      <c r="S564" s="30">
        <f>MBQ[[#This Row],[WIDTH (mm)]]*MBQ[[#This Row],[QTY TOTAL]]/1000</f>
        <v>0</v>
      </c>
      <c r="T564" s="9">
        <f>(MBQ[[#This Row],[HEIGHT (mm)]]+MBQ[[#This Row],[WIDTH (mm)]])/1000*2*MBQ[[#This Row],[QTY TOTAL]]</f>
        <v>0</v>
      </c>
      <c r="U564" s="266">
        <f>MBQ[[#This Row],[MULTIPLIER]]*MBQ[[#This Row],[QTY]]</f>
        <v>0</v>
      </c>
      <c r="V564" s="9">
        <f>MBQ[[#This Row],[HEIGHT (mm)]]/1000*MBQ[[#This Row],[WIDTH (mm)]]/1000*MBQ[[#This Row],[QTY TOTAL]]</f>
        <v>0</v>
      </c>
      <c r="W564" s="287">
        <f>ROUNDUP(MBQ[[#This Row],[HEIGHT (mm)]]/450*MBQ[[#This Row],[QTY]]*2,0)+ROUNDUP(MBQ[[#This Row],[WIDTH (mm)]]/450*MBQ[[#This Row],[QTY]]*2,0)</f>
        <v>14</v>
      </c>
    </row>
    <row r="565" spans="1:23" hidden="1">
      <c r="A565" s="258">
        <v>1</v>
      </c>
      <c r="B565" s="259"/>
      <c r="C565" s="233"/>
      <c r="D565" s="260"/>
      <c r="E565" s="260"/>
      <c r="F565" s="261"/>
      <c r="G565" s="262"/>
      <c r="H565" s="262"/>
      <c r="I565" s="260"/>
      <c r="J565" s="233"/>
      <c r="K565" s="263"/>
      <c r="L565" s="260"/>
      <c r="M565" s="263"/>
      <c r="N565" s="263"/>
      <c r="O565" s="264"/>
      <c r="P565" s="264"/>
      <c r="Q565" s="265"/>
      <c r="R565" s="30">
        <f>MBQ[[#This Row],[HEIGHT (mm)]]*MBQ[[#This Row],[QTY TOTAL]]/1000</f>
        <v>0</v>
      </c>
      <c r="S565" s="30">
        <f>MBQ[[#This Row],[WIDTH (mm)]]*MBQ[[#This Row],[QTY TOTAL]]/1000</f>
        <v>0</v>
      </c>
      <c r="T565" s="9">
        <f>(MBQ[[#This Row],[HEIGHT (mm)]]+MBQ[[#This Row],[WIDTH (mm)]])/1000*2*MBQ[[#This Row],[QTY TOTAL]]</f>
        <v>0</v>
      </c>
      <c r="U565" s="266">
        <f>MBQ[[#This Row],[MULTIPLIER]]*MBQ[[#This Row],[QTY]]</f>
        <v>0</v>
      </c>
      <c r="V565" s="9">
        <f>MBQ[[#This Row],[HEIGHT (mm)]]/1000*MBQ[[#This Row],[WIDTH (mm)]]/1000*MBQ[[#This Row],[QTY TOTAL]]</f>
        <v>0</v>
      </c>
      <c r="W565" s="287">
        <f>ROUNDUP(MBQ[[#This Row],[HEIGHT (mm)]]/450*MBQ[[#This Row],[QTY]]*2,0)+ROUNDUP(MBQ[[#This Row],[WIDTH (mm)]]/450*MBQ[[#This Row],[QTY]]*2,0)</f>
        <v>0</v>
      </c>
    </row>
    <row r="566" spans="1:23" hidden="1">
      <c r="A566" s="258">
        <v>1</v>
      </c>
      <c r="B566" s="259"/>
      <c r="C566" s="233"/>
      <c r="D566" s="260"/>
      <c r="E566" s="260"/>
      <c r="F566" s="261"/>
      <c r="G566" s="262"/>
      <c r="H566" s="262"/>
      <c r="I566" s="260"/>
      <c r="J566" s="233"/>
      <c r="K566" s="263"/>
      <c r="L566" s="260"/>
      <c r="M566" s="263"/>
      <c r="N566" s="263"/>
      <c r="O566" s="264"/>
      <c r="P566" s="264"/>
      <c r="Q566" s="265"/>
      <c r="R566" s="30">
        <f>MBQ[[#This Row],[HEIGHT (mm)]]*MBQ[[#This Row],[QTY TOTAL]]/1000</f>
        <v>0</v>
      </c>
      <c r="S566" s="30">
        <f>MBQ[[#This Row],[WIDTH (mm)]]*MBQ[[#This Row],[QTY TOTAL]]/1000</f>
        <v>0</v>
      </c>
      <c r="T566" s="9">
        <f>(MBQ[[#This Row],[HEIGHT (mm)]]+MBQ[[#This Row],[WIDTH (mm)]])/1000*2*MBQ[[#This Row],[QTY TOTAL]]</f>
        <v>0</v>
      </c>
      <c r="U566" s="266">
        <f>MBQ[[#This Row],[MULTIPLIER]]*MBQ[[#This Row],[QTY]]</f>
        <v>0</v>
      </c>
      <c r="V566" s="9">
        <f>MBQ[[#This Row],[HEIGHT (mm)]]/1000*MBQ[[#This Row],[WIDTH (mm)]]/1000*MBQ[[#This Row],[QTY TOTAL]]</f>
        <v>0</v>
      </c>
      <c r="W566" s="287">
        <f>ROUNDUP(MBQ[[#This Row],[HEIGHT (mm)]]/450*MBQ[[#This Row],[QTY]]*2,0)+ROUNDUP(MBQ[[#This Row],[WIDTH (mm)]]/450*MBQ[[#This Row],[QTY]]*2,0)</f>
        <v>0</v>
      </c>
    </row>
    <row r="567" spans="1:23" hidden="1">
      <c r="A567" s="258">
        <v>1</v>
      </c>
      <c r="B567" s="259"/>
      <c r="C567" s="233"/>
      <c r="D567" s="260"/>
      <c r="E567" s="260"/>
      <c r="F567" s="261"/>
      <c r="G567" s="262"/>
      <c r="H567" s="262"/>
      <c r="I567" s="260"/>
      <c r="J567" s="233"/>
      <c r="K567" s="263"/>
      <c r="L567" s="260"/>
      <c r="M567" s="263"/>
      <c r="N567" s="263"/>
      <c r="O567" s="264"/>
      <c r="P567" s="264"/>
      <c r="Q567" s="265"/>
      <c r="R567" s="30">
        <f>MBQ[[#This Row],[HEIGHT (mm)]]*MBQ[[#This Row],[QTY TOTAL]]/1000</f>
        <v>0</v>
      </c>
      <c r="S567" s="30">
        <f>MBQ[[#This Row],[WIDTH (mm)]]*MBQ[[#This Row],[QTY TOTAL]]/1000</f>
        <v>0</v>
      </c>
      <c r="T567" s="9">
        <f>(MBQ[[#This Row],[HEIGHT (mm)]]+MBQ[[#This Row],[WIDTH (mm)]])/1000*2*MBQ[[#This Row],[QTY TOTAL]]</f>
        <v>0</v>
      </c>
      <c r="U567" s="266">
        <f>MBQ[[#This Row],[MULTIPLIER]]*MBQ[[#This Row],[QTY]]</f>
        <v>0</v>
      </c>
      <c r="V567" s="9">
        <f>MBQ[[#This Row],[HEIGHT (mm)]]/1000*MBQ[[#This Row],[WIDTH (mm)]]/1000*MBQ[[#This Row],[QTY TOTAL]]</f>
        <v>0</v>
      </c>
      <c r="W567" s="287">
        <f>ROUNDUP(MBQ[[#This Row],[HEIGHT (mm)]]/450*MBQ[[#This Row],[QTY]]*2,0)+ROUNDUP(MBQ[[#This Row],[WIDTH (mm)]]/450*MBQ[[#This Row],[QTY]]*2,0)</f>
        <v>0</v>
      </c>
    </row>
    <row r="568" spans="1:23" hidden="1">
      <c r="A568" s="258">
        <v>1</v>
      </c>
      <c r="B568" s="259"/>
      <c r="C568" s="233"/>
      <c r="D568" s="260"/>
      <c r="E568" s="260"/>
      <c r="F568" s="261"/>
      <c r="G568" s="262"/>
      <c r="H568" s="262"/>
      <c r="I568" s="260"/>
      <c r="J568" s="233"/>
      <c r="K568" s="263"/>
      <c r="L568" s="260"/>
      <c r="M568" s="263"/>
      <c r="N568" s="263"/>
      <c r="O568" s="264"/>
      <c r="P568" s="264"/>
      <c r="Q568" s="265"/>
      <c r="R568" s="30">
        <f>MBQ[[#This Row],[HEIGHT (mm)]]*MBQ[[#This Row],[QTY TOTAL]]/1000</f>
        <v>0</v>
      </c>
      <c r="S568" s="30">
        <f>MBQ[[#This Row],[WIDTH (mm)]]*MBQ[[#This Row],[QTY TOTAL]]/1000</f>
        <v>0</v>
      </c>
      <c r="T568" s="9">
        <f>(MBQ[[#This Row],[HEIGHT (mm)]]+MBQ[[#This Row],[WIDTH (mm)]])/1000*2*MBQ[[#This Row],[QTY TOTAL]]</f>
        <v>0</v>
      </c>
      <c r="U568" s="266">
        <f>MBQ[[#This Row],[MULTIPLIER]]*MBQ[[#This Row],[QTY]]</f>
        <v>0</v>
      </c>
      <c r="V568" s="9">
        <f>MBQ[[#This Row],[HEIGHT (mm)]]/1000*MBQ[[#This Row],[WIDTH (mm)]]/1000*MBQ[[#This Row],[QTY TOTAL]]</f>
        <v>0</v>
      </c>
      <c r="W568" s="287">
        <f>ROUNDUP(MBQ[[#This Row],[HEIGHT (mm)]]/450*MBQ[[#This Row],[QTY]]*2,0)+ROUNDUP(MBQ[[#This Row],[WIDTH (mm)]]/450*MBQ[[#This Row],[QTY]]*2,0)</f>
        <v>0</v>
      </c>
    </row>
    <row r="569" spans="1:23" hidden="1">
      <c r="A569" s="258">
        <v>1</v>
      </c>
      <c r="B569" s="259"/>
      <c r="C569" s="233"/>
      <c r="D569" s="260"/>
      <c r="E569" s="260"/>
      <c r="F569" s="261"/>
      <c r="G569" s="262"/>
      <c r="H569" s="262"/>
      <c r="I569" s="260"/>
      <c r="J569" s="233"/>
      <c r="K569" s="263"/>
      <c r="L569" s="260"/>
      <c r="M569" s="263"/>
      <c r="N569" s="263"/>
      <c r="O569" s="264"/>
      <c r="P569" s="264"/>
      <c r="Q569" s="265"/>
      <c r="R569" s="30">
        <f>MBQ[[#This Row],[HEIGHT (mm)]]*MBQ[[#This Row],[QTY TOTAL]]/1000</f>
        <v>0</v>
      </c>
      <c r="S569" s="30">
        <f>MBQ[[#This Row],[WIDTH (mm)]]*MBQ[[#This Row],[QTY TOTAL]]/1000</f>
        <v>0</v>
      </c>
      <c r="T569" s="9">
        <f>(MBQ[[#This Row],[HEIGHT (mm)]]+MBQ[[#This Row],[WIDTH (mm)]])/1000*2*MBQ[[#This Row],[QTY TOTAL]]</f>
        <v>0</v>
      </c>
      <c r="U569" s="266">
        <f>MBQ[[#This Row],[MULTIPLIER]]*MBQ[[#This Row],[QTY]]</f>
        <v>0</v>
      </c>
      <c r="V569" s="9">
        <f>MBQ[[#This Row],[HEIGHT (mm)]]/1000*MBQ[[#This Row],[WIDTH (mm)]]/1000*MBQ[[#This Row],[QTY TOTAL]]</f>
        <v>0</v>
      </c>
      <c r="W569" s="287">
        <f>ROUNDUP(MBQ[[#This Row],[HEIGHT (mm)]]/450*MBQ[[#This Row],[QTY]]*2,0)+ROUNDUP(MBQ[[#This Row],[WIDTH (mm)]]/450*MBQ[[#This Row],[QTY]]*2,0)</f>
        <v>0</v>
      </c>
    </row>
    <row r="570" spans="1:23" hidden="1">
      <c r="A570" s="258">
        <v>1</v>
      </c>
      <c r="B570" s="259"/>
      <c r="C570" s="233"/>
      <c r="D570" s="260"/>
      <c r="E570" s="260"/>
      <c r="F570" s="261"/>
      <c r="G570" s="262"/>
      <c r="H570" s="262"/>
      <c r="I570" s="260"/>
      <c r="J570" s="233"/>
      <c r="K570" s="263"/>
      <c r="L570" s="260"/>
      <c r="M570" s="263"/>
      <c r="N570" s="263"/>
      <c r="O570" s="264"/>
      <c r="P570" s="264"/>
      <c r="Q570" s="265"/>
      <c r="R570" s="30">
        <f>MBQ[[#This Row],[HEIGHT (mm)]]*MBQ[[#This Row],[QTY TOTAL]]/1000</f>
        <v>0</v>
      </c>
      <c r="S570" s="30">
        <f>MBQ[[#This Row],[WIDTH (mm)]]*MBQ[[#This Row],[QTY TOTAL]]/1000</f>
        <v>0</v>
      </c>
      <c r="T570" s="9">
        <f>(MBQ[[#This Row],[HEIGHT (mm)]]+MBQ[[#This Row],[WIDTH (mm)]])/1000*2*MBQ[[#This Row],[QTY TOTAL]]</f>
        <v>0</v>
      </c>
      <c r="U570" s="266">
        <f>MBQ[[#This Row],[MULTIPLIER]]*MBQ[[#This Row],[QTY]]</f>
        <v>0</v>
      </c>
      <c r="V570" s="9">
        <f>MBQ[[#This Row],[HEIGHT (mm)]]/1000*MBQ[[#This Row],[WIDTH (mm)]]/1000*MBQ[[#This Row],[QTY TOTAL]]</f>
        <v>0</v>
      </c>
      <c r="W570" s="287">
        <f>ROUNDUP(MBQ[[#This Row],[HEIGHT (mm)]]/450*MBQ[[#This Row],[QTY]]*2,0)+ROUNDUP(MBQ[[#This Row],[WIDTH (mm)]]/450*MBQ[[#This Row],[QTY]]*2,0)</f>
        <v>0</v>
      </c>
    </row>
    <row r="571" spans="1:23" hidden="1">
      <c r="A571" s="258">
        <v>1</v>
      </c>
      <c r="B571" s="259"/>
      <c r="C571" s="233"/>
      <c r="D571" s="260"/>
      <c r="E571" s="260"/>
      <c r="F571" s="261"/>
      <c r="G571" s="262"/>
      <c r="H571" s="262"/>
      <c r="I571" s="260"/>
      <c r="J571" s="233"/>
      <c r="K571" s="263"/>
      <c r="L571" s="260"/>
      <c r="M571" s="263"/>
      <c r="N571" s="263"/>
      <c r="O571" s="264"/>
      <c r="P571" s="264"/>
      <c r="Q571" s="265"/>
      <c r="R571" s="30">
        <f>MBQ[[#This Row],[HEIGHT (mm)]]*MBQ[[#This Row],[QTY TOTAL]]/1000</f>
        <v>0</v>
      </c>
      <c r="S571" s="30">
        <f>MBQ[[#This Row],[WIDTH (mm)]]*MBQ[[#This Row],[QTY TOTAL]]/1000</f>
        <v>0</v>
      </c>
      <c r="T571" s="9">
        <f>(MBQ[[#This Row],[HEIGHT (mm)]]+MBQ[[#This Row],[WIDTH (mm)]])/1000*2*MBQ[[#This Row],[QTY TOTAL]]</f>
        <v>0</v>
      </c>
      <c r="U571" s="266">
        <f>MBQ[[#This Row],[MULTIPLIER]]*MBQ[[#This Row],[QTY]]</f>
        <v>0</v>
      </c>
      <c r="V571" s="9">
        <f>MBQ[[#This Row],[HEIGHT (mm)]]/1000*MBQ[[#This Row],[WIDTH (mm)]]/1000*MBQ[[#This Row],[QTY TOTAL]]</f>
        <v>0</v>
      </c>
      <c r="W571" s="287">
        <f>ROUNDUP(MBQ[[#This Row],[HEIGHT (mm)]]/450*MBQ[[#This Row],[QTY]]*2,0)+ROUNDUP(MBQ[[#This Row],[WIDTH (mm)]]/450*MBQ[[#This Row],[QTY]]*2,0)</f>
        <v>0</v>
      </c>
    </row>
    <row r="572" spans="1:23" hidden="1">
      <c r="A572" s="258">
        <v>1</v>
      </c>
      <c r="B572" s="259"/>
      <c r="C572" s="233"/>
      <c r="D572" s="260"/>
      <c r="E572" s="260"/>
      <c r="F572" s="261"/>
      <c r="G572" s="262"/>
      <c r="H572" s="262"/>
      <c r="I572" s="260"/>
      <c r="J572" s="233"/>
      <c r="K572" s="263"/>
      <c r="L572" s="260"/>
      <c r="M572" s="263"/>
      <c r="N572" s="263"/>
      <c r="O572" s="264"/>
      <c r="P572" s="264"/>
      <c r="Q572" s="265"/>
      <c r="R572" s="30">
        <f>MBQ[[#This Row],[HEIGHT (mm)]]*MBQ[[#This Row],[QTY TOTAL]]/1000</f>
        <v>0</v>
      </c>
      <c r="S572" s="30">
        <f>MBQ[[#This Row],[WIDTH (mm)]]*MBQ[[#This Row],[QTY TOTAL]]/1000</f>
        <v>0</v>
      </c>
      <c r="T572" s="9">
        <f>(MBQ[[#This Row],[HEIGHT (mm)]]+MBQ[[#This Row],[WIDTH (mm)]])/1000*2*MBQ[[#This Row],[QTY TOTAL]]</f>
        <v>0</v>
      </c>
      <c r="U572" s="266">
        <f>MBQ[[#This Row],[MULTIPLIER]]*MBQ[[#This Row],[QTY]]</f>
        <v>0</v>
      </c>
      <c r="V572" s="9">
        <f>MBQ[[#This Row],[HEIGHT (mm)]]/1000*MBQ[[#This Row],[WIDTH (mm)]]/1000*MBQ[[#This Row],[QTY TOTAL]]</f>
        <v>0</v>
      </c>
      <c r="W572" s="287">
        <f>ROUNDUP(MBQ[[#This Row],[HEIGHT (mm)]]/450*MBQ[[#This Row],[QTY]]*2,0)+ROUNDUP(MBQ[[#This Row],[WIDTH (mm)]]/450*MBQ[[#This Row],[QTY]]*2,0)</f>
        <v>0</v>
      </c>
    </row>
    <row r="573" spans="1:23" hidden="1">
      <c r="A573" s="258">
        <v>1</v>
      </c>
      <c r="B573" s="259"/>
      <c r="C573" s="233"/>
      <c r="D573" s="260"/>
      <c r="E573" s="260"/>
      <c r="F573" s="261"/>
      <c r="G573" s="262"/>
      <c r="H573" s="262"/>
      <c r="I573" s="260"/>
      <c r="J573" s="233"/>
      <c r="K573" s="263"/>
      <c r="L573" s="260"/>
      <c r="M573" s="263"/>
      <c r="N573" s="263"/>
      <c r="O573" s="264"/>
      <c r="P573" s="264"/>
      <c r="Q573" s="265"/>
      <c r="R573" s="30">
        <f>MBQ[[#This Row],[HEIGHT (mm)]]*MBQ[[#This Row],[QTY TOTAL]]/1000</f>
        <v>0</v>
      </c>
      <c r="S573" s="30">
        <f>MBQ[[#This Row],[WIDTH (mm)]]*MBQ[[#This Row],[QTY TOTAL]]/1000</f>
        <v>0</v>
      </c>
      <c r="T573" s="9">
        <f>(MBQ[[#This Row],[HEIGHT (mm)]]+MBQ[[#This Row],[WIDTH (mm)]])/1000*2*MBQ[[#This Row],[QTY TOTAL]]</f>
        <v>0</v>
      </c>
      <c r="U573" s="266">
        <f>MBQ[[#This Row],[MULTIPLIER]]*MBQ[[#This Row],[QTY]]</f>
        <v>0</v>
      </c>
      <c r="V573" s="9">
        <f>MBQ[[#This Row],[HEIGHT (mm)]]/1000*MBQ[[#This Row],[WIDTH (mm)]]/1000*MBQ[[#This Row],[QTY TOTAL]]</f>
        <v>0</v>
      </c>
      <c r="W573" s="287">
        <f>ROUNDUP(MBQ[[#This Row],[HEIGHT (mm)]]/450*MBQ[[#This Row],[QTY]]*2,0)+ROUNDUP(MBQ[[#This Row],[WIDTH (mm)]]/450*MBQ[[#This Row],[QTY]]*2,0)</f>
        <v>0</v>
      </c>
    </row>
    <row r="574" spans="1:23" hidden="1">
      <c r="A574" s="258">
        <v>1</v>
      </c>
      <c r="B574" s="259"/>
      <c r="C574" s="233"/>
      <c r="D574" s="260"/>
      <c r="E574" s="260"/>
      <c r="F574" s="261"/>
      <c r="G574" s="262"/>
      <c r="H574" s="262"/>
      <c r="I574" s="260"/>
      <c r="J574" s="233"/>
      <c r="K574" s="263"/>
      <c r="L574" s="260"/>
      <c r="M574" s="263"/>
      <c r="N574" s="263"/>
      <c r="O574" s="264"/>
      <c r="P574" s="264"/>
      <c r="Q574" s="265"/>
      <c r="R574" s="30">
        <f>MBQ[[#This Row],[HEIGHT (mm)]]*MBQ[[#This Row],[QTY TOTAL]]/1000</f>
        <v>0</v>
      </c>
      <c r="S574" s="30">
        <f>MBQ[[#This Row],[WIDTH (mm)]]*MBQ[[#This Row],[QTY TOTAL]]/1000</f>
        <v>0</v>
      </c>
      <c r="T574" s="9">
        <f>(MBQ[[#This Row],[HEIGHT (mm)]]+MBQ[[#This Row],[WIDTH (mm)]])/1000*2*MBQ[[#This Row],[QTY TOTAL]]</f>
        <v>0</v>
      </c>
      <c r="U574" s="266">
        <f>MBQ[[#This Row],[MULTIPLIER]]*MBQ[[#This Row],[QTY]]</f>
        <v>0</v>
      </c>
      <c r="V574" s="9">
        <f>MBQ[[#This Row],[HEIGHT (mm)]]/1000*MBQ[[#This Row],[WIDTH (mm)]]/1000*MBQ[[#This Row],[QTY TOTAL]]</f>
        <v>0</v>
      </c>
      <c r="W574" s="287">
        <f>ROUNDUP(MBQ[[#This Row],[HEIGHT (mm)]]/450*MBQ[[#This Row],[QTY]]*2,0)+ROUNDUP(MBQ[[#This Row],[WIDTH (mm)]]/450*MBQ[[#This Row],[QTY]]*2,0)</f>
        <v>0</v>
      </c>
    </row>
    <row r="575" spans="1:23" hidden="1">
      <c r="A575" s="258">
        <v>1</v>
      </c>
      <c r="B575" s="259"/>
      <c r="C575" s="233"/>
      <c r="D575" s="260"/>
      <c r="E575" s="260"/>
      <c r="F575" s="261"/>
      <c r="G575" s="262"/>
      <c r="H575" s="262"/>
      <c r="I575" s="260"/>
      <c r="J575" s="233"/>
      <c r="K575" s="263"/>
      <c r="L575" s="260"/>
      <c r="M575" s="263"/>
      <c r="N575" s="263"/>
      <c r="O575" s="264"/>
      <c r="P575" s="264"/>
      <c r="Q575" s="265"/>
      <c r="R575" s="30">
        <f>MBQ[[#This Row],[HEIGHT (mm)]]*MBQ[[#This Row],[QTY TOTAL]]/1000</f>
        <v>0</v>
      </c>
      <c r="S575" s="30">
        <f>MBQ[[#This Row],[WIDTH (mm)]]*MBQ[[#This Row],[QTY TOTAL]]/1000</f>
        <v>0</v>
      </c>
      <c r="T575" s="9">
        <f>(MBQ[[#This Row],[HEIGHT (mm)]]+MBQ[[#This Row],[WIDTH (mm)]])/1000*2*MBQ[[#This Row],[QTY TOTAL]]</f>
        <v>0</v>
      </c>
      <c r="U575" s="266">
        <f>MBQ[[#This Row],[MULTIPLIER]]*MBQ[[#This Row],[QTY]]</f>
        <v>0</v>
      </c>
      <c r="V575" s="9">
        <f>MBQ[[#This Row],[HEIGHT (mm)]]/1000*MBQ[[#This Row],[WIDTH (mm)]]/1000*MBQ[[#This Row],[QTY TOTAL]]</f>
        <v>0</v>
      </c>
      <c r="W575" s="287">
        <f>ROUNDUP(MBQ[[#This Row],[HEIGHT (mm)]]/450*MBQ[[#This Row],[QTY]]*2,0)+ROUNDUP(MBQ[[#This Row],[WIDTH (mm)]]/450*MBQ[[#This Row],[QTY]]*2,0)</f>
        <v>0</v>
      </c>
    </row>
    <row r="576" spans="1:23" hidden="1">
      <c r="A576" s="258">
        <v>1</v>
      </c>
      <c r="B576" s="259"/>
      <c r="C576" s="233"/>
      <c r="D576" s="260"/>
      <c r="E576" s="260"/>
      <c r="F576" s="261"/>
      <c r="G576" s="262"/>
      <c r="H576" s="262"/>
      <c r="I576" s="260"/>
      <c r="J576" s="233"/>
      <c r="K576" s="263"/>
      <c r="L576" s="260"/>
      <c r="M576" s="263"/>
      <c r="N576" s="263"/>
      <c r="O576" s="264"/>
      <c r="P576" s="264"/>
      <c r="Q576" s="265"/>
      <c r="R576" s="30">
        <f>MBQ[[#This Row],[HEIGHT (mm)]]*MBQ[[#This Row],[QTY TOTAL]]/1000</f>
        <v>0</v>
      </c>
      <c r="S576" s="30">
        <f>MBQ[[#This Row],[WIDTH (mm)]]*MBQ[[#This Row],[QTY TOTAL]]/1000</f>
        <v>0</v>
      </c>
      <c r="T576" s="9">
        <f>(MBQ[[#This Row],[HEIGHT (mm)]]+MBQ[[#This Row],[WIDTH (mm)]])/1000*2*MBQ[[#This Row],[QTY TOTAL]]</f>
        <v>0</v>
      </c>
      <c r="U576" s="266">
        <f>MBQ[[#This Row],[MULTIPLIER]]*MBQ[[#This Row],[QTY]]</f>
        <v>0</v>
      </c>
      <c r="V576" s="9">
        <f>MBQ[[#This Row],[HEIGHT (mm)]]/1000*MBQ[[#This Row],[WIDTH (mm)]]/1000*MBQ[[#This Row],[QTY TOTAL]]</f>
        <v>0</v>
      </c>
      <c r="W576" s="287">
        <f>ROUNDUP(MBQ[[#This Row],[HEIGHT (mm)]]/450*MBQ[[#This Row],[QTY]]*2,0)+ROUNDUP(MBQ[[#This Row],[WIDTH (mm)]]/450*MBQ[[#This Row],[QTY]]*2,0)</f>
        <v>0</v>
      </c>
    </row>
    <row r="577" spans="1:23" hidden="1">
      <c r="A577" s="258">
        <v>1</v>
      </c>
      <c r="B577" s="259"/>
      <c r="C577" s="233"/>
      <c r="D577" s="260"/>
      <c r="E577" s="260"/>
      <c r="F577" s="261"/>
      <c r="G577" s="262"/>
      <c r="H577" s="262"/>
      <c r="I577" s="260"/>
      <c r="J577" s="233"/>
      <c r="K577" s="263"/>
      <c r="L577" s="260"/>
      <c r="M577" s="263"/>
      <c r="N577" s="263"/>
      <c r="O577" s="264"/>
      <c r="P577" s="264"/>
      <c r="Q577" s="265"/>
      <c r="R577" s="30">
        <f>MBQ[[#This Row],[HEIGHT (mm)]]*MBQ[[#This Row],[QTY TOTAL]]/1000</f>
        <v>0</v>
      </c>
      <c r="S577" s="30">
        <f>MBQ[[#This Row],[WIDTH (mm)]]*MBQ[[#This Row],[QTY TOTAL]]/1000</f>
        <v>0</v>
      </c>
      <c r="T577" s="9">
        <f>(MBQ[[#This Row],[HEIGHT (mm)]]+MBQ[[#This Row],[WIDTH (mm)]])/1000*2*MBQ[[#This Row],[QTY TOTAL]]</f>
        <v>0</v>
      </c>
      <c r="U577" s="266">
        <f>MBQ[[#This Row],[MULTIPLIER]]*MBQ[[#This Row],[QTY]]</f>
        <v>0</v>
      </c>
      <c r="V577" s="9">
        <f>MBQ[[#This Row],[HEIGHT (mm)]]/1000*MBQ[[#This Row],[WIDTH (mm)]]/1000*MBQ[[#This Row],[QTY TOTAL]]</f>
        <v>0</v>
      </c>
      <c r="W577" s="287">
        <f>ROUNDUP(MBQ[[#This Row],[HEIGHT (mm)]]/450*MBQ[[#This Row],[QTY]]*2,0)+ROUNDUP(MBQ[[#This Row],[WIDTH (mm)]]/450*MBQ[[#This Row],[QTY]]*2,0)</f>
        <v>0</v>
      </c>
    </row>
    <row r="578" spans="1:23" hidden="1">
      <c r="A578" s="258">
        <v>1</v>
      </c>
      <c r="B578" s="259"/>
      <c r="C578" s="233"/>
      <c r="D578" s="260"/>
      <c r="E578" s="260"/>
      <c r="F578" s="261"/>
      <c r="G578" s="262"/>
      <c r="H578" s="262"/>
      <c r="I578" s="260"/>
      <c r="J578" s="233"/>
      <c r="K578" s="263"/>
      <c r="L578" s="260"/>
      <c r="M578" s="263"/>
      <c r="N578" s="263"/>
      <c r="O578" s="264"/>
      <c r="P578" s="264"/>
      <c r="Q578" s="265"/>
      <c r="R578" s="30">
        <f>MBQ[[#This Row],[HEIGHT (mm)]]*MBQ[[#This Row],[QTY TOTAL]]/1000</f>
        <v>0</v>
      </c>
      <c r="S578" s="30">
        <f>MBQ[[#This Row],[WIDTH (mm)]]*MBQ[[#This Row],[QTY TOTAL]]/1000</f>
        <v>0</v>
      </c>
      <c r="T578" s="9">
        <f>(MBQ[[#This Row],[HEIGHT (mm)]]+MBQ[[#This Row],[WIDTH (mm)]])/1000*2*MBQ[[#This Row],[QTY TOTAL]]</f>
        <v>0</v>
      </c>
      <c r="U578" s="266">
        <f>MBQ[[#This Row],[MULTIPLIER]]*MBQ[[#This Row],[QTY]]</f>
        <v>0</v>
      </c>
      <c r="V578" s="9">
        <f>MBQ[[#This Row],[HEIGHT (mm)]]/1000*MBQ[[#This Row],[WIDTH (mm)]]/1000*MBQ[[#This Row],[QTY TOTAL]]</f>
        <v>0</v>
      </c>
      <c r="W578" s="287">
        <f>ROUNDUP(MBQ[[#This Row],[HEIGHT (mm)]]/450*MBQ[[#This Row],[QTY]]*2,0)+ROUNDUP(MBQ[[#This Row],[WIDTH (mm)]]/450*MBQ[[#This Row],[QTY]]*2,0)</f>
        <v>0</v>
      </c>
    </row>
    <row r="579" spans="1:23" hidden="1">
      <c r="A579" s="258">
        <v>1</v>
      </c>
      <c r="B579" s="259"/>
      <c r="C579" s="233"/>
      <c r="D579" s="260"/>
      <c r="E579" s="260"/>
      <c r="F579" s="261"/>
      <c r="G579" s="262"/>
      <c r="H579" s="262"/>
      <c r="I579" s="260"/>
      <c r="J579" s="233"/>
      <c r="K579" s="263"/>
      <c r="L579" s="260"/>
      <c r="M579" s="263"/>
      <c r="N579" s="263"/>
      <c r="O579" s="264"/>
      <c r="P579" s="264"/>
      <c r="Q579" s="265"/>
      <c r="R579" s="30">
        <f>MBQ[[#This Row],[HEIGHT (mm)]]*MBQ[[#This Row],[QTY TOTAL]]/1000</f>
        <v>0</v>
      </c>
      <c r="S579" s="30">
        <f>MBQ[[#This Row],[WIDTH (mm)]]*MBQ[[#This Row],[QTY TOTAL]]/1000</f>
        <v>0</v>
      </c>
      <c r="T579" s="9">
        <f>(MBQ[[#This Row],[HEIGHT (mm)]]+MBQ[[#This Row],[WIDTH (mm)]])/1000*2*MBQ[[#This Row],[QTY TOTAL]]</f>
        <v>0</v>
      </c>
      <c r="U579" s="266">
        <f>MBQ[[#This Row],[MULTIPLIER]]*MBQ[[#This Row],[QTY]]</f>
        <v>0</v>
      </c>
      <c r="V579" s="9">
        <f>MBQ[[#This Row],[HEIGHT (mm)]]/1000*MBQ[[#This Row],[WIDTH (mm)]]/1000*MBQ[[#This Row],[QTY TOTAL]]</f>
        <v>0</v>
      </c>
      <c r="W579" s="287">
        <f>ROUNDUP(MBQ[[#This Row],[HEIGHT (mm)]]/450*MBQ[[#This Row],[QTY]]*2,0)+ROUNDUP(MBQ[[#This Row],[WIDTH (mm)]]/450*MBQ[[#This Row],[QTY]]*2,0)</f>
        <v>0</v>
      </c>
    </row>
    <row r="580" spans="1:23" hidden="1">
      <c r="A580" s="258">
        <v>1</v>
      </c>
      <c r="B580" s="259"/>
      <c r="C580" s="233"/>
      <c r="D580" s="260"/>
      <c r="E580" s="260"/>
      <c r="F580" s="261"/>
      <c r="G580" s="262"/>
      <c r="H580" s="262"/>
      <c r="I580" s="260"/>
      <c r="J580" s="233"/>
      <c r="K580" s="263"/>
      <c r="L580" s="260"/>
      <c r="M580" s="263"/>
      <c r="N580" s="263"/>
      <c r="O580" s="264"/>
      <c r="P580" s="264"/>
      <c r="Q580" s="265"/>
      <c r="R580" s="30">
        <f>MBQ[[#This Row],[HEIGHT (mm)]]*MBQ[[#This Row],[QTY TOTAL]]/1000</f>
        <v>0</v>
      </c>
      <c r="S580" s="30">
        <f>MBQ[[#This Row],[WIDTH (mm)]]*MBQ[[#This Row],[QTY TOTAL]]/1000</f>
        <v>0</v>
      </c>
      <c r="T580" s="9">
        <f>(MBQ[[#This Row],[HEIGHT (mm)]]+MBQ[[#This Row],[WIDTH (mm)]])/1000*2*MBQ[[#This Row],[QTY TOTAL]]</f>
        <v>0</v>
      </c>
      <c r="U580" s="266">
        <f>MBQ[[#This Row],[MULTIPLIER]]*MBQ[[#This Row],[QTY]]</f>
        <v>0</v>
      </c>
      <c r="V580" s="9">
        <f>MBQ[[#This Row],[HEIGHT (mm)]]/1000*MBQ[[#This Row],[WIDTH (mm)]]/1000*MBQ[[#This Row],[QTY TOTAL]]</f>
        <v>0</v>
      </c>
      <c r="W580" s="287">
        <f>ROUNDUP(MBQ[[#This Row],[HEIGHT (mm)]]/450*MBQ[[#This Row],[QTY]]*2,0)+ROUNDUP(MBQ[[#This Row],[WIDTH (mm)]]/450*MBQ[[#This Row],[QTY]]*2,0)</f>
        <v>0</v>
      </c>
    </row>
    <row r="581" spans="1:23" hidden="1">
      <c r="A581" s="258">
        <v>1</v>
      </c>
      <c r="B581" s="259"/>
      <c r="C581" s="233"/>
      <c r="D581" s="260"/>
      <c r="E581" s="260"/>
      <c r="F581" s="261"/>
      <c r="G581" s="262"/>
      <c r="H581" s="262"/>
      <c r="I581" s="260"/>
      <c r="J581" s="233"/>
      <c r="K581" s="263"/>
      <c r="L581" s="260"/>
      <c r="M581" s="263"/>
      <c r="N581" s="263"/>
      <c r="O581" s="264"/>
      <c r="P581" s="264"/>
      <c r="Q581" s="265"/>
      <c r="R581" s="30">
        <f>MBQ[[#This Row],[HEIGHT (mm)]]*MBQ[[#This Row],[QTY TOTAL]]/1000</f>
        <v>0</v>
      </c>
      <c r="S581" s="30">
        <f>MBQ[[#This Row],[WIDTH (mm)]]*MBQ[[#This Row],[QTY TOTAL]]/1000</f>
        <v>0</v>
      </c>
      <c r="T581" s="9">
        <f>(MBQ[[#This Row],[HEIGHT (mm)]]+MBQ[[#This Row],[WIDTH (mm)]])/1000*2*MBQ[[#This Row],[QTY TOTAL]]</f>
        <v>0</v>
      </c>
      <c r="U581" s="266">
        <f>MBQ[[#This Row],[MULTIPLIER]]*MBQ[[#This Row],[QTY]]</f>
        <v>0</v>
      </c>
      <c r="V581" s="9">
        <f>MBQ[[#This Row],[HEIGHT (mm)]]/1000*MBQ[[#This Row],[WIDTH (mm)]]/1000*MBQ[[#This Row],[QTY TOTAL]]</f>
        <v>0</v>
      </c>
      <c r="W581" s="287">
        <f>ROUNDUP(MBQ[[#This Row],[HEIGHT (mm)]]/450*MBQ[[#This Row],[QTY]]*2,0)+ROUNDUP(MBQ[[#This Row],[WIDTH (mm)]]/450*MBQ[[#This Row],[QTY]]*2,0)</f>
        <v>0</v>
      </c>
    </row>
    <row r="582" spans="1:23" hidden="1">
      <c r="A582" s="258">
        <v>1</v>
      </c>
      <c r="B582" s="259"/>
      <c r="C582" s="233"/>
      <c r="D582" s="260"/>
      <c r="E582" s="260"/>
      <c r="F582" s="261"/>
      <c r="G582" s="262"/>
      <c r="H582" s="262"/>
      <c r="I582" s="260"/>
      <c r="J582" s="233"/>
      <c r="K582" s="263"/>
      <c r="L582" s="260"/>
      <c r="M582" s="263"/>
      <c r="N582" s="263"/>
      <c r="O582" s="264"/>
      <c r="P582" s="264"/>
      <c r="Q582" s="265"/>
      <c r="R582" s="30">
        <f>MBQ[[#This Row],[HEIGHT (mm)]]*MBQ[[#This Row],[QTY TOTAL]]/1000</f>
        <v>0</v>
      </c>
      <c r="S582" s="30">
        <f>MBQ[[#This Row],[WIDTH (mm)]]*MBQ[[#This Row],[QTY TOTAL]]/1000</f>
        <v>0</v>
      </c>
      <c r="T582" s="9">
        <f>(MBQ[[#This Row],[HEIGHT (mm)]]+MBQ[[#This Row],[WIDTH (mm)]])/1000*2*MBQ[[#This Row],[QTY TOTAL]]</f>
        <v>0</v>
      </c>
      <c r="U582" s="266">
        <f>MBQ[[#This Row],[MULTIPLIER]]*MBQ[[#This Row],[QTY]]</f>
        <v>0</v>
      </c>
      <c r="V582" s="9">
        <f>MBQ[[#This Row],[HEIGHT (mm)]]/1000*MBQ[[#This Row],[WIDTH (mm)]]/1000*MBQ[[#This Row],[QTY TOTAL]]</f>
        <v>0</v>
      </c>
      <c r="W582" s="287">
        <f>ROUNDUP(MBQ[[#This Row],[HEIGHT (mm)]]/450*MBQ[[#This Row],[QTY]]*2,0)+ROUNDUP(MBQ[[#This Row],[WIDTH (mm)]]/450*MBQ[[#This Row],[QTY]]*2,0)</f>
        <v>0</v>
      </c>
    </row>
    <row r="583" spans="1:23" hidden="1">
      <c r="A583" s="258">
        <v>1</v>
      </c>
      <c r="B583" s="259"/>
      <c r="C583" s="233"/>
      <c r="D583" s="260"/>
      <c r="E583" s="260"/>
      <c r="F583" s="261"/>
      <c r="G583" s="262"/>
      <c r="H583" s="262"/>
      <c r="I583" s="260"/>
      <c r="J583" s="233"/>
      <c r="K583" s="263"/>
      <c r="L583" s="260"/>
      <c r="M583" s="263"/>
      <c r="N583" s="263"/>
      <c r="O583" s="264"/>
      <c r="P583" s="264"/>
      <c r="Q583" s="265"/>
      <c r="R583" s="30">
        <f>MBQ[[#This Row],[HEIGHT (mm)]]*MBQ[[#This Row],[QTY TOTAL]]/1000</f>
        <v>0</v>
      </c>
      <c r="S583" s="30">
        <f>MBQ[[#This Row],[WIDTH (mm)]]*MBQ[[#This Row],[QTY TOTAL]]/1000</f>
        <v>0</v>
      </c>
      <c r="T583" s="9">
        <f>(MBQ[[#This Row],[HEIGHT (mm)]]+MBQ[[#This Row],[WIDTH (mm)]])/1000*2*MBQ[[#This Row],[QTY TOTAL]]</f>
        <v>0</v>
      </c>
      <c r="U583" s="266">
        <f>MBQ[[#This Row],[MULTIPLIER]]*MBQ[[#This Row],[QTY]]</f>
        <v>0</v>
      </c>
      <c r="V583" s="9">
        <f>MBQ[[#This Row],[HEIGHT (mm)]]/1000*MBQ[[#This Row],[WIDTH (mm)]]/1000*MBQ[[#This Row],[QTY TOTAL]]</f>
        <v>0</v>
      </c>
      <c r="W583" s="287">
        <f>ROUNDUP(MBQ[[#This Row],[HEIGHT (mm)]]/450*MBQ[[#This Row],[QTY]]*2,0)+ROUNDUP(MBQ[[#This Row],[WIDTH (mm)]]/450*MBQ[[#This Row],[QTY]]*2,0)</f>
        <v>0</v>
      </c>
    </row>
    <row r="584" spans="1:23" hidden="1">
      <c r="A584" s="258">
        <v>1</v>
      </c>
      <c r="B584" s="259"/>
      <c r="C584" s="233"/>
      <c r="D584" s="260"/>
      <c r="E584" s="260"/>
      <c r="F584" s="261"/>
      <c r="G584" s="262"/>
      <c r="H584" s="262"/>
      <c r="I584" s="260"/>
      <c r="J584" s="233"/>
      <c r="K584" s="263"/>
      <c r="L584" s="260"/>
      <c r="M584" s="263"/>
      <c r="N584" s="263"/>
      <c r="O584" s="264"/>
      <c r="P584" s="264"/>
      <c r="Q584" s="265"/>
      <c r="R584" s="30">
        <f>MBQ[[#This Row],[HEIGHT (mm)]]*MBQ[[#This Row],[QTY TOTAL]]/1000</f>
        <v>0</v>
      </c>
      <c r="S584" s="30">
        <f>MBQ[[#This Row],[WIDTH (mm)]]*MBQ[[#This Row],[QTY TOTAL]]/1000</f>
        <v>0</v>
      </c>
      <c r="T584" s="9">
        <f>(MBQ[[#This Row],[HEIGHT (mm)]]+MBQ[[#This Row],[WIDTH (mm)]])/1000*2*MBQ[[#This Row],[QTY TOTAL]]</f>
        <v>0</v>
      </c>
      <c r="U584" s="266">
        <f>MBQ[[#This Row],[MULTIPLIER]]*MBQ[[#This Row],[QTY]]</f>
        <v>0</v>
      </c>
      <c r="V584" s="9">
        <f>MBQ[[#This Row],[HEIGHT (mm)]]/1000*MBQ[[#This Row],[WIDTH (mm)]]/1000*MBQ[[#This Row],[QTY TOTAL]]</f>
        <v>0</v>
      </c>
      <c r="W584" s="287">
        <f>ROUNDUP(MBQ[[#This Row],[HEIGHT (mm)]]/450*MBQ[[#This Row],[QTY]]*2,0)+ROUNDUP(MBQ[[#This Row],[WIDTH (mm)]]/450*MBQ[[#This Row],[QTY]]*2,0)</f>
        <v>0</v>
      </c>
    </row>
    <row r="585" spans="1:23" hidden="1">
      <c r="A585" s="258">
        <v>1</v>
      </c>
      <c r="B585" s="259"/>
      <c r="C585" s="233"/>
      <c r="D585" s="260"/>
      <c r="E585" s="260"/>
      <c r="F585" s="261"/>
      <c r="G585" s="262"/>
      <c r="H585" s="262"/>
      <c r="I585" s="260"/>
      <c r="J585" s="233"/>
      <c r="K585" s="263"/>
      <c r="L585" s="260"/>
      <c r="M585" s="263"/>
      <c r="N585" s="263"/>
      <c r="O585" s="264"/>
      <c r="P585" s="264"/>
      <c r="Q585" s="265"/>
      <c r="R585" s="30">
        <f>MBQ[[#This Row],[HEIGHT (mm)]]*MBQ[[#This Row],[QTY TOTAL]]/1000</f>
        <v>0</v>
      </c>
      <c r="S585" s="30">
        <f>MBQ[[#This Row],[WIDTH (mm)]]*MBQ[[#This Row],[QTY TOTAL]]/1000</f>
        <v>0</v>
      </c>
      <c r="T585" s="9">
        <f>(MBQ[[#This Row],[HEIGHT (mm)]]+MBQ[[#This Row],[WIDTH (mm)]])/1000*2*MBQ[[#This Row],[QTY TOTAL]]</f>
        <v>0</v>
      </c>
      <c r="U585" s="266">
        <f>MBQ[[#This Row],[MULTIPLIER]]*MBQ[[#This Row],[QTY]]</f>
        <v>0</v>
      </c>
      <c r="V585" s="9">
        <f>MBQ[[#This Row],[HEIGHT (mm)]]/1000*MBQ[[#This Row],[WIDTH (mm)]]/1000*MBQ[[#This Row],[QTY TOTAL]]</f>
        <v>0</v>
      </c>
      <c r="W585" s="287">
        <f>ROUNDUP(MBQ[[#This Row],[HEIGHT (mm)]]/450*MBQ[[#This Row],[QTY]]*2,0)+ROUNDUP(MBQ[[#This Row],[WIDTH (mm)]]/450*MBQ[[#This Row],[QTY]]*2,0)</f>
        <v>0</v>
      </c>
    </row>
    <row r="586" spans="1:23" hidden="1">
      <c r="A586" s="258">
        <v>1</v>
      </c>
      <c r="B586" s="259"/>
      <c r="C586" s="233"/>
      <c r="D586" s="260"/>
      <c r="E586" s="260"/>
      <c r="F586" s="261"/>
      <c r="G586" s="262"/>
      <c r="H586" s="262"/>
      <c r="I586" s="260"/>
      <c r="J586" s="233"/>
      <c r="K586" s="263"/>
      <c r="L586" s="260"/>
      <c r="M586" s="263"/>
      <c r="N586" s="263"/>
      <c r="O586" s="264"/>
      <c r="P586" s="264"/>
      <c r="Q586" s="265"/>
      <c r="R586" s="30">
        <f>MBQ[[#This Row],[HEIGHT (mm)]]*MBQ[[#This Row],[QTY TOTAL]]/1000</f>
        <v>0</v>
      </c>
      <c r="S586" s="30">
        <f>MBQ[[#This Row],[WIDTH (mm)]]*MBQ[[#This Row],[QTY TOTAL]]/1000</f>
        <v>0</v>
      </c>
      <c r="T586" s="9">
        <f>(MBQ[[#This Row],[HEIGHT (mm)]]+MBQ[[#This Row],[WIDTH (mm)]])/1000*2*MBQ[[#This Row],[QTY TOTAL]]</f>
        <v>0</v>
      </c>
      <c r="U586" s="266">
        <f>MBQ[[#This Row],[MULTIPLIER]]*MBQ[[#This Row],[QTY]]</f>
        <v>0</v>
      </c>
      <c r="V586" s="9">
        <f>MBQ[[#This Row],[HEIGHT (mm)]]/1000*MBQ[[#This Row],[WIDTH (mm)]]/1000*MBQ[[#This Row],[QTY TOTAL]]</f>
        <v>0</v>
      </c>
      <c r="W586" s="287">
        <f>ROUNDUP(MBQ[[#This Row],[HEIGHT (mm)]]/450*MBQ[[#This Row],[QTY]]*2,0)+ROUNDUP(MBQ[[#This Row],[WIDTH (mm)]]/450*MBQ[[#This Row],[QTY]]*2,0)</f>
        <v>0</v>
      </c>
    </row>
    <row r="587" spans="1:23" hidden="1">
      <c r="A587" s="258">
        <v>1</v>
      </c>
      <c r="B587" s="259"/>
      <c r="C587" s="233"/>
      <c r="D587" s="260"/>
      <c r="E587" s="260"/>
      <c r="F587" s="261"/>
      <c r="G587" s="262"/>
      <c r="H587" s="262"/>
      <c r="I587" s="260"/>
      <c r="J587" s="233"/>
      <c r="K587" s="263"/>
      <c r="L587" s="260"/>
      <c r="M587" s="263"/>
      <c r="N587" s="263"/>
      <c r="O587" s="264"/>
      <c r="P587" s="264"/>
      <c r="Q587" s="265"/>
      <c r="R587" s="30">
        <f>MBQ[[#This Row],[HEIGHT (mm)]]*MBQ[[#This Row],[QTY TOTAL]]/1000</f>
        <v>0</v>
      </c>
      <c r="S587" s="30">
        <f>MBQ[[#This Row],[WIDTH (mm)]]*MBQ[[#This Row],[QTY TOTAL]]/1000</f>
        <v>0</v>
      </c>
      <c r="T587" s="9">
        <f>(MBQ[[#This Row],[HEIGHT (mm)]]+MBQ[[#This Row],[WIDTH (mm)]])/1000*2*MBQ[[#This Row],[QTY TOTAL]]</f>
        <v>0</v>
      </c>
      <c r="U587" s="266">
        <f>MBQ[[#This Row],[MULTIPLIER]]*MBQ[[#This Row],[QTY]]</f>
        <v>0</v>
      </c>
      <c r="V587" s="9">
        <f>MBQ[[#This Row],[HEIGHT (mm)]]/1000*MBQ[[#This Row],[WIDTH (mm)]]/1000*MBQ[[#This Row],[QTY TOTAL]]</f>
        <v>0</v>
      </c>
      <c r="W587" s="287">
        <f>ROUNDUP(MBQ[[#This Row],[HEIGHT (mm)]]/450*MBQ[[#This Row],[QTY]]*2,0)+ROUNDUP(MBQ[[#This Row],[WIDTH (mm)]]/450*MBQ[[#This Row],[QTY]]*2,0)</f>
        <v>0</v>
      </c>
    </row>
    <row r="588" spans="1:23" hidden="1">
      <c r="A588" s="258">
        <v>1</v>
      </c>
      <c r="B588" s="259"/>
      <c r="C588" s="233"/>
      <c r="D588" s="260"/>
      <c r="E588" s="260"/>
      <c r="F588" s="261"/>
      <c r="G588" s="262"/>
      <c r="H588" s="262"/>
      <c r="I588" s="260"/>
      <c r="J588" s="233"/>
      <c r="K588" s="263"/>
      <c r="L588" s="260"/>
      <c r="M588" s="263"/>
      <c r="N588" s="263"/>
      <c r="O588" s="264"/>
      <c r="P588" s="264"/>
      <c r="Q588" s="265"/>
      <c r="R588" s="30">
        <f>MBQ[[#This Row],[HEIGHT (mm)]]*MBQ[[#This Row],[QTY TOTAL]]/1000</f>
        <v>0</v>
      </c>
      <c r="S588" s="30">
        <f>MBQ[[#This Row],[WIDTH (mm)]]*MBQ[[#This Row],[QTY TOTAL]]/1000</f>
        <v>0</v>
      </c>
      <c r="T588" s="9">
        <f>(MBQ[[#This Row],[HEIGHT (mm)]]+MBQ[[#This Row],[WIDTH (mm)]])/1000*2*MBQ[[#This Row],[QTY TOTAL]]</f>
        <v>0</v>
      </c>
      <c r="U588" s="266">
        <f>MBQ[[#This Row],[MULTIPLIER]]*MBQ[[#This Row],[QTY]]</f>
        <v>0</v>
      </c>
      <c r="V588" s="9">
        <f>MBQ[[#This Row],[HEIGHT (mm)]]/1000*MBQ[[#This Row],[WIDTH (mm)]]/1000*MBQ[[#This Row],[QTY TOTAL]]</f>
        <v>0</v>
      </c>
      <c r="W588" s="287">
        <f>ROUNDUP(MBQ[[#This Row],[HEIGHT (mm)]]/450*MBQ[[#This Row],[QTY]]*2,0)+ROUNDUP(MBQ[[#This Row],[WIDTH (mm)]]/450*MBQ[[#This Row],[QTY]]*2,0)</f>
        <v>0</v>
      </c>
    </row>
    <row r="589" spans="1:23" hidden="1">
      <c r="A589" s="258">
        <v>1</v>
      </c>
      <c r="B589" s="259"/>
      <c r="C589" s="233"/>
      <c r="D589" s="260"/>
      <c r="E589" s="260"/>
      <c r="F589" s="261"/>
      <c r="G589" s="262"/>
      <c r="H589" s="262"/>
      <c r="I589" s="260"/>
      <c r="J589" s="233"/>
      <c r="K589" s="263"/>
      <c r="L589" s="260"/>
      <c r="M589" s="263"/>
      <c r="N589" s="263"/>
      <c r="O589" s="264"/>
      <c r="P589" s="264"/>
      <c r="Q589" s="265"/>
      <c r="R589" s="30">
        <f>MBQ[[#This Row],[HEIGHT (mm)]]*MBQ[[#This Row],[QTY TOTAL]]/1000</f>
        <v>0</v>
      </c>
      <c r="S589" s="30">
        <f>MBQ[[#This Row],[WIDTH (mm)]]*MBQ[[#This Row],[QTY TOTAL]]/1000</f>
        <v>0</v>
      </c>
      <c r="T589" s="9">
        <f>(MBQ[[#This Row],[HEIGHT (mm)]]+MBQ[[#This Row],[WIDTH (mm)]])/1000*2*MBQ[[#This Row],[QTY TOTAL]]</f>
        <v>0</v>
      </c>
      <c r="U589" s="266">
        <f>MBQ[[#This Row],[MULTIPLIER]]*MBQ[[#This Row],[QTY]]</f>
        <v>0</v>
      </c>
      <c r="V589" s="9">
        <f>MBQ[[#This Row],[HEIGHT (mm)]]/1000*MBQ[[#This Row],[WIDTH (mm)]]/1000*MBQ[[#This Row],[QTY TOTAL]]</f>
        <v>0</v>
      </c>
      <c r="W589" s="287">
        <f>ROUNDUP(MBQ[[#This Row],[HEIGHT (mm)]]/450*MBQ[[#This Row],[QTY]]*2,0)+ROUNDUP(MBQ[[#This Row],[WIDTH (mm)]]/450*MBQ[[#This Row],[QTY]]*2,0)</f>
        <v>0</v>
      </c>
    </row>
    <row r="590" spans="1:23" hidden="1">
      <c r="A590" s="258">
        <v>1</v>
      </c>
      <c r="B590" s="259"/>
      <c r="C590" s="233"/>
      <c r="D590" s="260"/>
      <c r="E590" s="260"/>
      <c r="F590" s="261"/>
      <c r="G590" s="262"/>
      <c r="H590" s="262"/>
      <c r="I590" s="260"/>
      <c r="J590" s="233"/>
      <c r="K590" s="263"/>
      <c r="L590" s="260"/>
      <c r="M590" s="263"/>
      <c r="N590" s="263"/>
      <c r="O590" s="264"/>
      <c r="P590" s="264"/>
      <c r="Q590" s="265"/>
      <c r="R590" s="30">
        <f>MBQ[[#This Row],[HEIGHT (mm)]]*MBQ[[#This Row],[QTY TOTAL]]/1000</f>
        <v>0</v>
      </c>
      <c r="S590" s="30">
        <f>MBQ[[#This Row],[WIDTH (mm)]]*MBQ[[#This Row],[QTY TOTAL]]/1000</f>
        <v>0</v>
      </c>
      <c r="T590" s="9">
        <f>(MBQ[[#This Row],[HEIGHT (mm)]]+MBQ[[#This Row],[WIDTH (mm)]])/1000*2*MBQ[[#This Row],[QTY TOTAL]]</f>
        <v>0</v>
      </c>
      <c r="U590" s="266">
        <f>MBQ[[#This Row],[MULTIPLIER]]*MBQ[[#This Row],[QTY]]</f>
        <v>0</v>
      </c>
      <c r="V590" s="9">
        <f>MBQ[[#This Row],[HEIGHT (mm)]]/1000*MBQ[[#This Row],[WIDTH (mm)]]/1000*MBQ[[#This Row],[QTY TOTAL]]</f>
        <v>0</v>
      </c>
      <c r="W590" s="287">
        <f>ROUNDUP(MBQ[[#This Row],[HEIGHT (mm)]]/450*MBQ[[#This Row],[QTY]]*2,0)+ROUNDUP(MBQ[[#This Row],[WIDTH (mm)]]/450*MBQ[[#This Row],[QTY]]*2,0)</f>
        <v>0</v>
      </c>
    </row>
    <row r="591" spans="1:23" hidden="1">
      <c r="A591" s="258">
        <v>1</v>
      </c>
      <c r="B591" s="259"/>
      <c r="C591" s="233"/>
      <c r="D591" s="260"/>
      <c r="E591" s="260"/>
      <c r="F591" s="261"/>
      <c r="G591" s="262"/>
      <c r="H591" s="262"/>
      <c r="I591" s="260"/>
      <c r="J591" s="233"/>
      <c r="K591" s="263"/>
      <c r="L591" s="260"/>
      <c r="M591" s="263"/>
      <c r="N591" s="263"/>
      <c r="O591" s="264"/>
      <c r="P591" s="264"/>
      <c r="Q591" s="265"/>
      <c r="R591" s="30">
        <f>MBQ[[#This Row],[HEIGHT (mm)]]*MBQ[[#This Row],[QTY TOTAL]]/1000</f>
        <v>0</v>
      </c>
      <c r="S591" s="30">
        <f>MBQ[[#This Row],[WIDTH (mm)]]*MBQ[[#This Row],[QTY TOTAL]]/1000</f>
        <v>0</v>
      </c>
      <c r="T591" s="9">
        <f>(MBQ[[#This Row],[HEIGHT (mm)]]+MBQ[[#This Row],[WIDTH (mm)]])/1000*2*MBQ[[#This Row],[QTY TOTAL]]</f>
        <v>0</v>
      </c>
      <c r="U591" s="266">
        <f>MBQ[[#This Row],[MULTIPLIER]]*MBQ[[#This Row],[QTY]]</f>
        <v>0</v>
      </c>
      <c r="V591" s="9">
        <f>MBQ[[#This Row],[HEIGHT (mm)]]/1000*MBQ[[#This Row],[WIDTH (mm)]]/1000*MBQ[[#This Row],[QTY TOTAL]]</f>
        <v>0</v>
      </c>
      <c r="W591" s="287">
        <f>ROUNDUP(MBQ[[#This Row],[HEIGHT (mm)]]/450*MBQ[[#This Row],[QTY]]*2,0)+ROUNDUP(MBQ[[#This Row],[WIDTH (mm)]]/450*MBQ[[#This Row],[QTY]]*2,0)</f>
        <v>0</v>
      </c>
    </row>
    <row r="592" spans="1:23" hidden="1">
      <c r="A592" s="258">
        <v>1</v>
      </c>
      <c r="B592" s="259"/>
      <c r="C592" s="233"/>
      <c r="D592" s="260"/>
      <c r="E592" s="260"/>
      <c r="F592" s="261"/>
      <c r="G592" s="262"/>
      <c r="H592" s="262"/>
      <c r="I592" s="260"/>
      <c r="J592" s="233"/>
      <c r="K592" s="263"/>
      <c r="L592" s="260"/>
      <c r="M592" s="263"/>
      <c r="N592" s="263"/>
      <c r="O592" s="264"/>
      <c r="P592" s="264"/>
      <c r="Q592" s="265"/>
      <c r="R592" s="30">
        <f>MBQ[[#This Row],[HEIGHT (mm)]]*MBQ[[#This Row],[QTY TOTAL]]/1000</f>
        <v>0</v>
      </c>
      <c r="S592" s="30">
        <f>MBQ[[#This Row],[WIDTH (mm)]]*MBQ[[#This Row],[QTY TOTAL]]/1000</f>
        <v>0</v>
      </c>
      <c r="T592" s="9">
        <f>(MBQ[[#This Row],[HEIGHT (mm)]]+MBQ[[#This Row],[WIDTH (mm)]])/1000*2*MBQ[[#This Row],[QTY TOTAL]]</f>
        <v>0</v>
      </c>
      <c r="U592" s="266">
        <f>MBQ[[#This Row],[MULTIPLIER]]*MBQ[[#This Row],[QTY]]</f>
        <v>0</v>
      </c>
      <c r="V592" s="9">
        <f>MBQ[[#This Row],[HEIGHT (mm)]]/1000*MBQ[[#This Row],[WIDTH (mm)]]/1000*MBQ[[#This Row],[QTY TOTAL]]</f>
        <v>0</v>
      </c>
      <c r="W592" s="287">
        <f>ROUNDUP(MBQ[[#This Row],[HEIGHT (mm)]]/450*MBQ[[#This Row],[QTY]]*2,0)+ROUNDUP(MBQ[[#This Row],[WIDTH (mm)]]/450*MBQ[[#This Row],[QTY]]*2,0)</f>
        <v>0</v>
      </c>
    </row>
    <row r="593" spans="1:23" hidden="1">
      <c r="A593" s="258">
        <v>1</v>
      </c>
      <c r="B593" s="259"/>
      <c r="C593" s="233"/>
      <c r="D593" s="260"/>
      <c r="E593" s="260"/>
      <c r="F593" s="261"/>
      <c r="G593" s="262"/>
      <c r="H593" s="262"/>
      <c r="I593" s="260"/>
      <c r="J593" s="233"/>
      <c r="K593" s="263"/>
      <c r="L593" s="260"/>
      <c r="M593" s="263"/>
      <c r="N593" s="263"/>
      <c r="O593" s="264"/>
      <c r="P593" s="264"/>
      <c r="Q593" s="265"/>
      <c r="R593" s="30">
        <f>MBQ[[#This Row],[HEIGHT (mm)]]*MBQ[[#This Row],[QTY TOTAL]]/1000</f>
        <v>0</v>
      </c>
      <c r="S593" s="30">
        <f>MBQ[[#This Row],[WIDTH (mm)]]*MBQ[[#This Row],[QTY TOTAL]]/1000</f>
        <v>0</v>
      </c>
      <c r="T593" s="9">
        <f>(MBQ[[#This Row],[HEIGHT (mm)]]+MBQ[[#This Row],[WIDTH (mm)]])/1000*2*MBQ[[#This Row],[QTY TOTAL]]</f>
        <v>0</v>
      </c>
      <c r="U593" s="266">
        <f>MBQ[[#This Row],[MULTIPLIER]]*MBQ[[#This Row],[QTY]]</f>
        <v>0</v>
      </c>
      <c r="V593" s="9">
        <f>MBQ[[#This Row],[HEIGHT (mm)]]/1000*MBQ[[#This Row],[WIDTH (mm)]]/1000*MBQ[[#This Row],[QTY TOTAL]]</f>
        <v>0</v>
      </c>
      <c r="W593" s="287">
        <f>ROUNDUP(MBQ[[#This Row],[HEIGHT (mm)]]/450*MBQ[[#This Row],[QTY]]*2,0)+ROUNDUP(MBQ[[#This Row],[WIDTH (mm)]]/450*MBQ[[#This Row],[QTY]]*2,0)</f>
        <v>0</v>
      </c>
    </row>
    <row r="594" spans="1:23" hidden="1">
      <c r="A594" s="258">
        <v>1</v>
      </c>
      <c r="B594" s="259"/>
      <c r="C594" s="233"/>
      <c r="D594" s="260"/>
      <c r="E594" s="260"/>
      <c r="F594" s="261"/>
      <c r="G594" s="262"/>
      <c r="H594" s="262"/>
      <c r="I594" s="260"/>
      <c r="J594" s="233"/>
      <c r="K594" s="263"/>
      <c r="L594" s="260"/>
      <c r="M594" s="263"/>
      <c r="N594" s="263"/>
      <c r="O594" s="264"/>
      <c r="P594" s="264"/>
      <c r="Q594" s="265"/>
      <c r="R594" s="30">
        <f>MBQ[[#This Row],[HEIGHT (mm)]]*MBQ[[#This Row],[QTY TOTAL]]/1000</f>
        <v>0</v>
      </c>
      <c r="S594" s="30">
        <f>MBQ[[#This Row],[WIDTH (mm)]]*MBQ[[#This Row],[QTY TOTAL]]/1000</f>
        <v>0</v>
      </c>
      <c r="T594" s="9">
        <f>(MBQ[[#This Row],[HEIGHT (mm)]]+MBQ[[#This Row],[WIDTH (mm)]])/1000*2*MBQ[[#This Row],[QTY TOTAL]]</f>
        <v>0</v>
      </c>
      <c r="U594" s="266">
        <f>MBQ[[#This Row],[MULTIPLIER]]*MBQ[[#This Row],[QTY]]</f>
        <v>0</v>
      </c>
      <c r="V594" s="9">
        <f>MBQ[[#This Row],[HEIGHT (mm)]]/1000*MBQ[[#This Row],[WIDTH (mm)]]/1000*MBQ[[#This Row],[QTY TOTAL]]</f>
        <v>0</v>
      </c>
      <c r="W594" s="287">
        <f>ROUNDUP(MBQ[[#This Row],[HEIGHT (mm)]]/450*MBQ[[#This Row],[QTY]]*2,0)+ROUNDUP(MBQ[[#This Row],[WIDTH (mm)]]/450*MBQ[[#This Row],[QTY]]*2,0)</f>
        <v>0</v>
      </c>
    </row>
    <row r="595" spans="1:23" hidden="1">
      <c r="A595" s="258">
        <v>1</v>
      </c>
      <c r="B595" s="259"/>
      <c r="C595" s="233"/>
      <c r="D595" s="260"/>
      <c r="E595" s="260"/>
      <c r="F595" s="261"/>
      <c r="G595" s="262"/>
      <c r="H595" s="262"/>
      <c r="I595" s="260"/>
      <c r="J595" s="233"/>
      <c r="K595" s="263"/>
      <c r="L595" s="260"/>
      <c r="M595" s="263"/>
      <c r="N595" s="263"/>
      <c r="O595" s="264"/>
      <c r="P595" s="264"/>
      <c r="Q595" s="265"/>
      <c r="R595" s="30">
        <f>MBQ[[#This Row],[HEIGHT (mm)]]*MBQ[[#This Row],[QTY TOTAL]]/1000</f>
        <v>0</v>
      </c>
      <c r="S595" s="30">
        <f>MBQ[[#This Row],[WIDTH (mm)]]*MBQ[[#This Row],[QTY TOTAL]]/1000</f>
        <v>0</v>
      </c>
      <c r="T595" s="9">
        <f>(MBQ[[#This Row],[HEIGHT (mm)]]+MBQ[[#This Row],[WIDTH (mm)]])/1000*2*MBQ[[#This Row],[QTY TOTAL]]</f>
        <v>0</v>
      </c>
      <c r="U595" s="266">
        <f>MBQ[[#This Row],[MULTIPLIER]]*MBQ[[#This Row],[QTY]]</f>
        <v>0</v>
      </c>
      <c r="V595" s="9">
        <f>MBQ[[#This Row],[HEIGHT (mm)]]/1000*MBQ[[#This Row],[WIDTH (mm)]]/1000*MBQ[[#This Row],[QTY TOTAL]]</f>
        <v>0</v>
      </c>
      <c r="W595" s="287">
        <f>ROUNDUP(MBQ[[#This Row],[HEIGHT (mm)]]/450*MBQ[[#This Row],[QTY]]*2,0)+ROUNDUP(MBQ[[#This Row],[WIDTH (mm)]]/450*MBQ[[#This Row],[QTY]]*2,0)</f>
        <v>0</v>
      </c>
    </row>
    <row r="596" spans="1:23" hidden="1">
      <c r="A596" s="258">
        <v>1</v>
      </c>
      <c r="B596" s="259"/>
      <c r="C596" s="233"/>
      <c r="D596" s="260"/>
      <c r="E596" s="260"/>
      <c r="F596" s="261"/>
      <c r="G596" s="262"/>
      <c r="H596" s="262"/>
      <c r="I596" s="260"/>
      <c r="J596" s="233"/>
      <c r="K596" s="263"/>
      <c r="L596" s="260"/>
      <c r="M596" s="263"/>
      <c r="N596" s="263"/>
      <c r="O596" s="264"/>
      <c r="P596" s="264"/>
      <c r="Q596" s="265"/>
      <c r="R596" s="30">
        <f>MBQ[[#This Row],[HEIGHT (mm)]]*MBQ[[#This Row],[QTY TOTAL]]/1000</f>
        <v>0</v>
      </c>
      <c r="S596" s="30">
        <f>MBQ[[#This Row],[WIDTH (mm)]]*MBQ[[#This Row],[QTY TOTAL]]/1000</f>
        <v>0</v>
      </c>
      <c r="T596" s="9">
        <f>(MBQ[[#This Row],[HEIGHT (mm)]]+MBQ[[#This Row],[WIDTH (mm)]])/1000*2*MBQ[[#This Row],[QTY TOTAL]]</f>
        <v>0</v>
      </c>
      <c r="U596" s="266">
        <f>MBQ[[#This Row],[MULTIPLIER]]*MBQ[[#This Row],[QTY]]</f>
        <v>0</v>
      </c>
      <c r="V596" s="9">
        <f>MBQ[[#This Row],[HEIGHT (mm)]]/1000*MBQ[[#This Row],[WIDTH (mm)]]/1000*MBQ[[#This Row],[QTY TOTAL]]</f>
        <v>0</v>
      </c>
      <c r="W596" s="287">
        <f>ROUNDUP(MBQ[[#This Row],[HEIGHT (mm)]]/450*MBQ[[#This Row],[QTY]]*2,0)+ROUNDUP(MBQ[[#This Row],[WIDTH (mm)]]/450*MBQ[[#This Row],[QTY]]*2,0)</f>
        <v>0</v>
      </c>
    </row>
    <row r="597" spans="1:23" hidden="1">
      <c r="A597" s="258">
        <v>1</v>
      </c>
      <c r="B597" s="259"/>
      <c r="C597" s="233"/>
      <c r="D597" s="260"/>
      <c r="E597" s="260"/>
      <c r="F597" s="261"/>
      <c r="G597" s="262"/>
      <c r="H597" s="262"/>
      <c r="I597" s="260"/>
      <c r="J597" s="233"/>
      <c r="K597" s="263"/>
      <c r="L597" s="260"/>
      <c r="M597" s="263"/>
      <c r="N597" s="263"/>
      <c r="O597" s="264"/>
      <c r="P597" s="264"/>
      <c r="Q597" s="265"/>
      <c r="R597" s="30">
        <f>MBQ[[#This Row],[HEIGHT (mm)]]*MBQ[[#This Row],[QTY TOTAL]]/1000</f>
        <v>0</v>
      </c>
      <c r="S597" s="30">
        <f>MBQ[[#This Row],[WIDTH (mm)]]*MBQ[[#This Row],[QTY TOTAL]]/1000</f>
        <v>0</v>
      </c>
      <c r="T597" s="9">
        <f>(MBQ[[#This Row],[HEIGHT (mm)]]+MBQ[[#This Row],[WIDTH (mm)]])/1000*2*MBQ[[#This Row],[QTY TOTAL]]</f>
        <v>0</v>
      </c>
      <c r="U597" s="266">
        <f>MBQ[[#This Row],[MULTIPLIER]]*MBQ[[#This Row],[QTY]]</f>
        <v>0</v>
      </c>
      <c r="V597" s="9">
        <f>MBQ[[#This Row],[HEIGHT (mm)]]/1000*MBQ[[#This Row],[WIDTH (mm)]]/1000*MBQ[[#This Row],[QTY TOTAL]]</f>
        <v>0</v>
      </c>
      <c r="W597" s="287">
        <f>ROUNDUP(MBQ[[#This Row],[HEIGHT (mm)]]/450*MBQ[[#This Row],[QTY]]*2,0)+ROUNDUP(MBQ[[#This Row],[WIDTH (mm)]]/450*MBQ[[#This Row],[QTY]]*2,0)</f>
        <v>0</v>
      </c>
    </row>
    <row r="598" spans="1:23" hidden="1">
      <c r="A598" s="258">
        <v>1</v>
      </c>
      <c r="B598" s="259"/>
      <c r="C598" s="233"/>
      <c r="D598" s="260"/>
      <c r="E598" s="260"/>
      <c r="F598" s="261"/>
      <c r="G598" s="262"/>
      <c r="H598" s="262"/>
      <c r="I598" s="260"/>
      <c r="J598" s="233"/>
      <c r="K598" s="263"/>
      <c r="L598" s="260"/>
      <c r="M598" s="263"/>
      <c r="N598" s="263"/>
      <c r="O598" s="264"/>
      <c r="P598" s="264"/>
      <c r="Q598" s="265"/>
      <c r="R598" s="30">
        <f>MBQ[[#This Row],[HEIGHT (mm)]]*MBQ[[#This Row],[QTY TOTAL]]/1000</f>
        <v>0</v>
      </c>
      <c r="S598" s="30">
        <f>MBQ[[#This Row],[WIDTH (mm)]]*MBQ[[#This Row],[QTY TOTAL]]/1000</f>
        <v>0</v>
      </c>
      <c r="T598" s="9">
        <f>(MBQ[[#This Row],[HEIGHT (mm)]]+MBQ[[#This Row],[WIDTH (mm)]])/1000*2*MBQ[[#This Row],[QTY TOTAL]]</f>
        <v>0</v>
      </c>
      <c r="U598" s="266">
        <f>MBQ[[#This Row],[MULTIPLIER]]*MBQ[[#This Row],[QTY]]</f>
        <v>0</v>
      </c>
      <c r="V598" s="9">
        <f>MBQ[[#This Row],[HEIGHT (mm)]]/1000*MBQ[[#This Row],[WIDTH (mm)]]/1000*MBQ[[#This Row],[QTY TOTAL]]</f>
        <v>0</v>
      </c>
      <c r="W598" s="287">
        <f>ROUNDUP(MBQ[[#This Row],[HEIGHT (mm)]]/450*MBQ[[#This Row],[QTY]]*2,0)+ROUNDUP(MBQ[[#This Row],[WIDTH (mm)]]/450*MBQ[[#This Row],[QTY]]*2,0)</f>
        <v>0</v>
      </c>
    </row>
    <row r="599" spans="1:23" hidden="1">
      <c r="A599" s="258">
        <v>1</v>
      </c>
      <c r="B599" s="259"/>
      <c r="C599" s="233"/>
      <c r="D599" s="260"/>
      <c r="E599" s="260"/>
      <c r="F599" s="261"/>
      <c r="G599" s="262"/>
      <c r="H599" s="262"/>
      <c r="I599" s="260"/>
      <c r="J599" s="233"/>
      <c r="K599" s="263"/>
      <c r="L599" s="260"/>
      <c r="M599" s="263"/>
      <c r="N599" s="263"/>
      <c r="O599" s="264"/>
      <c r="P599" s="264"/>
      <c r="Q599" s="265"/>
      <c r="R599" s="30">
        <f>MBQ[[#This Row],[HEIGHT (mm)]]*MBQ[[#This Row],[QTY TOTAL]]/1000</f>
        <v>0</v>
      </c>
      <c r="S599" s="30">
        <f>MBQ[[#This Row],[WIDTH (mm)]]*MBQ[[#This Row],[QTY TOTAL]]/1000</f>
        <v>0</v>
      </c>
      <c r="T599" s="9">
        <f>(MBQ[[#This Row],[HEIGHT (mm)]]+MBQ[[#This Row],[WIDTH (mm)]])/1000*2*MBQ[[#This Row],[QTY TOTAL]]</f>
        <v>0</v>
      </c>
      <c r="U599" s="266">
        <f>MBQ[[#This Row],[MULTIPLIER]]*MBQ[[#This Row],[QTY]]</f>
        <v>0</v>
      </c>
      <c r="V599" s="9">
        <f>MBQ[[#This Row],[HEIGHT (mm)]]/1000*MBQ[[#This Row],[WIDTH (mm)]]/1000*MBQ[[#This Row],[QTY TOTAL]]</f>
        <v>0</v>
      </c>
      <c r="W599" s="287">
        <f>ROUNDUP(MBQ[[#This Row],[HEIGHT (mm)]]/450*MBQ[[#This Row],[QTY]]*2,0)+ROUNDUP(MBQ[[#This Row],[WIDTH (mm)]]/450*MBQ[[#This Row],[QTY]]*2,0)</f>
        <v>0</v>
      </c>
    </row>
    <row r="600" spans="1:23" hidden="1">
      <c r="A600" s="258">
        <v>1</v>
      </c>
      <c r="B600" s="259"/>
      <c r="C600" s="233"/>
      <c r="D600" s="260"/>
      <c r="E600" s="260"/>
      <c r="F600" s="261"/>
      <c r="G600" s="262"/>
      <c r="H600" s="262"/>
      <c r="I600" s="260"/>
      <c r="J600" s="233"/>
      <c r="K600" s="263"/>
      <c r="L600" s="260"/>
      <c r="M600" s="263"/>
      <c r="N600" s="263"/>
      <c r="O600" s="264"/>
      <c r="P600" s="264"/>
      <c r="Q600" s="265"/>
      <c r="R600" s="30">
        <f>MBQ[[#This Row],[HEIGHT (mm)]]*MBQ[[#This Row],[QTY TOTAL]]/1000</f>
        <v>0</v>
      </c>
      <c r="S600" s="30">
        <f>MBQ[[#This Row],[WIDTH (mm)]]*MBQ[[#This Row],[QTY TOTAL]]/1000</f>
        <v>0</v>
      </c>
      <c r="T600" s="9">
        <f>(MBQ[[#This Row],[HEIGHT (mm)]]+MBQ[[#This Row],[WIDTH (mm)]])/1000*2*MBQ[[#This Row],[QTY TOTAL]]</f>
        <v>0</v>
      </c>
      <c r="U600" s="266">
        <f>MBQ[[#This Row],[MULTIPLIER]]*MBQ[[#This Row],[QTY]]</f>
        <v>0</v>
      </c>
      <c r="V600" s="9">
        <f>MBQ[[#This Row],[HEIGHT (mm)]]/1000*MBQ[[#This Row],[WIDTH (mm)]]/1000*MBQ[[#This Row],[QTY TOTAL]]</f>
        <v>0</v>
      </c>
      <c r="W600" s="287">
        <f>ROUNDUP(MBQ[[#This Row],[HEIGHT (mm)]]/450*MBQ[[#This Row],[QTY]]*2,0)+ROUNDUP(MBQ[[#This Row],[WIDTH (mm)]]/450*MBQ[[#This Row],[QTY]]*2,0)</f>
        <v>0</v>
      </c>
    </row>
    <row r="601" spans="1:23" hidden="1">
      <c r="A601" s="258">
        <v>1</v>
      </c>
      <c r="B601" s="259"/>
      <c r="C601" s="233"/>
      <c r="D601" s="260"/>
      <c r="E601" s="260"/>
      <c r="F601" s="261"/>
      <c r="G601" s="262"/>
      <c r="H601" s="262"/>
      <c r="I601" s="260"/>
      <c r="J601" s="233"/>
      <c r="K601" s="263"/>
      <c r="L601" s="260"/>
      <c r="M601" s="263"/>
      <c r="N601" s="263"/>
      <c r="O601" s="264"/>
      <c r="P601" s="264"/>
      <c r="Q601" s="265"/>
      <c r="R601" s="30">
        <f>MBQ[[#This Row],[HEIGHT (mm)]]*MBQ[[#This Row],[QTY TOTAL]]/1000</f>
        <v>0</v>
      </c>
      <c r="S601" s="30">
        <f>MBQ[[#This Row],[WIDTH (mm)]]*MBQ[[#This Row],[QTY TOTAL]]/1000</f>
        <v>0</v>
      </c>
      <c r="T601" s="9">
        <f>(MBQ[[#This Row],[HEIGHT (mm)]]+MBQ[[#This Row],[WIDTH (mm)]])/1000*2*MBQ[[#This Row],[QTY TOTAL]]</f>
        <v>0</v>
      </c>
      <c r="U601" s="266">
        <f>MBQ[[#This Row],[MULTIPLIER]]*MBQ[[#This Row],[QTY]]</f>
        <v>0</v>
      </c>
      <c r="V601" s="9">
        <f>MBQ[[#This Row],[HEIGHT (mm)]]/1000*MBQ[[#This Row],[WIDTH (mm)]]/1000*MBQ[[#This Row],[QTY TOTAL]]</f>
        <v>0</v>
      </c>
      <c r="W601" s="287">
        <f>ROUNDUP(MBQ[[#This Row],[HEIGHT (mm)]]/450*MBQ[[#This Row],[QTY]]*2,0)+ROUNDUP(MBQ[[#This Row],[WIDTH (mm)]]/450*MBQ[[#This Row],[QTY]]*2,0)</f>
        <v>0</v>
      </c>
    </row>
    <row r="602" spans="1:23" hidden="1">
      <c r="A602" s="258">
        <v>1</v>
      </c>
      <c r="B602" s="259"/>
      <c r="C602" s="233"/>
      <c r="D602" s="260"/>
      <c r="E602" s="260"/>
      <c r="F602" s="261"/>
      <c r="G602" s="262"/>
      <c r="H602" s="262"/>
      <c r="I602" s="260"/>
      <c r="J602" s="233"/>
      <c r="K602" s="263"/>
      <c r="L602" s="260"/>
      <c r="M602" s="263"/>
      <c r="N602" s="263"/>
      <c r="O602" s="264"/>
      <c r="P602" s="264"/>
      <c r="Q602" s="265"/>
      <c r="R602" s="30">
        <f>MBQ[[#This Row],[HEIGHT (mm)]]*MBQ[[#This Row],[QTY TOTAL]]/1000</f>
        <v>0</v>
      </c>
      <c r="S602" s="30">
        <f>MBQ[[#This Row],[WIDTH (mm)]]*MBQ[[#This Row],[QTY TOTAL]]/1000</f>
        <v>0</v>
      </c>
      <c r="T602" s="9">
        <f>(MBQ[[#This Row],[HEIGHT (mm)]]+MBQ[[#This Row],[WIDTH (mm)]])/1000*2*MBQ[[#This Row],[QTY TOTAL]]</f>
        <v>0</v>
      </c>
      <c r="U602" s="266">
        <f>MBQ[[#This Row],[MULTIPLIER]]*MBQ[[#This Row],[QTY]]</f>
        <v>0</v>
      </c>
      <c r="V602" s="9">
        <f>MBQ[[#This Row],[HEIGHT (mm)]]/1000*MBQ[[#This Row],[WIDTH (mm)]]/1000*MBQ[[#This Row],[QTY TOTAL]]</f>
        <v>0</v>
      </c>
      <c r="W602" s="287">
        <f>ROUNDUP(MBQ[[#This Row],[HEIGHT (mm)]]/450*MBQ[[#This Row],[QTY]]*2,0)+ROUNDUP(MBQ[[#This Row],[WIDTH (mm)]]/450*MBQ[[#This Row],[QTY]]*2,0)</f>
        <v>0</v>
      </c>
    </row>
    <row r="603" spans="1:23" hidden="1">
      <c r="A603" s="258">
        <v>1</v>
      </c>
      <c r="B603" s="259"/>
      <c r="C603" s="233"/>
      <c r="D603" s="260"/>
      <c r="E603" s="260"/>
      <c r="F603" s="261"/>
      <c r="G603" s="262"/>
      <c r="H603" s="262"/>
      <c r="I603" s="260"/>
      <c r="J603" s="233"/>
      <c r="K603" s="263"/>
      <c r="L603" s="260"/>
      <c r="M603" s="263"/>
      <c r="N603" s="263"/>
      <c r="O603" s="264"/>
      <c r="P603" s="264"/>
      <c r="Q603" s="265"/>
      <c r="R603" s="30">
        <f>MBQ[[#This Row],[HEIGHT (mm)]]*MBQ[[#This Row],[QTY TOTAL]]/1000</f>
        <v>0</v>
      </c>
      <c r="S603" s="30">
        <f>MBQ[[#This Row],[WIDTH (mm)]]*MBQ[[#This Row],[QTY TOTAL]]/1000</f>
        <v>0</v>
      </c>
      <c r="T603" s="9">
        <f>(MBQ[[#This Row],[HEIGHT (mm)]]+MBQ[[#This Row],[WIDTH (mm)]])/1000*2*MBQ[[#This Row],[QTY TOTAL]]</f>
        <v>0</v>
      </c>
      <c r="U603" s="266">
        <f>MBQ[[#This Row],[MULTIPLIER]]*MBQ[[#This Row],[QTY]]</f>
        <v>0</v>
      </c>
      <c r="V603" s="9">
        <f>MBQ[[#This Row],[HEIGHT (mm)]]/1000*MBQ[[#This Row],[WIDTH (mm)]]/1000*MBQ[[#This Row],[QTY TOTAL]]</f>
        <v>0</v>
      </c>
      <c r="W603" s="287">
        <f>ROUNDUP(MBQ[[#This Row],[HEIGHT (mm)]]/450*MBQ[[#This Row],[QTY]]*2,0)+ROUNDUP(MBQ[[#This Row],[WIDTH (mm)]]/450*MBQ[[#This Row],[QTY]]*2,0)</f>
        <v>0</v>
      </c>
    </row>
    <row r="604" spans="1:23" hidden="1">
      <c r="A604" s="258">
        <v>1</v>
      </c>
      <c r="B604" s="259"/>
      <c r="C604" s="233"/>
      <c r="D604" s="260"/>
      <c r="E604" s="260"/>
      <c r="F604" s="261"/>
      <c r="G604" s="262"/>
      <c r="H604" s="262"/>
      <c r="I604" s="260"/>
      <c r="J604" s="233"/>
      <c r="K604" s="263"/>
      <c r="L604" s="260"/>
      <c r="M604" s="263"/>
      <c r="N604" s="263"/>
      <c r="O604" s="264"/>
      <c r="P604" s="264"/>
      <c r="Q604" s="265"/>
      <c r="R604" s="30">
        <f>MBQ[[#This Row],[HEIGHT (mm)]]*MBQ[[#This Row],[QTY TOTAL]]/1000</f>
        <v>0</v>
      </c>
      <c r="S604" s="30">
        <f>MBQ[[#This Row],[WIDTH (mm)]]*MBQ[[#This Row],[QTY TOTAL]]/1000</f>
        <v>0</v>
      </c>
      <c r="T604" s="9">
        <f>(MBQ[[#This Row],[HEIGHT (mm)]]+MBQ[[#This Row],[WIDTH (mm)]])/1000*2*MBQ[[#This Row],[QTY TOTAL]]</f>
        <v>0</v>
      </c>
      <c r="U604" s="266">
        <f>MBQ[[#This Row],[MULTIPLIER]]*MBQ[[#This Row],[QTY]]</f>
        <v>0</v>
      </c>
      <c r="V604" s="9">
        <f>MBQ[[#This Row],[HEIGHT (mm)]]/1000*MBQ[[#This Row],[WIDTH (mm)]]/1000*MBQ[[#This Row],[QTY TOTAL]]</f>
        <v>0</v>
      </c>
      <c r="W604" s="287">
        <f>ROUNDUP(MBQ[[#This Row],[HEIGHT (mm)]]/450*MBQ[[#This Row],[QTY]]*2,0)+ROUNDUP(MBQ[[#This Row],[WIDTH (mm)]]/450*MBQ[[#This Row],[QTY]]*2,0)</f>
        <v>0</v>
      </c>
    </row>
    <row r="605" spans="1:23" hidden="1">
      <c r="A605" s="258">
        <v>1</v>
      </c>
      <c r="B605" s="259"/>
      <c r="C605" s="233"/>
      <c r="D605" s="260"/>
      <c r="E605" s="260"/>
      <c r="F605" s="261"/>
      <c r="G605" s="262"/>
      <c r="H605" s="262"/>
      <c r="I605" s="260"/>
      <c r="J605" s="233"/>
      <c r="K605" s="263"/>
      <c r="L605" s="260"/>
      <c r="M605" s="263"/>
      <c r="N605" s="263"/>
      <c r="O605" s="264"/>
      <c r="P605" s="264"/>
      <c r="Q605" s="265"/>
      <c r="R605" s="30">
        <f>MBQ[[#This Row],[HEIGHT (mm)]]*MBQ[[#This Row],[QTY TOTAL]]/1000</f>
        <v>0</v>
      </c>
      <c r="S605" s="30">
        <f>MBQ[[#This Row],[WIDTH (mm)]]*MBQ[[#This Row],[QTY TOTAL]]/1000</f>
        <v>0</v>
      </c>
      <c r="T605" s="9">
        <f>(MBQ[[#This Row],[HEIGHT (mm)]]+MBQ[[#This Row],[WIDTH (mm)]])/1000*2*MBQ[[#This Row],[QTY TOTAL]]</f>
        <v>0</v>
      </c>
      <c r="U605" s="266">
        <f>MBQ[[#This Row],[MULTIPLIER]]*MBQ[[#This Row],[QTY]]</f>
        <v>0</v>
      </c>
      <c r="V605" s="9">
        <f>MBQ[[#This Row],[HEIGHT (mm)]]/1000*MBQ[[#This Row],[WIDTH (mm)]]/1000*MBQ[[#This Row],[QTY TOTAL]]</f>
        <v>0</v>
      </c>
      <c r="W605" s="287">
        <f>ROUNDUP(MBQ[[#This Row],[HEIGHT (mm)]]/450*MBQ[[#This Row],[QTY]]*2,0)+ROUNDUP(MBQ[[#This Row],[WIDTH (mm)]]/450*MBQ[[#This Row],[QTY]]*2,0)</f>
        <v>0</v>
      </c>
    </row>
    <row r="606" spans="1:23" hidden="1">
      <c r="A606" s="258">
        <v>1</v>
      </c>
      <c r="B606" s="259"/>
      <c r="C606" s="233"/>
      <c r="D606" s="260"/>
      <c r="E606" s="260"/>
      <c r="F606" s="261"/>
      <c r="G606" s="262"/>
      <c r="H606" s="262"/>
      <c r="I606" s="260"/>
      <c r="J606" s="233"/>
      <c r="K606" s="263"/>
      <c r="L606" s="260"/>
      <c r="M606" s="263"/>
      <c r="N606" s="263"/>
      <c r="O606" s="264"/>
      <c r="P606" s="264"/>
      <c r="Q606" s="265"/>
      <c r="R606" s="30">
        <f>MBQ[[#This Row],[HEIGHT (mm)]]*MBQ[[#This Row],[QTY TOTAL]]/1000</f>
        <v>0</v>
      </c>
      <c r="S606" s="30">
        <f>MBQ[[#This Row],[WIDTH (mm)]]*MBQ[[#This Row],[QTY TOTAL]]/1000</f>
        <v>0</v>
      </c>
      <c r="T606" s="9">
        <f>(MBQ[[#This Row],[HEIGHT (mm)]]+MBQ[[#This Row],[WIDTH (mm)]])/1000*2*MBQ[[#This Row],[QTY TOTAL]]</f>
        <v>0</v>
      </c>
      <c r="U606" s="266">
        <f>MBQ[[#This Row],[MULTIPLIER]]*MBQ[[#This Row],[QTY]]</f>
        <v>0</v>
      </c>
      <c r="V606" s="9">
        <f>MBQ[[#This Row],[HEIGHT (mm)]]/1000*MBQ[[#This Row],[WIDTH (mm)]]/1000*MBQ[[#This Row],[QTY TOTAL]]</f>
        <v>0</v>
      </c>
      <c r="W606" s="287">
        <f>ROUNDUP(MBQ[[#This Row],[HEIGHT (mm)]]/450*MBQ[[#This Row],[QTY]]*2,0)+ROUNDUP(MBQ[[#This Row],[WIDTH (mm)]]/450*MBQ[[#This Row],[QTY]]*2,0)</f>
        <v>0</v>
      </c>
    </row>
    <row r="607" spans="1:23" hidden="1">
      <c r="A607" s="258">
        <v>1</v>
      </c>
      <c r="B607" s="259"/>
      <c r="C607" s="233"/>
      <c r="D607" s="260"/>
      <c r="E607" s="260"/>
      <c r="F607" s="261"/>
      <c r="G607" s="262"/>
      <c r="H607" s="262"/>
      <c r="I607" s="260"/>
      <c r="J607" s="233"/>
      <c r="K607" s="263"/>
      <c r="L607" s="260"/>
      <c r="M607" s="263"/>
      <c r="N607" s="263"/>
      <c r="O607" s="264"/>
      <c r="P607" s="264"/>
      <c r="Q607" s="265"/>
      <c r="R607" s="30">
        <f>MBQ[[#This Row],[HEIGHT (mm)]]*MBQ[[#This Row],[QTY TOTAL]]/1000</f>
        <v>0</v>
      </c>
      <c r="S607" s="30">
        <f>MBQ[[#This Row],[WIDTH (mm)]]*MBQ[[#This Row],[QTY TOTAL]]/1000</f>
        <v>0</v>
      </c>
      <c r="T607" s="9">
        <f>(MBQ[[#This Row],[HEIGHT (mm)]]+MBQ[[#This Row],[WIDTH (mm)]])/1000*2*MBQ[[#This Row],[QTY TOTAL]]</f>
        <v>0</v>
      </c>
      <c r="U607" s="266">
        <f>MBQ[[#This Row],[MULTIPLIER]]*MBQ[[#This Row],[QTY]]</f>
        <v>0</v>
      </c>
      <c r="V607" s="9">
        <f>MBQ[[#This Row],[HEIGHT (mm)]]/1000*MBQ[[#This Row],[WIDTH (mm)]]/1000*MBQ[[#This Row],[QTY TOTAL]]</f>
        <v>0</v>
      </c>
      <c r="W607" s="287">
        <f>ROUNDUP(MBQ[[#This Row],[HEIGHT (mm)]]/450*MBQ[[#This Row],[QTY]]*2,0)+ROUNDUP(MBQ[[#This Row],[WIDTH (mm)]]/450*MBQ[[#This Row],[QTY]]*2,0)</f>
        <v>0</v>
      </c>
    </row>
    <row r="608" spans="1:23" hidden="1">
      <c r="A608" s="258">
        <v>1</v>
      </c>
      <c r="B608" s="259"/>
      <c r="C608" s="233"/>
      <c r="D608" s="260"/>
      <c r="E608" s="260"/>
      <c r="F608" s="261"/>
      <c r="G608" s="262"/>
      <c r="H608" s="262"/>
      <c r="I608" s="260"/>
      <c r="J608" s="233"/>
      <c r="K608" s="263"/>
      <c r="L608" s="260"/>
      <c r="M608" s="263"/>
      <c r="N608" s="263"/>
      <c r="O608" s="264"/>
      <c r="P608" s="264"/>
      <c r="Q608" s="265"/>
      <c r="R608" s="30">
        <f>MBQ[[#This Row],[HEIGHT (mm)]]*MBQ[[#This Row],[QTY TOTAL]]/1000</f>
        <v>0</v>
      </c>
      <c r="S608" s="30">
        <f>MBQ[[#This Row],[WIDTH (mm)]]*MBQ[[#This Row],[QTY TOTAL]]/1000</f>
        <v>0</v>
      </c>
      <c r="T608" s="9">
        <f>(MBQ[[#This Row],[HEIGHT (mm)]]+MBQ[[#This Row],[WIDTH (mm)]])/1000*2*MBQ[[#This Row],[QTY TOTAL]]</f>
        <v>0</v>
      </c>
      <c r="U608" s="266">
        <f>MBQ[[#This Row],[MULTIPLIER]]*MBQ[[#This Row],[QTY]]</f>
        <v>0</v>
      </c>
      <c r="V608" s="9">
        <f>MBQ[[#This Row],[HEIGHT (mm)]]/1000*MBQ[[#This Row],[WIDTH (mm)]]/1000*MBQ[[#This Row],[QTY TOTAL]]</f>
        <v>0</v>
      </c>
      <c r="W608" s="287">
        <f>ROUNDUP(MBQ[[#This Row],[HEIGHT (mm)]]/450*MBQ[[#This Row],[QTY]]*2,0)+ROUNDUP(MBQ[[#This Row],[WIDTH (mm)]]/450*MBQ[[#This Row],[QTY]]*2,0)</f>
        <v>0</v>
      </c>
    </row>
    <row r="609" spans="1:23" hidden="1">
      <c r="A609" s="258">
        <v>1</v>
      </c>
      <c r="B609" s="259"/>
      <c r="C609" s="233"/>
      <c r="D609" s="260"/>
      <c r="E609" s="260"/>
      <c r="F609" s="261"/>
      <c r="G609" s="262"/>
      <c r="H609" s="262"/>
      <c r="I609" s="260"/>
      <c r="J609" s="233"/>
      <c r="K609" s="263"/>
      <c r="L609" s="260"/>
      <c r="M609" s="263"/>
      <c r="N609" s="263"/>
      <c r="O609" s="264"/>
      <c r="P609" s="264"/>
      <c r="Q609" s="265"/>
      <c r="R609" s="30">
        <f>MBQ[[#This Row],[HEIGHT (mm)]]*MBQ[[#This Row],[QTY TOTAL]]/1000</f>
        <v>0</v>
      </c>
      <c r="S609" s="30">
        <f>MBQ[[#This Row],[WIDTH (mm)]]*MBQ[[#This Row],[QTY TOTAL]]/1000</f>
        <v>0</v>
      </c>
      <c r="T609" s="9">
        <f>(MBQ[[#This Row],[HEIGHT (mm)]]+MBQ[[#This Row],[WIDTH (mm)]])/1000*2*MBQ[[#This Row],[QTY TOTAL]]</f>
        <v>0</v>
      </c>
      <c r="U609" s="266">
        <f>MBQ[[#This Row],[MULTIPLIER]]*MBQ[[#This Row],[QTY]]</f>
        <v>0</v>
      </c>
      <c r="V609" s="9">
        <f>MBQ[[#This Row],[HEIGHT (mm)]]/1000*MBQ[[#This Row],[WIDTH (mm)]]/1000*MBQ[[#This Row],[QTY TOTAL]]</f>
        <v>0</v>
      </c>
      <c r="W609" s="287">
        <f>ROUNDUP(MBQ[[#This Row],[HEIGHT (mm)]]/450*MBQ[[#This Row],[QTY]]*2,0)+ROUNDUP(MBQ[[#This Row],[WIDTH (mm)]]/450*MBQ[[#This Row],[QTY]]*2,0)</f>
        <v>0</v>
      </c>
    </row>
    <row r="610" spans="1:23" hidden="1">
      <c r="A610" s="258">
        <v>1</v>
      </c>
      <c r="B610" s="259"/>
      <c r="C610" s="233"/>
      <c r="D610" s="260"/>
      <c r="E610" s="260"/>
      <c r="F610" s="261"/>
      <c r="G610" s="262"/>
      <c r="H610" s="262"/>
      <c r="I610" s="260"/>
      <c r="J610" s="233"/>
      <c r="K610" s="263"/>
      <c r="L610" s="260"/>
      <c r="M610" s="263"/>
      <c r="N610" s="263"/>
      <c r="O610" s="264"/>
      <c r="P610" s="264"/>
      <c r="Q610" s="265"/>
      <c r="R610" s="30">
        <f>MBQ[[#This Row],[HEIGHT (mm)]]*MBQ[[#This Row],[QTY TOTAL]]/1000</f>
        <v>0</v>
      </c>
      <c r="S610" s="30">
        <f>MBQ[[#This Row],[WIDTH (mm)]]*MBQ[[#This Row],[QTY TOTAL]]/1000</f>
        <v>0</v>
      </c>
      <c r="T610" s="9">
        <f>(MBQ[[#This Row],[HEIGHT (mm)]]+MBQ[[#This Row],[WIDTH (mm)]])/1000*2*MBQ[[#This Row],[QTY TOTAL]]</f>
        <v>0</v>
      </c>
      <c r="U610" s="266">
        <f>MBQ[[#This Row],[MULTIPLIER]]*MBQ[[#This Row],[QTY]]</f>
        <v>0</v>
      </c>
      <c r="V610" s="9">
        <f>MBQ[[#This Row],[HEIGHT (mm)]]/1000*MBQ[[#This Row],[WIDTH (mm)]]/1000*MBQ[[#This Row],[QTY TOTAL]]</f>
        <v>0</v>
      </c>
      <c r="W610" s="287">
        <f>ROUNDUP(MBQ[[#This Row],[HEIGHT (mm)]]/450*MBQ[[#This Row],[QTY]]*2,0)+ROUNDUP(MBQ[[#This Row],[WIDTH (mm)]]/450*MBQ[[#This Row],[QTY]]*2,0)</f>
        <v>0</v>
      </c>
    </row>
    <row r="611" spans="1:23" hidden="1">
      <c r="A611" s="258">
        <v>1</v>
      </c>
      <c r="B611" s="259"/>
      <c r="C611" s="233"/>
      <c r="D611" s="260"/>
      <c r="E611" s="260"/>
      <c r="F611" s="261"/>
      <c r="G611" s="262"/>
      <c r="H611" s="262"/>
      <c r="I611" s="260"/>
      <c r="J611" s="233"/>
      <c r="K611" s="263"/>
      <c r="L611" s="260"/>
      <c r="M611" s="263"/>
      <c r="N611" s="263"/>
      <c r="O611" s="264"/>
      <c r="P611" s="264"/>
      <c r="Q611" s="265"/>
      <c r="R611" s="30">
        <f>MBQ[[#This Row],[HEIGHT (mm)]]*MBQ[[#This Row],[QTY TOTAL]]/1000</f>
        <v>0</v>
      </c>
      <c r="S611" s="30">
        <f>MBQ[[#This Row],[WIDTH (mm)]]*MBQ[[#This Row],[QTY TOTAL]]/1000</f>
        <v>0</v>
      </c>
      <c r="T611" s="9">
        <f>(MBQ[[#This Row],[HEIGHT (mm)]]+MBQ[[#This Row],[WIDTH (mm)]])/1000*2*MBQ[[#This Row],[QTY TOTAL]]</f>
        <v>0</v>
      </c>
      <c r="U611" s="266">
        <f>MBQ[[#This Row],[MULTIPLIER]]*MBQ[[#This Row],[QTY]]</f>
        <v>0</v>
      </c>
      <c r="V611" s="9">
        <f>MBQ[[#This Row],[HEIGHT (mm)]]/1000*MBQ[[#This Row],[WIDTH (mm)]]/1000*MBQ[[#This Row],[QTY TOTAL]]</f>
        <v>0</v>
      </c>
      <c r="W611" s="287">
        <f>ROUNDUP(MBQ[[#This Row],[HEIGHT (mm)]]/450*MBQ[[#This Row],[QTY]]*2,0)+ROUNDUP(MBQ[[#This Row],[WIDTH (mm)]]/450*MBQ[[#This Row],[QTY]]*2,0)</f>
        <v>0</v>
      </c>
    </row>
    <row r="612" spans="1:23" hidden="1">
      <c r="A612" s="258">
        <v>1</v>
      </c>
      <c r="B612" s="259"/>
      <c r="C612" s="233"/>
      <c r="D612" s="260"/>
      <c r="E612" s="260"/>
      <c r="F612" s="261"/>
      <c r="G612" s="262"/>
      <c r="H612" s="262"/>
      <c r="I612" s="260"/>
      <c r="J612" s="233"/>
      <c r="K612" s="263"/>
      <c r="L612" s="260"/>
      <c r="M612" s="263"/>
      <c r="N612" s="263"/>
      <c r="O612" s="264"/>
      <c r="P612" s="264"/>
      <c r="Q612" s="265"/>
      <c r="R612" s="30">
        <f>MBQ[[#This Row],[HEIGHT (mm)]]*MBQ[[#This Row],[QTY TOTAL]]/1000</f>
        <v>0</v>
      </c>
      <c r="S612" s="30">
        <f>MBQ[[#This Row],[WIDTH (mm)]]*MBQ[[#This Row],[QTY TOTAL]]/1000</f>
        <v>0</v>
      </c>
      <c r="T612" s="9">
        <f>(MBQ[[#This Row],[HEIGHT (mm)]]+MBQ[[#This Row],[WIDTH (mm)]])/1000*2*MBQ[[#This Row],[QTY TOTAL]]</f>
        <v>0</v>
      </c>
      <c r="U612" s="266">
        <f>MBQ[[#This Row],[MULTIPLIER]]*MBQ[[#This Row],[QTY]]</f>
        <v>0</v>
      </c>
      <c r="V612" s="9">
        <f>MBQ[[#This Row],[HEIGHT (mm)]]/1000*MBQ[[#This Row],[WIDTH (mm)]]/1000*MBQ[[#This Row],[QTY TOTAL]]</f>
        <v>0</v>
      </c>
      <c r="W612" s="287">
        <f>ROUNDUP(MBQ[[#This Row],[HEIGHT (mm)]]/450*MBQ[[#This Row],[QTY]]*2,0)+ROUNDUP(MBQ[[#This Row],[WIDTH (mm)]]/450*MBQ[[#This Row],[QTY]]*2,0)</f>
        <v>0</v>
      </c>
    </row>
    <row r="613" spans="1:23" hidden="1">
      <c r="A613" s="258">
        <v>1</v>
      </c>
      <c r="B613" s="259"/>
      <c r="C613" s="233"/>
      <c r="D613" s="260"/>
      <c r="E613" s="260"/>
      <c r="F613" s="261"/>
      <c r="G613" s="262"/>
      <c r="H613" s="262"/>
      <c r="I613" s="260"/>
      <c r="J613" s="233"/>
      <c r="K613" s="263"/>
      <c r="L613" s="260"/>
      <c r="M613" s="263"/>
      <c r="N613" s="263"/>
      <c r="O613" s="264"/>
      <c r="P613" s="264"/>
      <c r="Q613" s="265"/>
      <c r="R613" s="30">
        <f>MBQ[[#This Row],[HEIGHT (mm)]]*MBQ[[#This Row],[QTY TOTAL]]/1000</f>
        <v>0</v>
      </c>
      <c r="S613" s="30">
        <f>MBQ[[#This Row],[WIDTH (mm)]]*MBQ[[#This Row],[QTY TOTAL]]/1000</f>
        <v>0</v>
      </c>
      <c r="T613" s="9">
        <f>(MBQ[[#This Row],[HEIGHT (mm)]]+MBQ[[#This Row],[WIDTH (mm)]])/1000*2*MBQ[[#This Row],[QTY TOTAL]]</f>
        <v>0</v>
      </c>
      <c r="U613" s="266">
        <f>MBQ[[#This Row],[MULTIPLIER]]*MBQ[[#This Row],[QTY]]</f>
        <v>0</v>
      </c>
      <c r="V613" s="9">
        <f>MBQ[[#This Row],[HEIGHT (mm)]]/1000*MBQ[[#This Row],[WIDTH (mm)]]/1000*MBQ[[#This Row],[QTY TOTAL]]</f>
        <v>0</v>
      </c>
      <c r="W613" s="287">
        <f>ROUNDUP(MBQ[[#This Row],[HEIGHT (mm)]]/450*MBQ[[#This Row],[QTY]]*2,0)+ROUNDUP(MBQ[[#This Row],[WIDTH (mm)]]/450*MBQ[[#This Row],[QTY]]*2,0)</f>
        <v>0</v>
      </c>
    </row>
    <row r="614" spans="1:23" hidden="1">
      <c r="A614" s="258">
        <v>1</v>
      </c>
      <c r="B614" s="259"/>
      <c r="C614" s="233"/>
      <c r="D614" s="260"/>
      <c r="E614" s="260"/>
      <c r="F614" s="261"/>
      <c r="G614" s="262"/>
      <c r="H614" s="262"/>
      <c r="I614" s="260"/>
      <c r="J614" s="233"/>
      <c r="K614" s="263"/>
      <c r="L614" s="260"/>
      <c r="M614" s="263"/>
      <c r="N614" s="263"/>
      <c r="O614" s="264"/>
      <c r="P614" s="264"/>
      <c r="Q614" s="265"/>
      <c r="R614" s="30">
        <f>MBQ[[#This Row],[HEIGHT (mm)]]*MBQ[[#This Row],[QTY TOTAL]]/1000</f>
        <v>0</v>
      </c>
      <c r="S614" s="30">
        <f>MBQ[[#This Row],[WIDTH (mm)]]*MBQ[[#This Row],[QTY TOTAL]]/1000</f>
        <v>0</v>
      </c>
      <c r="T614" s="9">
        <f>(MBQ[[#This Row],[HEIGHT (mm)]]+MBQ[[#This Row],[WIDTH (mm)]])/1000*2*MBQ[[#This Row],[QTY TOTAL]]</f>
        <v>0</v>
      </c>
      <c r="U614" s="266">
        <f>MBQ[[#This Row],[MULTIPLIER]]*MBQ[[#This Row],[QTY]]</f>
        <v>0</v>
      </c>
      <c r="V614" s="9">
        <f>MBQ[[#This Row],[HEIGHT (mm)]]/1000*MBQ[[#This Row],[WIDTH (mm)]]/1000*MBQ[[#This Row],[QTY TOTAL]]</f>
        <v>0</v>
      </c>
      <c r="W614" s="287">
        <f>ROUNDUP(MBQ[[#This Row],[HEIGHT (mm)]]/450*MBQ[[#This Row],[QTY]]*2,0)+ROUNDUP(MBQ[[#This Row],[WIDTH (mm)]]/450*MBQ[[#This Row],[QTY]]*2,0)</f>
        <v>0</v>
      </c>
    </row>
    <row r="615" spans="1:23" hidden="1">
      <c r="A615" s="258">
        <v>1</v>
      </c>
      <c r="B615" s="259"/>
      <c r="C615" s="233"/>
      <c r="D615" s="260"/>
      <c r="E615" s="260"/>
      <c r="F615" s="261"/>
      <c r="G615" s="262"/>
      <c r="H615" s="262"/>
      <c r="I615" s="260"/>
      <c r="J615" s="233"/>
      <c r="K615" s="263"/>
      <c r="L615" s="260"/>
      <c r="M615" s="263"/>
      <c r="N615" s="263"/>
      <c r="O615" s="264"/>
      <c r="P615" s="264"/>
      <c r="Q615" s="265"/>
      <c r="R615" s="30">
        <f>MBQ[[#This Row],[HEIGHT (mm)]]*MBQ[[#This Row],[QTY TOTAL]]/1000</f>
        <v>0</v>
      </c>
      <c r="S615" s="30">
        <f>MBQ[[#This Row],[WIDTH (mm)]]*MBQ[[#This Row],[QTY TOTAL]]/1000</f>
        <v>0</v>
      </c>
      <c r="T615" s="9">
        <f>(MBQ[[#This Row],[HEIGHT (mm)]]+MBQ[[#This Row],[WIDTH (mm)]])/1000*2*MBQ[[#This Row],[QTY TOTAL]]</f>
        <v>0</v>
      </c>
      <c r="U615" s="266">
        <f>MBQ[[#This Row],[MULTIPLIER]]*MBQ[[#This Row],[QTY]]</f>
        <v>0</v>
      </c>
      <c r="V615" s="9">
        <f>MBQ[[#This Row],[HEIGHT (mm)]]/1000*MBQ[[#This Row],[WIDTH (mm)]]/1000*MBQ[[#This Row],[QTY TOTAL]]</f>
        <v>0</v>
      </c>
      <c r="W615" s="287">
        <f>ROUNDUP(MBQ[[#This Row],[HEIGHT (mm)]]/450*MBQ[[#This Row],[QTY]]*2,0)+ROUNDUP(MBQ[[#This Row],[WIDTH (mm)]]/450*MBQ[[#This Row],[QTY]]*2,0)</f>
        <v>0</v>
      </c>
    </row>
    <row r="616" spans="1:23" hidden="1">
      <c r="A616" s="258">
        <v>1</v>
      </c>
      <c r="B616" s="259"/>
      <c r="C616" s="233"/>
      <c r="D616" s="260"/>
      <c r="E616" s="260"/>
      <c r="F616" s="261"/>
      <c r="G616" s="262"/>
      <c r="H616" s="262"/>
      <c r="I616" s="260"/>
      <c r="J616" s="233"/>
      <c r="K616" s="263"/>
      <c r="L616" s="260"/>
      <c r="M616" s="263"/>
      <c r="N616" s="263"/>
      <c r="O616" s="264"/>
      <c r="P616" s="264"/>
      <c r="Q616" s="265"/>
      <c r="R616" s="30">
        <f>MBQ[[#This Row],[HEIGHT (mm)]]*MBQ[[#This Row],[QTY TOTAL]]/1000</f>
        <v>0</v>
      </c>
      <c r="S616" s="30">
        <f>MBQ[[#This Row],[WIDTH (mm)]]*MBQ[[#This Row],[QTY TOTAL]]/1000</f>
        <v>0</v>
      </c>
      <c r="T616" s="9">
        <f>(MBQ[[#This Row],[HEIGHT (mm)]]+MBQ[[#This Row],[WIDTH (mm)]])/1000*2*MBQ[[#This Row],[QTY TOTAL]]</f>
        <v>0</v>
      </c>
      <c r="U616" s="266">
        <f>MBQ[[#This Row],[MULTIPLIER]]*MBQ[[#This Row],[QTY]]</f>
        <v>0</v>
      </c>
      <c r="V616" s="9">
        <f>MBQ[[#This Row],[HEIGHT (mm)]]/1000*MBQ[[#This Row],[WIDTH (mm)]]/1000*MBQ[[#This Row],[QTY TOTAL]]</f>
        <v>0</v>
      </c>
      <c r="W616" s="287">
        <f>ROUNDUP(MBQ[[#This Row],[HEIGHT (mm)]]/450*MBQ[[#This Row],[QTY]]*2,0)+ROUNDUP(MBQ[[#This Row],[WIDTH (mm)]]/450*MBQ[[#This Row],[QTY]]*2,0)</f>
        <v>0</v>
      </c>
    </row>
    <row r="617" spans="1:23" hidden="1">
      <c r="A617" s="258">
        <v>1</v>
      </c>
      <c r="B617" s="259"/>
      <c r="C617" s="233"/>
      <c r="D617" s="260"/>
      <c r="E617" s="260"/>
      <c r="F617" s="261"/>
      <c r="G617" s="262"/>
      <c r="H617" s="262"/>
      <c r="I617" s="260"/>
      <c r="J617" s="233"/>
      <c r="K617" s="263"/>
      <c r="L617" s="260"/>
      <c r="M617" s="263"/>
      <c r="N617" s="263"/>
      <c r="O617" s="264"/>
      <c r="P617" s="264"/>
      <c r="Q617" s="265"/>
      <c r="R617" s="30">
        <f>MBQ[[#This Row],[HEIGHT (mm)]]*MBQ[[#This Row],[QTY TOTAL]]/1000</f>
        <v>0</v>
      </c>
      <c r="S617" s="30">
        <f>MBQ[[#This Row],[WIDTH (mm)]]*MBQ[[#This Row],[QTY TOTAL]]/1000</f>
        <v>0</v>
      </c>
      <c r="T617" s="9">
        <f>(MBQ[[#This Row],[HEIGHT (mm)]]+MBQ[[#This Row],[WIDTH (mm)]])/1000*2*MBQ[[#This Row],[QTY TOTAL]]</f>
        <v>0</v>
      </c>
      <c r="U617" s="266">
        <f>MBQ[[#This Row],[MULTIPLIER]]*MBQ[[#This Row],[QTY]]</f>
        <v>0</v>
      </c>
      <c r="V617" s="9">
        <f>MBQ[[#This Row],[HEIGHT (mm)]]/1000*MBQ[[#This Row],[WIDTH (mm)]]/1000*MBQ[[#This Row],[QTY TOTAL]]</f>
        <v>0</v>
      </c>
      <c r="W617" s="287">
        <f>ROUNDUP(MBQ[[#This Row],[HEIGHT (mm)]]/450*MBQ[[#This Row],[QTY]]*2,0)+ROUNDUP(MBQ[[#This Row],[WIDTH (mm)]]/450*MBQ[[#This Row],[QTY]]*2,0)</f>
        <v>0</v>
      </c>
    </row>
    <row r="618" spans="1:23" hidden="1">
      <c r="A618" s="258">
        <v>1</v>
      </c>
      <c r="B618" s="259"/>
      <c r="C618" s="233"/>
      <c r="D618" s="260"/>
      <c r="E618" s="260"/>
      <c r="F618" s="261"/>
      <c r="G618" s="262"/>
      <c r="H618" s="262"/>
      <c r="I618" s="260"/>
      <c r="J618" s="233"/>
      <c r="K618" s="263"/>
      <c r="L618" s="260"/>
      <c r="M618" s="263"/>
      <c r="N618" s="263"/>
      <c r="O618" s="264"/>
      <c r="P618" s="264"/>
      <c r="Q618" s="265"/>
      <c r="R618" s="30">
        <f>MBQ[[#This Row],[HEIGHT (mm)]]*MBQ[[#This Row],[QTY TOTAL]]/1000</f>
        <v>0</v>
      </c>
      <c r="S618" s="30">
        <f>MBQ[[#This Row],[WIDTH (mm)]]*MBQ[[#This Row],[QTY TOTAL]]/1000</f>
        <v>0</v>
      </c>
      <c r="T618" s="9">
        <f>(MBQ[[#This Row],[HEIGHT (mm)]]+MBQ[[#This Row],[WIDTH (mm)]])/1000*2*MBQ[[#This Row],[QTY TOTAL]]</f>
        <v>0</v>
      </c>
      <c r="U618" s="266">
        <f>MBQ[[#This Row],[MULTIPLIER]]*MBQ[[#This Row],[QTY]]</f>
        <v>0</v>
      </c>
      <c r="V618" s="9">
        <f>MBQ[[#This Row],[HEIGHT (mm)]]/1000*MBQ[[#This Row],[WIDTH (mm)]]/1000*MBQ[[#This Row],[QTY TOTAL]]</f>
        <v>0</v>
      </c>
      <c r="W618" s="287">
        <f>ROUNDUP(MBQ[[#This Row],[HEIGHT (mm)]]/450*MBQ[[#This Row],[QTY]]*2,0)+ROUNDUP(MBQ[[#This Row],[WIDTH (mm)]]/450*MBQ[[#This Row],[QTY]]*2,0)</f>
        <v>0</v>
      </c>
    </row>
    <row r="619" spans="1:23" hidden="1">
      <c r="A619" s="258">
        <v>1</v>
      </c>
      <c r="B619" s="259"/>
      <c r="C619" s="233"/>
      <c r="D619" s="260"/>
      <c r="E619" s="260"/>
      <c r="F619" s="261"/>
      <c r="G619" s="262"/>
      <c r="H619" s="262"/>
      <c r="I619" s="260"/>
      <c r="J619" s="233"/>
      <c r="K619" s="263"/>
      <c r="L619" s="260"/>
      <c r="M619" s="263"/>
      <c r="N619" s="263"/>
      <c r="O619" s="264"/>
      <c r="P619" s="264"/>
      <c r="Q619" s="265"/>
      <c r="R619" s="30">
        <f>MBQ[[#This Row],[HEIGHT (mm)]]*MBQ[[#This Row],[QTY TOTAL]]/1000</f>
        <v>0</v>
      </c>
      <c r="S619" s="30">
        <f>MBQ[[#This Row],[WIDTH (mm)]]*MBQ[[#This Row],[QTY TOTAL]]/1000</f>
        <v>0</v>
      </c>
      <c r="T619" s="9">
        <f>(MBQ[[#This Row],[HEIGHT (mm)]]+MBQ[[#This Row],[WIDTH (mm)]])/1000*2*MBQ[[#This Row],[QTY TOTAL]]</f>
        <v>0</v>
      </c>
      <c r="U619" s="266">
        <f>MBQ[[#This Row],[MULTIPLIER]]*MBQ[[#This Row],[QTY]]</f>
        <v>0</v>
      </c>
      <c r="V619" s="9">
        <f>MBQ[[#This Row],[HEIGHT (mm)]]/1000*MBQ[[#This Row],[WIDTH (mm)]]/1000*MBQ[[#This Row],[QTY TOTAL]]</f>
        <v>0</v>
      </c>
      <c r="W619" s="287">
        <f>ROUNDUP(MBQ[[#This Row],[HEIGHT (mm)]]/450*MBQ[[#This Row],[QTY]]*2,0)+ROUNDUP(MBQ[[#This Row],[WIDTH (mm)]]/450*MBQ[[#This Row],[QTY]]*2,0)</f>
        <v>0</v>
      </c>
    </row>
    <row r="620" spans="1:23" hidden="1">
      <c r="A620" s="258">
        <v>1</v>
      </c>
      <c r="B620" s="259"/>
      <c r="C620" s="233"/>
      <c r="D620" s="260"/>
      <c r="E620" s="260"/>
      <c r="F620" s="261"/>
      <c r="G620" s="262"/>
      <c r="H620" s="262"/>
      <c r="I620" s="260"/>
      <c r="J620" s="233"/>
      <c r="K620" s="263"/>
      <c r="L620" s="260"/>
      <c r="M620" s="263"/>
      <c r="N620" s="263"/>
      <c r="O620" s="264"/>
      <c r="P620" s="264"/>
      <c r="Q620" s="265"/>
      <c r="R620" s="30">
        <f>MBQ[[#This Row],[HEIGHT (mm)]]*MBQ[[#This Row],[QTY TOTAL]]/1000</f>
        <v>0</v>
      </c>
      <c r="S620" s="30">
        <f>MBQ[[#This Row],[WIDTH (mm)]]*MBQ[[#This Row],[QTY TOTAL]]/1000</f>
        <v>0</v>
      </c>
      <c r="T620" s="9">
        <f>(MBQ[[#This Row],[HEIGHT (mm)]]+MBQ[[#This Row],[WIDTH (mm)]])/1000*2*MBQ[[#This Row],[QTY TOTAL]]</f>
        <v>0</v>
      </c>
      <c r="U620" s="266">
        <f>MBQ[[#This Row],[MULTIPLIER]]*MBQ[[#This Row],[QTY]]</f>
        <v>0</v>
      </c>
      <c r="V620" s="9">
        <f>MBQ[[#This Row],[HEIGHT (mm)]]/1000*MBQ[[#This Row],[WIDTH (mm)]]/1000*MBQ[[#This Row],[QTY TOTAL]]</f>
        <v>0</v>
      </c>
      <c r="W620" s="287">
        <f>ROUNDUP(MBQ[[#This Row],[HEIGHT (mm)]]/450*MBQ[[#This Row],[QTY]]*2,0)+ROUNDUP(MBQ[[#This Row],[WIDTH (mm)]]/450*MBQ[[#This Row],[QTY]]*2,0)</f>
        <v>0</v>
      </c>
    </row>
    <row r="621" spans="1:23" hidden="1">
      <c r="A621" s="258">
        <v>1</v>
      </c>
      <c r="B621" s="259"/>
      <c r="C621" s="233"/>
      <c r="D621" s="260"/>
      <c r="E621" s="260"/>
      <c r="F621" s="261"/>
      <c r="G621" s="262"/>
      <c r="H621" s="262"/>
      <c r="I621" s="260"/>
      <c r="J621" s="233"/>
      <c r="K621" s="263"/>
      <c r="L621" s="260"/>
      <c r="M621" s="263"/>
      <c r="N621" s="263"/>
      <c r="O621" s="264"/>
      <c r="P621" s="264"/>
      <c r="Q621" s="265"/>
      <c r="R621" s="30">
        <f>MBQ[[#This Row],[HEIGHT (mm)]]*MBQ[[#This Row],[QTY TOTAL]]/1000</f>
        <v>0</v>
      </c>
      <c r="S621" s="30">
        <f>MBQ[[#This Row],[WIDTH (mm)]]*MBQ[[#This Row],[QTY TOTAL]]/1000</f>
        <v>0</v>
      </c>
      <c r="T621" s="9">
        <f>(MBQ[[#This Row],[HEIGHT (mm)]]+MBQ[[#This Row],[WIDTH (mm)]])/1000*2*MBQ[[#This Row],[QTY TOTAL]]</f>
        <v>0</v>
      </c>
      <c r="U621" s="266">
        <f>MBQ[[#This Row],[MULTIPLIER]]*MBQ[[#This Row],[QTY]]</f>
        <v>0</v>
      </c>
      <c r="V621" s="9">
        <f>MBQ[[#This Row],[HEIGHT (mm)]]/1000*MBQ[[#This Row],[WIDTH (mm)]]/1000*MBQ[[#This Row],[QTY TOTAL]]</f>
        <v>0</v>
      </c>
      <c r="W621" s="287">
        <f>ROUNDUP(MBQ[[#This Row],[HEIGHT (mm)]]/450*MBQ[[#This Row],[QTY]]*2,0)+ROUNDUP(MBQ[[#This Row],[WIDTH (mm)]]/450*MBQ[[#This Row],[QTY]]*2,0)</f>
        <v>0</v>
      </c>
    </row>
    <row r="622" spans="1:23" hidden="1">
      <c r="A622" s="258">
        <v>1</v>
      </c>
      <c r="B622" s="259"/>
      <c r="C622" s="233"/>
      <c r="D622" s="260"/>
      <c r="E622" s="260"/>
      <c r="F622" s="261"/>
      <c r="G622" s="262"/>
      <c r="H622" s="262"/>
      <c r="I622" s="260"/>
      <c r="J622" s="233"/>
      <c r="K622" s="263"/>
      <c r="L622" s="260"/>
      <c r="M622" s="263"/>
      <c r="N622" s="263"/>
      <c r="O622" s="264"/>
      <c r="P622" s="264"/>
      <c r="Q622" s="265"/>
      <c r="R622" s="30">
        <f>MBQ[[#This Row],[HEIGHT (mm)]]*MBQ[[#This Row],[QTY TOTAL]]/1000</f>
        <v>0</v>
      </c>
      <c r="S622" s="30">
        <f>MBQ[[#This Row],[WIDTH (mm)]]*MBQ[[#This Row],[QTY TOTAL]]/1000</f>
        <v>0</v>
      </c>
      <c r="T622" s="9">
        <f>(MBQ[[#This Row],[HEIGHT (mm)]]+MBQ[[#This Row],[WIDTH (mm)]])/1000*2*MBQ[[#This Row],[QTY TOTAL]]</f>
        <v>0</v>
      </c>
      <c r="U622" s="266">
        <f>MBQ[[#This Row],[MULTIPLIER]]*MBQ[[#This Row],[QTY]]</f>
        <v>0</v>
      </c>
      <c r="V622" s="9">
        <f>MBQ[[#This Row],[HEIGHT (mm)]]/1000*MBQ[[#This Row],[WIDTH (mm)]]/1000*MBQ[[#This Row],[QTY TOTAL]]</f>
        <v>0</v>
      </c>
      <c r="W622" s="287">
        <f>ROUNDUP(MBQ[[#This Row],[HEIGHT (mm)]]/450*MBQ[[#This Row],[QTY]]*2,0)+ROUNDUP(MBQ[[#This Row],[WIDTH (mm)]]/450*MBQ[[#This Row],[QTY]]*2,0)</f>
        <v>0</v>
      </c>
    </row>
    <row r="623" spans="1:23" hidden="1">
      <c r="A623" s="258">
        <v>1</v>
      </c>
      <c r="B623" s="259"/>
      <c r="C623" s="233"/>
      <c r="D623" s="260"/>
      <c r="E623" s="260"/>
      <c r="F623" s="261"/>
      <c r="G623" s="262"/>
      <c r="H623" s="262"/>
      <c r="I623" s="260"/>
      <c r="J623" s="233"/>
      <c r="K623" s="263"/>
      <c r="L623" s="260"/>
      <c r="M623" s="263"/>
      <c r="N623" s="263"/>
      <c r="O623" s="264"/>
      <c r="P623" s="264"/>
      <c r="Q623" s="265"/>
      <c r="R623" s="30">
        <f>MBQ[[#This Row],[HEIGHT (mm)]]*MBQ[[#This Row],[QTY TOTAL]]/1000</f>
        <v>0</v>
      </c>
      <c r="S623" s="30">
        <f>MBQ[[#This Row],[WIDTH (mm)]]*MBQ[[#This Row],[QTY TOTAL]]/1000</f>
        <v>0</v>
      </c>
      <c r="T623" s="9">
        <f>(MBQ[[#This Row],[HEIGHT (mm)]]+MBQ[[#This Row],[WIDTH (mm)]])/1000*2*MBQ[[#This Row],[QTY TOTAL]]</f>
        <v>0</v>
      </c>
      <c r="U623" s="266">
        <f>MBQ[[#This Row],[MULTIPLIER]]*MBQ[[#This Row],[QTY]]</f>
        <v>0</v>
      </c>
      <c r="V623" s="9">
        <f>MBQ[[#This Row],[HEIGHT (mm)]]/1000*MBQ[[#This Row],[WIDTH (mm)]]/1000*MBQ[[#This Row],[QTY TOTAL]]</f>
        <v>0</v>
      </c>
      <c r="W623" s="287">
        <f>ROUNDUP(MBQ[[#This Row],[HEIGHT (mm)]]/450*MBQ[[#This Row],[QTY]]*2,0)+ROUNDUP(MBQ[[#This Row],[WIDTH (mm)]]/450*MBQ[[#This Row],[QTY]]*2,0)</f>
        <v>0</v>
      </c>
    </row>
    <row r="624" spans="1:23" hidden="1">
      <c r="A624" s="258">
        <v>1</v>
      </c>
      <c r="B624" s="259"/>
      <c r="C624" s="233"/>
      <c r="D624" s="260"/>
      <c r="E624" s="260"/>
      <c r="F624" s="261"/>
      <c r="G624" s="262"/>
      <c r="H624" s="262"/>
      <c r="I624" s="260"/>
      <c r="J624" s="233"/>
      <c r="K624" s="263"/>
      <c r="L624" s="260"/>
      <c r="M624" s="263"/>
      <c r="N624" s="263"/>
      <c r="O624" s="264"/>
      <c r="P624" s="264"/>
      <c r="Q624" s="265"/>
      <c r="R624" s="30">
        <f>MBQ[[#This Row],[HEIGHT (mm)]]*MBQ[[#This Row],[QTY TOTAL]]/1000</f>
        <v>0</v>
      </c>
      <c r="S624" s="30">
        <f>MBQ[[#This Row],[WIDTH (mm)]]*MBQ[[#This Row],[QTY TOTAL]]/1000</f>
        <v>0</v>
      </c>
      <c r="T624" s="9">
        <f>(MBQ[[#This Row],[HEIGHT (mm)]]+MBQ[[#This Row],[WIDTH (mm)]])/1000*2*MBQ[[#This Row],[QTY TOTAL]]</f>
        <v>0</v>
      </c>
      <c r="U624" s="266">
        <f>MBQ[[#This Row],[MULTIPLIER]]*MBQ[[#This Row],[QTY]]</f>
        <v>0</v>
      </c>
      <c r="V624" s="9">
        <f>MBQ[[#This Row],[HEIGHT (mm)]]/1000*MBQ[[#This Row],[WIDTH (mm)]]/1000*MBQ[[#This Row],[QTY TOTAL]]</f>
        <v>0</v>
      </c>
      <c r="W624" s="287">
        <f>ROUNDUP(MBQ[[#This Row],[HEIGHT (mm)]]/450*MBQ[[#This Row],[QTY]]*2,0)+ROUNDUP(MBQ[[#This Row],[WIDTH (mm)]]/450*MBQ[[#This Row],[QTY]]*2,0)</f>
        <v>0</v>
      </c>
    </row>
    <row r="625" spans="1:23" hidden="1">
      <c r="A625" s="258">
        <v>1</v>
      </c>
      <c r="B625" s="259"/>
      <c r="C625" s="233"/>
      <c r="D625" s="260"/>
      <c r="E625" s="260"/>
      <c r="F625" s="261"/>
      <c r="G625" s="262"/>
      <c r="H625" s="262"/>
      <c r="I625" s="260"/>
      <c r="J625" s="233"/>
      <c r="K625" s="263"/>
      <c r="L625" s="260"/>
      <c r="M625" s="263"/>
      <c r="N625" s="263"/>
      <c r="O625" s="264"/>
      <c r="P625" s="264"/>
      <c r="Q625" s="265"/>
      <c r="R625" s="30">
        <f>MBQ[[#This Row],[HEIGHT (mm)]]*MBQ[[#This Row],[QTY TOTAL]]/1000</f>
        <v>0</v>
      </c>
      <c r="S625" s="30">
        <f>MBQ[[#This Row],[WIDTH (mm)]]*MBQ[[#This Row],[QTY TOTAL]]/1000</f>
        <v>0</v>
      </c>
      <c r="T625" s="9">
        <f>(MBQ[[#This Row],[HEIGHT (mm)]]+MBQ[[#This Row],[WIDTH (mm)]])/1000*2*MBQ[[#This Row],[QTY TOTAL]]</f>
        <v>0</v>
      </c>
      <c r="U625" s="266">
        <f>MBQ[[#This Row],[MULTIPLIER]]*MBQ[[#This Row],[QTY]]</f>
        <v>0</v>
      </c>
      <c r="V625" s="9">
        <f>MBQ[[#This Row],[HEIGHT (mm)]]/1000*MBQ[[#This Row],[WIDTH (mm)]]/1000*MBQ[[#This Row],[QTY TOTAL]]</f>
        <v>0</v>
      </c>
      <c r="W625" s="287">
        <f>ROUNDUP(MBQ[[#This Row],[HEIGHT (mm)]]/450*MBQ[[#This Row],[QTY]]*2,0)+ROUNDUP(MBQ[[#This Row],[WIDTH (mm)]]/450*MBQ[[#This Row],[QTY]]*2,0)</f>
        <v>0</v>
      </c>
    </row>
    <row r="626" spans="1:23" hidden="1">
      <c r="A626" s="258">
        <v>1</v>
      </c>
      <c r="B626" s="259"/>
      <c r="C626" s="233"/>
      <c r="D626" s="260"/>
      <c r="E626" s="260"/>
      <c r="F626" s="261"/>
      <c r="G626" s="262"/>
      <c r="H626" s="262"/>
      <c r="I626" s="260"/>
      <c r="J626" s="233"/>
      <c r="K626" s="263"/>
      <c r="L626" s="260"/>
      <c r="M626" s="263"/>
      <c r="N626" s="263"/>
      <c r="O626" s="264"/>
      <c r="P626" s="264"/>
      <c r="Q626" s="265"/>
      <c r="R626" s="30">
        <f>MBQ[[#This Row],[HEIGHT (mm)]]*MBQ[[#This Row],[QTY TOTAL]]/1000</f>
        <v>0</v>
      </c>
      <c r="S626" s="30">
        <f>MBQ[[#This Row],[WIDTH (mm)]]*MBQ[[#This Row],[QTY TOTAL]]/1000</f>
        <v>0</v>
      </c>
      <c r="T626" s="9">
        <f>(MBQ[[#This Row],[HEIGHT (mm)]]+MBQ[[#This Row],[WIDTH (mm)]])/1000*2*MBQ[[#This Row],[QTY TOTAL]]</f>
        <v>0</v>
      </c>
      <c r="U626" s="266">
        <f>MBQ[[#This Row],[MULTIPLIER]]*MBQ[[#This Row],[QTY]]</f>
        <v>0</v>
      </c>
      <c r="V626" s="9">
        <f>MBQ[[#This Row],[HEIGHT (mm)]]/1000*MBQ[[#This Row],[WIDTH (mm)]]/1000*MBQ[[#This Row],[QTY TOTAL]]</f>
        <v>0</v>
      </c>
      <c r="W626" s="287">
        <f>ROUNDUP(MBQ[[#This Row],[HEIGHT (mm)]]/450*MBQ[[#This Row],[QTY]]*2,0)+ROUNDUP(MBQ[[#This Row],[WIDTH (mm)]]/450*MBQ[[#This Row],[QTY]]*2,0)</f>
        <v>0</v>
      </c>
    </row>
    <row r="627" spans="1:23" hidden="1">
      <c r="A627" s="258">
        <v>1</v>
      </c>
      <c r="B627" s="259"/>
      <c r="C627" s="233"/>
      <c r="D627" s="260"/>
      <c r="E627" s="260"/>
      <c r="F627" s="261"/>
      <c r="G627" s="262"/>
      <c r="H627" s="262"/>
      <c r="I627" s="260"/>
      <c r="J627" s="233"/>
      <c r="K627" s="263"/>
      <c r="L627" s="260"/>
      <c r="M627" s="263"/>
      <c r="N627" s="263"/>
      <c r="O627" s="264"/>
      <c r="P627" s="264"/>
      <c r="Q627" s="265"/>
      <c r="R627" s="30">
        <f>MBQ[[#This Row],[HEIGHT (mm)]]*MBQ[[#This Row],[QTY TOTAL]]/1000</f>
        <v>0</v>
      </c>
      <c r="S627" s="30">
        <f>MBQ[[#This Row],[WIDTH (mm)]]*MBQ[[#This Row],[QTY TOTAL]]/1000</f>
        <v>0</v>
      </c>
      <c r="T627" s="9">
        <f>(MBQ[[#This Row],[HEIGHT (mm)]]+MBQ[[#This Row],[WIDTH (mm)]])/1000*2*MBQ[[#This Row],[QTY TOTAL]]</f>
        <v>0</v>
      </c>
      <c r="U627" s="266">
        <f>MBQ[[#This Row],[MULTIPLIER]]*MBQ[[#This Row],[QTY]]</f>
        <v>0</v>
      </c>
      <c r="V627" s="9">
        <f>MBQ[[#This Row],[HEIGHT (mm)]]/1000*MBQ[[#This Row],[WIDTH (mm)]]/1000*MBQ[[#This Row],[QTY TOTAL]]</f>
        <v>0</v>
      </c>
      <c r="W627" s="287">
        <f>ROUNDUP(MBQ[[#This Row],[HEIGHT (mm)]]/450*MBQ[[#This Row],[QTY]]*2,0)+ROUNDUP(MBQ[[#This Row],[WIDTH (mm)]]/450*MBQ[[#This Row],[QTY]]*2,0)</f>
        <v>0</v>
      </c>
    </row>
    <row r="628" spans="1:23" hidden="1">
      <c r="A628" s="258">
        <v>1</v>
      </c>
      <c r="B628" s="259"/>
      <c r="C628" s="233"/>
      <c r="D628" s="260"/>
      <c r="E628" s="260"/>
      <c r="F628" s="261"/>
      <c r="G628" s="262"/>
      <c r="H628" s="262"/>
      <c r="I628" s="260"/>
      <c r="J628" s="233"/>
      <c r="K628" s="263"/>
      <c r="L628" s="260"/>
      <c r="M628" s="263"/>
      <c r="N628" s="263"/>
      <c r="O628" s="264"/>
      <c r="P628" s="264"/>
      <c r="Q628" s="265"/>
      <c r="R628" s="30">
        <f>MBQ[[#This Row],[HEIGHT (mm)]]*MBQ[[#This Row],[QTY TOTAL]]/1000</f>
        <v>0</v>
      </c>
      <c r="S628" s="30">
        <f>MBQ[[#This Row],[WIDTH (mm)]]*MBQ[[#This Row],[QTY TOTAL]]/1000</f>
        <v>0</v>
      </c>
      <c r="T628" s="9">
        <f>(MBQ[[#This Row],[HEIGHT (mm)]]+MBQ[[#This Row],[WIDTH (mm)]])/1000*2*MBQ[[#This Row],[QTY TOTAL]]</f>
        <v>0</v>
      </c>
      <c r="U628" s="266">
        <f>MBQ[[#This Row],[MULTIPLIER]]*MBQ[[#This Row],[QTY]]</f>
        <v>0</v>
      </c>
      <c r="V628" s="9">
        <f>MBQ[[#This Row],[HEIGHT (mm)]]/1000*MBQ[[#This Row],[WIDTH (mm)]]/1000*MBQ[[#This Row],[QTY TOTAL]]</f>
        <v>0</v>
      </c>
      <c r="W628" s="287">
        <f>ROUNDUP(MBQ[[#This Row],[HEIGHT (mm)]]/450*MBQ[[#This Row],[QTY]]*2,0)+ROUNDUP(MBQ[[#This Row],[WIDTH (mm)]]/450*MBQ[[#This Row],[QTY]]*2,0)</f>
        <v>0</v>
      </c>
    </row>
    <row r="629" spans="1:23" hidden="1">
      <c r="A629" s="258">
        <v>1</v>
      </c>
      <c r="B629" s="259"/>
      <c r="C629" s="233"/>
      <c r="D629" s="260"/>
      <c r="E629" s="260"/>
      <c r="F629" s="261"/>
      <c r="G629" s="262"/>
      <c r="H629" s="262"/>
      <c r="I629" s="260"/>
      <c r="J629" s="233"/>
      <c r="K629" s="263"/>
      <c r="L629" s="260"/>
      <c r="M629" s="263"/>
      <c r="N629" s="263"/>
      <c r="O629" s="264"/>
      <c r="P629" s="264"/>
      <c r="Q629" s="265"/>
      <c r="R629" s="30">
        <f>MBQ[[#This Row],[HEIGHT (mm)]]*MBQ[[#This Row],[QTY TOTAL]]/1000</f>
        <v>0</v>
      </c>
      <c r="S629" s="30">
        <f>MBQ[[#This Row],[WIDTH (mm)]]*MBQ[[#This Row],[QTY TOTAL]]/1000</f>
        <v>0</v>
      </c>
      <c r="T629" s="9">
        <f>(MBQ[[#This Row],[HEIGHT (mm)]]+MBQ[[#This Row],[WIDTH (mm)]])/1000*2*MBQ[[#This Row],[QTY TOTAL]]</f>
        <v>0</v>
      </c>
      <c r="U629" s="266">
        <f>MBQ[[#This Row],[MULTIPLIER]]*MBQ[[#This Row],[QTY]]</f>
        <v>0</v>
      </c>
      <c r="V629" s="9">
        <f>MBQ[[#This Row],[HEIGHT (mm)]]/1000*MBQ[[#This Row],[WIDTH (mm)]]/1000*MBQ[[#This Row],[QTY TOTAL]]</f>
        <v>0</v>
      </c>
      <c r="W629" s="287">
        <f>ROUNDUP(MBQ[[#This Row],[HEIGHT (mm)]]/450*MBQ[[#This Row],[QTY]]*2,0)+ROUNDUP(MBQ[[#This Row],[WIDTH (mm)]]/450*MBQ[[#This Row],[QTY]]*2,0)</f>
        <v>0</v>
      </c>
    </row>
    <row r="630" spans="1:23" hidden="1">
      <c r="A630" s="258">
        <v>1</v>
      </c>
      <c r="B630" s="259"/>
      <c r="C630" s="233"/>
      <c r="D630" s="260"/>
      <c r="E630" s="260"/>
      <c r="F630" s="261"/>
      <c r="G630" s="262"/>
      <c r="H630" s="262"/>
      <c r="I630" s="260"/>
      <c r="J630" s="233"/>
      <c r="K630" s="263"/>
      <c r="L630" s="260"/>
      <c r="M630" s="263"/>
      <c r="N630" s="263"/>
      <c r="O630" s="264"/>
      <c r="P630" s="264"/>
      <c r="Q630" s="265"/>
      <c r="R630" s="30">
        <f>MBQ[[#This Row],[HEIGHT (mm)]]*MBQ[[#This Row],[QTY TOTAL]]/1000</f>
        <v>0</v>
      </c>
      <c r="S630" s="30">
        <f>MBQ[[#This Row],[WIDTH (mm)]]*MBQ[[#This Row],[QTY TOTAL]]/1000</f>
        <v>0</v>
      </c>
      <c r="T630" s="9">
        <f>(MBQ[[#This Row],[HEIGHT (mm)]]+MBQ[[#This Row],[WIDTH (mm)]])/1000*2*MBQ[[#This Row],[QTY TOTAL]]</f>
        <v>0</v>
      </c>
      <c r="U630" s="266">
        <f>MBQ[[#This Row],[MULTIPLIER]]*MBQ[[#This Row],[QTY]]</f>
        <v>0</v>
      </c>
      <c r="V630" s="9">
        <f>MBQ[[#This Row],[HEIGHT (mm)]]/1000*MBQ[[#This Row],[WIDTH (mm)]]/1000*MBQ[[#This Row],[QTY TOTAL]]</f>
        <v>0</v>
      </c>
      <c r="W630" s="287">
        <f>ROUNDUP(MBQ[[#This Row],[HEIGHT (mm)]]/450*MBQ[[#This Row],[QTY]]*2,0)+ROUNDUP(MBQ[[#This Row],[WIDTH (mm)]]/450*MBQ[[#This Row],[QTY]]*2,0)</f>
        <v>0</v>
      </c>
    </row>
    <row r="631" spans="1:23" hidden="1">
      <c r="A631" s="258">
        <v>1</v>
      </c>
      <c r="B631" s="259"/>
      <c r="C631" s="233"/>
      <c r="D631" s="260"/>
      <c r="E631" s="260"/>
      <c r="F631" s="261"/>
      <c r="G631" s="262"/>
      <c r="H631" s="262"/>
      <c r="I631" s="260"/>
      <c r="J631" s="233"/>
      <c r="K631" s="263"/>
      <c r="L631" s="260"/>
      <c r="M631" s="263"/>
      <c r="N631" s="263"/>
      <c r="O631" s="264"/>
      <c r="P631" s="264"/>
      <c r="Q631" s="265"/>
      <c r="R631" s="30">
        <f>MBQ[[#This Row],[HEIGHT (mm)]]*MBQ[[#This Row],[QTY TOTAL]]/1000</f>
        <v>0</v>
      </c>
      <c r="S631" s="30">
        <f>MBQ[[#This Row],[WIDTH (mm)]]*MBQ[[#This Row],[QTY TOTAL]]/1000</f>
        <v>0</v>
      </c>
      <c r="T631" s="9">
        <f>(MBQ[[#This Row],[HEIGHT (mm)]]+MBQ[[#This Row],[WIDTH (mm)]])/1000*2*MBQ[[#This Row],[QTY TOTAL]]</f>
        <v>0</v>
      </c>
      <c r="U631" s="266">
        <f>MBQ[[#This Row],[MULTIPLIER]]*MBQ[[#This Row],[QTY]]</f>
        <v>0</v>
      </c>
      <c r="V631" s="9">
        <f>MBQ[[#This Row],[HEIGHT (mm)]]/1000*MBQ[[#This Row],[WIDTH (mm)]]/1000*MBQ[[#This Row],[QTY TOTAL]]</f>
        <v>0</v>
      </c>
      <c r="W631" s="287">
        <f>ROUNDUP(MBQ[[#This Row],[HEIGHT (mm)]]/450*MBQ[[#This Row],[QTY]]*2,0)+ROUNDUP(MBQ[[#This Row],[WIDTH (mm)]]/450*MBQ[[#This Row],[QTY]]*2,0)</f>
        <v>0</v>
      </c>
    </row>
    <row r="632" spans="1:23" hidden="1">
      <c r="A632" s="258">
        <v>1</v>
      </c>
      <c r="B632" s="259"/>
      <c r="C632" s="233"/>
      <c r="D632" s="260"/>
      <c r="E632" s="260"/>
      <c r="F632" s="261"/>
      <c r="G632" s="262"/>
      <c r="H632" s="262"/>
      <c r="I632" s="260"/>
      <c r="J632" s="233"/>
      <c r="K632" s="263"/>
      <c r="L632" s="260"/>
      <c r="M632" s="263"/>
      <c r="N632" s="263"/>
      <c r="O632" s="264"/>
      <c r="P632" s="264"/>
      <c r="Q632" s="265"/>
      <c r="R632" s="30">
        <f>MBQ[[#This Row],[HEIGHT (mm)]]*MBQ[[#This Row],[QTY TOTAL]]/1000</f>
        <v>0</v>
      </c>
      <c r="S632" s="30">
        <f>MBQ[[#This Row],[WIDTH (mm)]]*MBQ[[#This Row],[QTY TOTAL]]/1000</f>
        <v>0</v>
      </c>
      <c r="T632" s="9">
        <f>(MBQ[[#This Row],[HEIGHT (mm)]]+MBQ[[#This Row],[WIDTH (mm)]])/1000*2*MBQ[[#This Row],[QTY TOTAL]]</f>
        <v>0</v>
      </c>
      <c r="U632" s="266">
        <f>MBQ[[#This Row],[MULTIPLIER]]*MBQ[[#This Row],[QTY]]</f>
        <v>0</v>
      </c>
      <c r="V632" s="9">
        <f>MBQ[[#This Row],[HEIGHT (mm)]]/1000*MBQ[[#This Row],[WIDTH (mm)]]/1000*MBQ[[#This Row],[QTY TOTAL]]</f>
        <v>0</v>
      </c>
      <c r="W632" s="287">
        <f>ROUNDUP(MBQ[[#This Row],[HEIGHT (mm)]]/450*MBQ[[#This Row],[QTY]]*2,0)+ROUNDUP(MBQ[[#This Row],[WIDTH (mm)]]/450*MBQ[[#This Row],[QTY]]*2,0)</f>
        <v>0</v>
      </c>
    </row>
    <row r="633" spans="1:23" hidden="1">
      <c r="A633" s="258">
        <v>1</v>
      </c>
      <c r="B633" s="259"/>
      <c r="C633" s="233"/>
      <c r="D633" s="260"/>
      <c r="E633" s="260"/>
      <c r="F633" s="261"/>
      <c r="G633" s="262"/>
      <c r="H633" s="262"/>
      <c r="I633" s="260"/>
      <c r="J633" s="233"/>
      <c r="K633" s="263"/>
      <c r="L633" s="260"/>
      <c r="M633" s="263"/>
      <c r="N633" s="263"/>
      <c r="O633" s="264"/>
      <c r="P633" s="264"/>
      <c r="Q633" s="265"/>
      <c r="R633" s="30">
        <f>MBQ[[#This Row],[HEIGHT (mm)]]*MBQ[[#This Row],[QTY TOTAL]]/1000</f>
        <v>0</v>
      </c>
      <c r="S633" s="30">
        <f>MBQ[[#This Row],[WIDTH (mm)]]*MBQ[[#This Row],[QTY TOTAL]]/1000</f>
        <v>0</v>
      </c>
      <c r="T633" s="9">
        <f>(MBQ[[#This Row],[HEIGHT (mm)]]+MBQ[[#This Row],[WIDTH (mm)]])/1000*2*MBQ[[#This Row],[QTY TOTAL]]</f>
        <v>0</v>
      </c>
      <c r="U633" s="266">
        <f>MBQ[[#This Row],[MULTIPLIER]]*MBQ[[#This Row],[QTY]]</f>
        <v>0</v>
      </c>
      <c r="V633" s="9">
        <f>MBQ[[#This Row],[HEIGHT (mm)]]/1000*MBQ[[#This Row],[WIDTH (mm)]]/1000*MBQ[[#This Row],[QTY TOTAL]]</f>
        <v>0</v>
      </c>
      <c r="W633" s="287">
        <f>ROUNDUP(MBQ[[#This Row],[HEIGHT (mm)]]/450*MBQ[[#This Row],[QTY]]*2,0)+ROUNDUP(MBQ[[#This Row],[WIDTH (mm)]]/450*MBQ[[#This Row],[QTY]]*2,0)</f>
        <v>0</v>
      </c>
    </row>
    <row r="634" spans="1:23" hidden="1">
      <c r="A634" s="258">
        <v>1</v>
      </c>
      <c r="B634" s="259"/>
      <c r="C634" s="233"/>
      <c r="D634" s="260"/>
      <c r="E634" s="260"/>
      <c r="F634" s="261"/>
      <c r="G634" s="262"/>
      <c r="H634" s="262"/>
      <c r="I634" s="260"/>
      <c r="J634" s="233"/>
      <c r="K634" s="263"/>
      <c r="L634" s="260"/>
      <c r="M634" s="263"/>
      <c r="N634" s="263"/>
      <c r="O634" s="264"/>
      <c r="P634" s="264"/>
      <c r="Q634" s="265"/>
      <c r="R634" s="30">
        <f>MBQ[[#This Row],[HEIGHT (mm)]]*MBQ[[#This Row],[QTY TOTAL]]/1000</f>
        <v>0</v>
      </c>
      <c r="S634" s="30">
        <f>MBQ[[#This Row],[WIDTH (mm)]]*MBQ[[#This Row],[QTY TOTAL]]/1000</f>
        <v>0</v>
      </c>
      <c r="T634" s="9">
        <f>(MBQ[[#This Row],[HEIGHT (mm)]]+MBQ[[#This Row],[WIDTH (mm)]])/1000*2*MBQ[[#This Row],[QTY TOTAL]]</f>
        <v>0</v>
      </c>
      <c r="U634" s="266">
        <f>MBQ[[#This Row],[MULTIPLIER]]*MBQ[[#This Row],[QTY]]</f>
        <v>0</v>
      </c>
      <c r="V634" s="9">
        <f>MBQ[[#This Row],[HEIGHT (mm)]]/1000*MBQ[[#This Row],[WIDTH (mm)]]/1000*MBQ[[#This Row],[QTY TOTAL]]</f>
        <v>0</v>
      </c>
      <c r="W634" s="287">
        <f>ROUNDUP(MBQ[[#This Row],[HEIGHT (mm)]]/450*MBQ[[#This Row],[QTY]]*2,0)+ROUNDUP(MBQ[[#This Row],[WIDTH (mm)]]/450*MBQ[[#This Row],[QTY]]*2,0)</f>
        <v>0</v>
      </c>
    </row>
    <row r="635" spans="1:23" hidden="1">
      <c r="A635" s="258">
        <v>1</v>
      </c>
      <c r="B635" s="259"/>
      <c r="C635" s="233"/>
      <c r="D635" s="260"/>
      <c r="E635" s="260"/>
      <c r="F635" s="261"/>
      <c r="G635" s="262"/>
      <c r="H635" s="262"/>
      <c r="I635" s="260"/>
      <c r="J635" s="233"/>
      <c r="K635" s="263"/>
      <c r="L635" s="260"/>
      <c r="M635" s="263"/>
      <c r="N635" s="263"/>
      <c r="O635" s="264"/>
      <c r="P635" s="264"/>
      <c r="Q635" s="265"/>
      <c r="R635" s="30">
        <f>MBQ[[#This Row],[HEIGHT (mm)]]*MBQ[[#This Row],[QTY TOTAL]]/1000</f>
        <v>0</v>
      </c>
      <c r="S635" s="30">
        <f>MBQ[[#This Row],[WIDTH (mm)]]*MBQ[[#This Row],[QTY TOTAL]]/1000</f>
        <v>0</v>
      </c>
      <c r="T635" s="9">
        <f>(MBQ[[#This Row],[HEIGHT (mm)]]+MBQ[[#This Row],[WIDTH (mm)]])/1000*2*MBQ[[#This Row],[QTY TOTAL]]</f>
        <v>0</v>
      </c>
      <c r="U635" s="266">
        <f>MBQ[[#This Row],[MULTIPLIER]]*MBQ[[#This Row],[QTY]]</f>
        <v>0</v>
      </c>
      <c r="V635" s="9">
        <f>MBQ[[#This Row],[HEIGHT (mm)]]/1000*MBQ[[#This Row],[WIDTH (mm)]]/1000*MBQ[[#This Row],[QTY TOTAL]]</f>
        <v>0</v>
      </c>
      <c r="W635" s="287">
        <f>ROUNDUP(MBQ[[#This Row],[HEIGHT (mm)]]/450*MBQ[[#This Row],[QTY]]*2,0)+ROUNDUP(MBQ[[#This Row],[WIDTH (mm)]]/450*MBQ[[#This Row],[QTY]]*2,0)</f>
        <v>0</v>
      </c>
    </row>
    <row r="636" spans="1:23" hidden="1">
      <c r="A636" s="258">
        <v>1</v>
      </c>
      <c r="B636" s="259"/>
      <c r="C636" s="233"/>
      <c r="D636" s="260"/>
      <c r="E636" s="260"/>
      <c r="F636" s="261"/>
      <c r="G636" s="262"/>
      <c r="H636" s="262"/>
      <c r="I636" s="260"/>
      <c r="J636" s="233"/>
      <c r="K636" s="263"/>
      <c r="L636" s="260"/>
      <c r="M636" s="263"/>
      <c r="N636" s="263"/>
      <c r="O636" s="264"/>
      <c r="P636" s="264"/>
      <c r="Q636" s="265"/>
      <c r="R636" s="30">
        <f>MBQ[[#This Row],[HEIGHT (mm)]]*MBQ[[#This Row],[QTY TOTAL]]/1000</f>
        <v>0</v>
      </c>
      <c r="S636" s="30">
        <f>MBQ[[#This Row],[WIDTH (mm)]]*MBQ[[#This Row],[QTY TOTAL]]/1000</f>
        <v>0</v>
      </c>
      <c r="T636" s="9">
        <f>(MBQ[[#This Row],[HEIGHT (mm)]]+MBQ[[#This Row],[WIDTH (mm)]])/1000*2*MBQ[[#This Row],[QTY TOTAL]]</f>
        <v>0</v>
      </c>
      <c r="U636" s="266">
        <f>MBQ[[#This Row],[MULTIPLIER]]*MBQ[[#This Row],[QTY]]</f>
        <v>0</v>
      </c>
      <c r="V636" s="9">
        <f>MBQ[[#This Row],[HEIGHT (mm)]]/1000*MBQ[[#This Row],[WIDTH (mm)]]/1000*MBQ[[#This Row],[QTY TOTAL]]</f>
        <v>0</v>
      </c>
      <c r="W636" s="287">
        <f>ROUNDUP(MBQ[[#This Row],[HEIGHT (mm)]]/450*MBQ[[#This Row],[QTY]]*2,0)+ROUNDUP(MBQ[[#This Row],[WIDTH (mm)]]/450*MBQ[[#This Row],[QTY]]*2,0)</f>
        <v>0</v>
      </c>
    </row>
    <row r="637" spans="1:23" hidden="1">
      <c r="A637" s="258">
        <v>1</v>
      </c>
      <c r="B637" s="259"/>
      <c r="C637" s="233"/>
      <c r="D637" s="260"/>
      <c r="E637" s="260"/>
      <c r="F637" s="261"/>
      <c r="G637" s="262"/>
      <c r="H637" s="262"/>
      <c r="I637" s="260"/>
      <c r="J637" s="233"/>
      <c r="K637" s="263"/>
      <c r="L637" s="260"/>
      <c r="M637" s="263"/>
      <c r="N637" s="263"/>
      <c r="O637" s="264"/>
      <c r="P637" s="264"/>
      <c r="Q637" s="265"/>
      <c r="R637" s="30">
        <f>MBQ[[#This Row],[HEIGHT (mm)]]*MBQ[[#This Row],[QTY TOTAL]]/1000</f>
        <v>0</v>
      </c>
      <c r="S637" s="30">
        <f>MBQ[[#This Row],[WIDTH (mm)]]*MBQ[[#This Row],[QTY TOTAL]]/1000</f>
        <v>0</v>
      </c>
      <c r="T637" s="9">
        <f>(MBQ[[#This Row],[HEIGHT (mm)]]+MBQ[[#This Row],[WIDTH (mm)]])/1000*2*MBQ[[#This Row],[QTY TOTAL]]</f>
        <v>0</v>
      </c>
      <c r="U637" s="266">
        <f>MBQ[[#This Row],[MULTIPLIER]]*MBQ[[#This Row],[QTY]]</f>
        <v>0</v>
      </c>
      <c r="V637" s="9">
        <f>MBQ[[#This Row],[HEIGHT (mm)]]/1000*MBQ[[#This Row],[WIDTH (mm)]]/1000*MBQ[[#This Row],[QTY TOTAL]]</f>
        <v>0</v>
      </c>
      <c r="W637" s="287">
        <f>ROUNDUP(MBQ[[#This Row],[HEIGHT (mm)]]/450*MBQ[[#This Row],[QTY]]*2,0)+ROUNDUP(MBQ[[#This Row],[WIDTH (mm)]]/450*MBQ[[#This Row],[QTY]]*2,0)</f>
        <v>0</v>
      </c>
    </row>
    <row r="638" spans="1:23" hidden="1">
      <c r="A638" s="258">
        <v>1</v>
      </c>
      <c r="B638" s="259"/>
      <c r="C638" s="233"/>
      <c r="D638" s="260"/>
      <c r="E638" s="260"/>
      <c r="F638" s="261"/>
      <c r="G638" s="262"/>
      <c r="H638" s="262"/>
      <c r="I638" s="260"/>
      <c r="J638" s="233"/>
      <c r="K638" s="263"/>
      <c r="L638" s="260"/>
      <c r="M638" s="263"/>
      <c r="N638" s="263"/>
      <c r="O638" s="264"/>
      <c r="P638" s="264"/>
      <c r="Q638" s="265"/>
      <c r="R638" s="30">
        <f>MBQ[[#This Row],[HEIGHT (mm)]]*MBQ[[#This Row],[QTY TOTAL]]/1000</f>
        <v>0</v>
      </c>
      <c r="S638" s="30">
        <f>MBQ[[#This Row],[WIDTH (mm)]]*MBQ[[#This Row],[QTY TOTAL]]/1000</f>
        <v>0</v>
      </c>
      <c r="T638" s="9">
        <f>(MBQ[[#This Row],[HEIGHT (mm)]]+MBQ[[#This Row],[WIDTH (mm)]])/1000*2*MBQ[[#This Row],[QTY TOTAL]]</f>
        <v>0</v>
      </c>
      <c r="U638" s="266">
        <f>MBQ[[#This Row],[MULTIPLIER]]*MBQ[[#This Row],[QTY]]</f>
        <v>0</v>
      </c>
      <c r="V638" s="9">
        <f>MBQ[[#This Row],[HEIGHT (mm)]]/1000*MBQ[[#This Row],[WIDTH (mm)]]/1000*MBQ[[#This Row],[QTY TOTAL]]</f>
        <v>0</v>
      </c>
      <c r="W638" s="287">
        <f>ROUNDUP(MBQ[[#This Row],[HEIGHT (mm)]]/450*MBQ[[#This Row],[QTY]]*2,0)+ROUNDUP(MBQ[[#This Row],[WIDTH (mm)]]/450*MBQ[[#This Row],[QTY]]*2,0)</f>
        <v>0</v>
      </c>
    </row>
    <row r="639" spans="1:23" hidden="1">
      <c r="A639" s="258">
        <v>1</v>
      </c>
      <c r="B639" s="259"/>
      <c r="C639" s="233"/>
      <c r="D639" s="260"/>
      <c r="E639" s="260"/>
      <c r="F639" s="261"/>
      <c r="G639" s="262"/>
      <c r="H639" s="262"/>
      <c r="I639" s="260"/>
      <c r="J639" s="233"/>
      <c r="K639" s="263"/>
      <c r="L639" s="260"/>
      <c r="M639" s="263"/>
      <c r="N639" s="263"/>
      <c r="O639" s="264"/>
      <c r="P639" s="264"/>
      <c r="Q639" s="265"/>
      <c r="R639" s="30">
        <f>MBQ[[#This Row],[HEIGHT (mm)]]*MBQ[[#This Row],[QTY TOTAL]]/1000</f>
        <v>0</v>
      </c>
      <c r="S639" s="30">
        <f>MBQ[[#This Row],[WIDTH (mm)]]*MBQ[[#This Row],[QTY TOTAL]]/1000</f>
        <v>0</v>
      </c>
      <c r="T639" s="9">
        <f>(MBQ[[#This Row],[HEIGHT (mm)]]+MBQ[[#This Row],[WIDTH (mm)]])/1000*2*MBQ[[#This Row],[QTY TOTAL]]</f>
        <v>0</v>
      </c>
      <c r="U639" s="266">
        <f>MBQ[[#This Row],[MULTIPLIER]]*MBQ[[#This Row],[QTY]]</f>
        <v>0</v>
      </c>
      <c r="V639" s="9">
        <f>MBQ[[#This Row],[HEIGHT (mm)]]/1000*MBQ[[#This Row],[WIDTH (mm)]]/1000*MBQ[[#This Row],[QTY TOTAL]]</f>
        <v>0</v>
      </c>
      <c r="W639" s="287">
        <f>ROUNDUP(MBQ[[#This Row],[HEIGHT (mm)]]/450*MBQ[[#This Row],[QTY]]*2,0)+ROUNDUP(MBQ[[#This Row],[WIDTH (mm)]]/450*MBQ[[#This Row],[QTY]]*2,0)</f>
        <v>0</v>
      </c>
    </row>
    <row r="640" spans="1:23" hidden="1">
      <c r="A640" s="258">
        <v>1</v>
      </c>
      <c r="B640" s="259"/>
      <c r="C640" s="233"/>
      <c r="D640" s="260"/>
      <c r="E640" s="260"/>
      <c r="F640" s="261"/>
      <c r="G640" s="262"/>
      <c r="H640" s="262"/>
      <c r="I640" s="260"/>
      <c r="J640" s="233"/>
      <c r="K640" s="263"/>
      <c r="L640" s="260"/>
      <c r="M640" s="263"/>
      <c r="N640" s="263"/>
      <c r="O640" s="264"/>
      <c r="P640" s="264"/>
      <c r="Q640" s="265"/>
      <c r="R640" s="30">
        <f>MBQ[[#This Row],[HEIGHT (mm)]]*MBQ[[#This Row],[QTY TOTAL]]/1000</f>
        <v>0</v>
      </c>
      <c r="S640" s="30">
        <f>MBQ[[#This Row],[WIDTH (mm)]]*MBQ[[#This Row],[QTY TOTAL]]/1000</f>
        <v>0</v>
      </c>
      <c r="T640" s="9">
        <f>(MBQ[[#This Row],[HEIGHT (mm)]]+MBQ[[#This Row],[WIDTH (mm)]])/1000*2*MBQ[[#This Row],[QTY TOTAL]]</f>
        <v>0</v>
      </c>
      <c r="U640" s="266">
        <f>MBQ[[#This Row],[MULTIPLIER]]*MBQ[[#This Row],[QTY]]</f>
        <v>0</v>
      </c>
      <c r="V640" s="9">
        <f>MBQ[[#This Row],[HEIGHT (mm)]]/1000*MBQ[[#This Row],[WIDTH (mm)]]/1000*MBQ[[#This Row],[QTY TOTAL]]</f>
        <v>0</v>
      </c>
      <c r="W640" s="287">
        <f>ROUNDUP(MBQ[[#This Row],[HEIGHT (mm)]]/450*MBQ[[#This Row],[QTY]]*2,0)+ROUNDUP(MBQ[[#This Row],[WIDTH (mm)]]/450*MBQ[[#This Row],[QTY]]*2,0)</f>
        <v>0</v>
      </c>
    </row>
    <row r="641" spans="1:23" hidden="1">
      <c r="A641" s="258">
        <v>1</v>
      </c>
      <c r="B641" s="259"/>
      <c r="C641" s="233"/>
      <c r="D641" s="260"/>
      <c r="E641" s="260"/>
      <c r="F641" s="261"/>
      <c r="G641" s="262"/>
      <c r="H641" s="262"/>
      <c r="I641" s="260"/>
      <c r="J641" s="233"/>
      <c r="K641" s="263"/>
      <c r="L641" s="260"/>
      <c r="M641" s="263"/>
      <c r="N641" s="263"/>
      <c r="O641" s="264"/>
      <c r="P641" s="264"/>
      <c r="Q641" s="265"/>
      <c r="R641" s="30">
        <f>MBQ[[#This Row],[HEIGHT (mm)]]*MBQ[[#This Row],[QTY TOTAL]]/1000</f>
        <v>0</v>
      </c>
      <c r="S641" s="30">
        <f>MBQ[[#This Row],[WIDTH (mm)]]*MBQ[[#This Row],[QTY TOTAL]]/1000</f>
        <v>0</v>
      </c>
      <c r="T641" s="9">
        <f>(MBQ[[#This Row],[HEIGHT (mm)]]+MBQ[[#This Row],[WIDTH (mm)]])/1000*2*MBQ[[#This Row],[QTY TOTAL]]</f>
        <v>0</v>
      </c>
      <c r="U641" s="266">
        <f>MBQ[[#This Row],[MULTIPLIER]]*MBQ[[#This Row],[QTY]]</f>
        <v>0</v>
      </c>
      <c r="V641" s="9">
        <f>MBQ[[#This Row],[HEIGHT (mm)]]/1000*MBQ[[#This Row],[WIDTH (mm)]]/1000*MBQ[[#This Row],[QTY TOTAL]]</f>
        <v>0</v>
      </c>
      <c r="W641" s="287">
        <f>ROUNDUP(MBQ[[#This Row],[HEIGHT (mm)]]/450*MBQ[[#This Row],[QTY]]*2,0)+ROUNDUP(MBQ[[#This Row],[WIDTH (mm)]]/450*MBQ[[#This Row],[QTY]]*2,0)</f>
        <v>0</v>
      </c>
    </row>
    <row r="642" spans="1:23" hidden="1">
      <c r="A642" s="258">
        <v>1</v>
      </c>
      <c r="B642" s="259"/>
      <c r="C642" s="233"/>
      <c r="D642" s="260"/>
      <c r="E642" s="260"/>
      <c r="F642" s="261"/>
      <c r="G642" s="262"/>
      <c r="H642" s="262"/>
      <c r="I642" s="260"/>
      <c r="J642" s="233"/>
      <c r="K642" s="263"/>
      <c r="L642" s="260"/>
      <c r="M642" s="263"/>
      <c r="N642" s="263"/>
      <c r="O642" s="264"/>
      <c r="P642" s="264"/>
      <c r="Q642" s="265"/>
      <c r="R642" s="30">
        <f>MBQ[[#This Row],[HEIGHT (mm)]]*MBQ[[#This Row],[QTY TOTAL]]/1000</f>
        <v>0</v>
      </c>
      <c r="S642" s="30">
        <f>MBQ[[#This Row],[WIDTH (mm)]]*MBQ[[#This Row],[QTY TOTAL]]/1000</f>
        <v>0</v>
      </c>
      <c r="T642" s="9">
        <f>(MBQ[[#This Row],[HEIGHT (mm)]]+MBQ[[#This Row],[WIDTH (mm)]])/1000*2*MBQ[[#This Row],[QTY TOTAL]]</f>
        <v>0</v>
      </c>
      <c r="U642" s="266">
        <f>MBQ[[#This Row],[MULTIPLIER]]*MBQ[[#This Row],[QTY]]</f>
        <v>0</v>
      </c>
      <c r="V642" s="9">
        <f>MBQ[[#This Row],[HEIGHT (mm)]]/1000*MBQ[[#This Row],[WIDTH (mm)]]/1000*MBQ[[#This Row],[QTY TOTAL]]</f>
        <v>0</v>
      </c>
      <c r="W642" s="287">
        <f>ROUNDUP(MBQ[[#This Row],[HEIGHT (mm)]]/450*MBQ[[#This Row],[QTY]]*2,0)+ROUNDUP(MBQ[[#This Row],[WIDTH (mm)]]/450*MBQ[[#This Row],[QTY]]*2,0)</f>
        <v>0</v>
      </c>
    </row>
    <row r="643" spans="1:23" hidden="1">
      <c r="A643" s="258">
        <v>1</v>
      </c>
      <c r="B643" s="259"/>
      <c r="C643" s="233"/>
      <c r="D643" s="260"/>
      <c r="E643" s="260"/>
      <c r="F643" s="261"/>
      <c r="G643" s="262"/>
      <c r="H643" s="262"/>
      <c r="I643" s="260"/>
      <c r="J643" s="233"/>
      <c r="K643" s="263"/>
      <c r="L643" s="260"/>
      <c r="M643" s="263"/>
      <c r="N643" s="263"/>
      <c r="O643" s="264"/>
      <c r="P643" s="264"/>
      <c r="Q643" s="265"/>
      <c r="R643" s="30">
        <f>MBQ[[#This Row],[HEIGHT (mm)]]*MBQ[[#This Row],[QTY TOTAL]]/1000</f>
        <v>0</v>
      </c>
      <c r="S643" s="30">
        <f>MBQ[[#This Row],[WIDTH (mm)]]*MBQ[[#This Row],[QTY TOTAL]]/1000</f>
        <v>0</v>
      </c>
      <c r="T643" s="9">
        <f>(MBQ[[#This Row],[HEIGHT (mm)]]+MBQ[[#This Row],[WIDTH (mm)]])/1000*2*MBQ[[#This Row],[QTY TOTAL]]</f>
        <v>0</v>
      </c>
      <c r="U643" s="266">
        <f>MBQ[[#This Row],[MULTIPLIER]]*MBQ[[#This Row],[QTY]]</f>
        <v>0</v>
      </c>
      <c r="V643" s="9">
        <f>MBQ[[#This Row],[HEIGHT (mm)]]/1000*MBQ[[#This Row],[WIDTH (mm)]]/1000*MBQ[[#This Row],[QTY TOTAL]]</f>
        <v>0</v>
      </c>
      <c r="W643" s="287">
        <f>ROUNDUP(MBQ[[#This Row],[HEIGHT (mm)]]/450*MBQ[[#This Row],[QTY]]*2,0)+ROUNDUP(MBQ[[#This Row],[WIDTH (mm)]]/450*MBQ[[#This Row],[QTY]]*2,0)</f>
        <v>0</v>
      </c>
    </row>
    <row r="644" spans="1:23" hidden="1">
      <c r="A644" s="258">
        <v>1</v>
      </c>
      <c r="B644" s="259"/>
      <c r="C644" s="233"/>
      <c r="D644" s="260"/>
      <c r="E644" s="260"/>
      <c r="F644" s="261"/>
      <c r="G644" s="262"/>
      <c r="H644" s="262"/>
      <c r="I644" s="260"/>
      <c r="J644" s="233"/>
      <c r="K644" s="263"/>
      <c r="L644" s="260"/>
      <c r="M644" s="263"/>
      <c r="N644" s="263"/>
      <c r="O644" s="264"/>
      <c r="P644" s="264"/>
      <c r="Q644" s="265"/>
      <c r="R644" s="30">
        <f>MBQ[[#This Row],[HEIGHT (mm)]]*MBQ[[#This Row],[QTY TOTAL]]/1000</f>
        <v>0</v>
      </c>
      <c r="S644" s="30">
        <f>MBQ[[#This Row],[WIDTH (mm)]]*MBQ[[#This Row],[QTY TOTAL]]/1000</f>
        <v>0</v>
      </c>
      <c r="T644" s="9">
        <f>(MBQ[[#This Row],[HEIGHT (mm)]]+MBQ[[#This Row],[WIDTH (mm)]])/1000*2*MBQ[[#This Row],[QTY TOTAL]]</f>
        <v>0</v>
      </c>
      <c r="U644" s="266">
        <f>MBQ[[#This Row],[MULTIPLIER]]*MBQ[[#This Row],[QTY]]</f>
        <v>0</v>
      </c>
      <c r="V644" s="9">
        <f>MBQ[[#This Row],[HEIGHT (mm)]]/1000*MBQ[[#This Row],[WIDTH (mm)]]/1000*MBQ[[#This Row],[QTY TOTAL]]</f>
        <v>0</v>
      </c>
      <c r="W644" s="287">
        <f>ROUNDUP(MBQ[[#This Row],[HEIGHT (mm)]]/450*MBQ[[#This Row],[QTY]]*2,0)+ROUNDUP(MBQ[[#This Row],[WIDTH (mm)]]/450*MBQ[[#This Row],[QTY]]*2,0)</f>
        <v>0</v>
      </c>
    </row>
    <row r="645" spans="1:23" hidden="1">
      <c r="A645" s="258">
        <v>1</v>
      </c>
      <c r="B645" s="259"/>
      <c r="C645" s="233"/>
      <c r="D645" s="260"/>
      <c r="E645" s="260"/>
      <c r="F645" s="261"/>
      <c r="G645" s="262"/>
      <c r="H645" s="262"/>
      <c r="I645" s="260"/>
      <c r="J645" s="233"/>
      <c r="K645" s="263"/>
      <c r="L645" s="260"/>
      <c r="M645" s="263"/>
      <c r="N645" s="263"/>
      <c r="O645" s="264"/>
      <c r="P645" s="264"/>
      <c r="Q645" s="265"/>
      <c r="R645" s="30">
        <f>MBQ[[#This Row],[HEIGHT (mm)]]*MBQ[[#This Row],[QTY TOTAL]]/1000</f>
        <v>0</v>
      </c>
      <c r="S645" s="30">
        <f>MBQ[[#This Row],[WIDTH (mm)]]*MBQ[[#This Row],[QTY TOTAL]]/1000</f>
        <v>0</v>
      </c>
      <c r="T645" s="9">
        <f>(MBQ[[#This Row],[HEIGHT (mm)]]+MBQ[[#This Row],[WIDTH (mm)]])/1000*2*MBQ[[#This Row],[QTY TOTAL]]</f>
        <v>0</v>
      </c>
      <c r="U645" s="266">
        <f>MBQ[[#This Row],[MULTIPLIER]]*MBQ[[#This Row],[QTY]]</f>
        <v>0</v>
      </c>
      <c r="V645" s="9">
        <f>MBQ[[#This Row],[HEIGHT (mm)]]/1000*MBQ[[#This Row],[WIDTH (mm)]]/1000*MBQ[[#This Row],[QTY TOTAL]]</f>
        <v>0</v>
      </c>
      <c r="W645" s="287">
        <f>ROUNDUP(MBQ[[#This Row],[HEIGHT (mm)]]/450*MBQ[[#This Row],[QTY]]*2,0)+ROUNDUP(MBQ[[#This Row],[WIDTH (mm)]]/450*MBQ[[#This Row],[QTY]]*2,0)</f>
        <v>0</v>
      </c>
    </row>
    <row r="646" spans="1:23" hidden="1">
      <c r="A646" s="258">
        <v>1</v>
      </c>
      <c r="B646" s="259"/>
      <c r="C646" s="233"/>
      <c r="D646" s="260"/>
      <c r="E646" s="260"/>
      <c r="F646" s="261"/>
      <c r="G646" s="262"/>
      <c r="H646" s="262"/>
      <c r="I646" s="260"/>
      <c r="J646" s="233"/>
      <c r="K646" s="263"/>
      <c r="L646" s="260"/>
      <c r="M646" s="263"/>
      <c r="N646" s="263"/>
      <c r="O646" s="264"/>
      <c r="P646" s="264"/>
      <c r="Q646" s="265"/>
      <c r="R646" s="30">
        <f>MBQ[[#This Row],[HEIGHT (mm)]]*MBQ[[#This Row],[QTY TOTAL]]/1000</f>
        <v>0</v>
      </c>
      <c r="S646" s="30">
        <f>MBQ[[#This Row],[WIDTH (mm)]]*MBQ[[#This Row],[QTY TOTAL]]/1000</f>
        <v>0</v>
      </c>
      <c r="T646" s="9">
        <f>(MBQ[[#This Row],[HEIGHT (mm)]]+MBQ[[#This Row],[WIDTH (mm)]])/1000*2*MBQ[[#This Row],[QTY TOTAL]]</f>
        <v>0</v>
      </c>
      <c r="U646" s="266">
        <f>MBQ[[#This Row],[MULTIPLIER]]*MBQ[[#This Row],[QTY]]</f>
        <v>0</v>
      </c>
      <c r="V646" s="9">
        <f>MBQ[[#This Row],[HEIGHT (mm)]]/1000*MBQ[[#This Row],[WIDTH (mm)]]/1000*MBQ[[#This Row],[QTY TOTAL]]</f>
        <v>0</v>
      </c>
      <c r="W646" s="287">
        <f>ROUNDUP(MBQ[[#This Row],[HEIGHT (mm)]]/450*MBQ[[#This Row],[QTY]]*2,0)+ROUNDUP(MBQ[[#This Row],[WIDTH (mm)]]/450*MBQ[[#This Row],[QTY]]*2,0)</f>
        <v>0</v>
      </c>
    </row>
    <row r="647" spans="1:23" hidden="1">
      <c r="A647" s="258">
        <v>1</v>
      </c>
      <c r="B647" s="259"/>
      <c r="C647" s="233"/>
      <c r="D647" s="260"/>
      <c r="E647" s="260"/>
      <c r="F647" s="261"/>
      <c r="G647" s="262"/>
      <c r="H647" s="262"/>
      <c r="I647" s="260"/>
      <c r="J647" s="233"/>
      <c r="K647" s="263"/>
      <c r="L647" s="260"/>
      <c r="M647" s="263"/>
      <c r="N647" s="263"/>
      <c r="O647" s="264"/>
      <c r="P647" s="264"/>
      <c r="Q647" s="265"/>
      <c r="R647" s="30">
        <f>MBQ[[#This Row],[HEIGHT (mm)]]*MBQ[[#This Row],[QTY TOTAL]]/1000</f>
        <v>0</v>
      </c>
      <c r="S647" s="30">
        <f>MBQ[[#This Row],[WIDTH (mm)]]*MBQ[[#This Row],[QTY TOTAL]]/1000</f>
        <v>0</v>
      </c>
      <c r="T647" s="9">
        <f>(MBQ[[#This Row],[HEIGHT (mm)]]+MBQ[[#This Row],[WIDTH (mm)]])/1000*2*MBQ[[#This Row],[QTY TOTAL]]</f>
        <v>0</v>
      </c>
      <c r="U647" s="266">
        <f>MBQ[[#This Row],[MULTIPLIER]]*MBQ[[#This Row],[QTY]]</f>
        <v>0</v>
      </c>
      <c r="V647" s="9">
        <f>MBQ[[#This Row],[HEIGHT (mm)]]/1000*MBQ[[#This Row],[WIDTH (mm)]]/1000*MBQ[[#This Row],[QTY TOTAL]]</f>
        <v>0</v>
      </c>
      <c r="W647" s="287">
        <f>ROUNDUP(MBQ[[#This Row],[HEIGHT (mm)]]/450*MBQ[[#This Row],[QTY]]*2,0)+ROUNDUP(MBQ[[#This Row],[WIDTH (mm)]]/450*MBQ[[#This Row],[QTY]]*2,0)</f>
        <v>0</v>
      </c>
    </row>
    <row r="648" spans="1:23" hidden="1">
      <c r="A648" s="258">
        <v>1</v>
      </c>
      <c r="B648" s="259"/>
      <c r="C648" s="233"/>
      <c r="D648" s="260"/>
      <c r="E648" s="260"/>
      <c r="F648" s="261"/>
      <c r="G648" s="262"/>
      <c r="H648" s="262"/>
      <c r="I648" s="260"/>
      <c r="J648" s="233"/>
      <c r="K648" s="263"/>
      <c r="L648" s="260"/>
      <c r="M648" s="263"/>
      <c r="N648" s="263"/>
      <c r="O648" s="264"/>
      <c r="P648" s="264"/>
      <c r="Q648" s="265"/>
      <c r="R648" s="30">
        <f>MBQ[[#This Row],[HEIGHT (mm)]]*MBQ[[#This Row],[QTY TOTAL]]/1000</f>
        <v>0</v>
      </c>
      <c r="S648" s="30">
        <f>MBQ[[#This Row],[WIDTH (mm)]]*MBQ[[#This Row],[QTY TOTAL]]/1000</f>
        <v>0</v>
      </c>
      <c r="T648" s="9">
        <f>(MBQ[[#This Row],[HEIGHT (mm)]]+MBQ[[#This Row],[WIDTH (mm)]])/1000*2*MBQ[[#This Row],[QTY TOTAL]]</f>
        <v>0</v>
      </c>
      <c r="U648" s="266">
        <f>MBQ[[#This Row],[MULTIPLIER]]*MBQ[[#This Row],[QTY]]</f>
        <v>0</v>
      </c>
      <c r="V648" s="9">
        <f>MBQ[[#This Row],[HEIGHT (mm)]]/1000*MBQ[[#This Row],[WIDTH (mm)]]/1000*MBQ[[#This Row],[QTY TOTAL]]</f>
        <v>0</v>
      </c>
      <c r="W648" s="287">
        <f>ROUNDUP(MBQ[[#This Row],[HEIGHT (mm)]]/450*MBQ[[#This Row],[QTY]]*2,0)+ROUNDUP(MBQ[[#This Row],[WIDTH (mm)]]/450*MBQ[[#This Row],[QTY]]*2,0)</f>
        <v>0</v>
      </c>
    </row>
    <row r="649" spans="1:23" hidden="1">
      <c r="A649" s="258">
        <v>1</v>
      </c>
      <c r="B649" s="259"/>
      <c r="C649" s="233"/>
      <c r="D649" s="260"/>
      <c r="E649" s="260"/>
      <c r="F649" s="261"/>
      <c r="G649" s="262"/>
      <c r="H649" s="262"/>
      <c r="I649" s="260"/>
      <c r="J649" s="233"/>
      <c r="K649" s="263"/>
      <c r="L649" s="260"/>
      <c r="M649" s="263"/>
      <c r="N649" s="263"/>
      <c r="O649" s="264"/>
      <c r="P649" s="264"/>
      <c r="Q649" s="265"/>
      <c r="R649" s="30">
        <f>MBQ[[#This Row],[HEIGHT (mm)]]*MBQ[[#This Row],[QTY TOTAL]]/1000</f>
        <v>0</v>
      </c>
      <c r="S649" s="30">
        <f>MBQ[[#This Row],[WIDTH (mm)]]*MBQ[[#This Row],[QTY TOTAL]]/1000</f>
        <v>0</v>
      </c>
      <c r="T649" s="9">
        <f>(MBQ[[#This Row],[HEIGHT (mm)]]+MBQ[[#This Row],[WIDTH (mm)]])/1000*2*MBQ[[#This Row],[QTY TOTAL]]</f>
        <v>0</v>
      </c>
      <c r="U649" s="266">
        <f>MBQ[[#This Row],[MULTIPLIER]]*MBQ[[#This Row],[QTY]]</f>
        <v>0</v>
      </c>
      <c r="V649" s="9">
        <f>MBQ[[#This Row],[HEIGHT (mm)]]/1000*MBQ[[#This Row],[WIDTH (mm)]]/1000*MBQ[[#This Row],[QTY TOTAL]]</f>
        <v>0</v>
      </c>
      <c r="W649" s="287">
        <f>ROUNDUP(MBQ[[#This Row],[HEIGHT (mm)]]/450*MBQ[[#This Row],[QTY]]*2,0)+ROUNDUP(MBQ[[#This Row],[WIDTH (mm)]]/450*MBQ[[#This Row],[QTY]]*2,0)</f>
        <v>0</v>
      </c>
    </row>
    <row r="650" spans="1:23" hidden="1">
      <c r="A650" s="258">
        <v>1</v>
      </c>
      <c r="B650" s="259"/>
      <c r="C650" s="233"/>
      <c r="D650" s="260"/>
      <c r="E650" s="260"/>
      <c r="F650" s="261"/>
      <c r="G650" s="262"/>
      <c r="H650" s="262"/>
      <c r="I650" s="260"/>
      <c r="J650" s="233"/>
      <c r="K650" s="263"/>
      <c r="L650" s="260"/>
      <c r="M650" s="263"/>
      <c r="N650" s="263"/>
      <c r="O650" s="264"/>
      <c r="P650" s="264"/>
      <c r="Q650" s="265"/>
      <c r="R650" s="30">
        <f>MBQ[[#This Row],[HEIGHT (mm)]]*MBQ[[#This Row],[QTY TOTAL]]/1000</f>
        <v>0</v>
      </c>
      <c r="S650" s="30">
        <f>MBQ[[#This Row],[WIDTH (mm)]]*MBQ[[#This Row],[QTY TOTAL]]/1000</f>
        <v>0</v>
      </c>
      <c r="T650" s="9">
        <f>(MBQ[[#This Row],[HEIGHT (mm)]]+MBQ[[#This Row],[WIDTH (mm)]])/1000*2*MBQ[[#This Row],[QTY TOTAL]]</f>
        <v>0</v>
      </c>
      <c r="U650" s="266">
        <f>MBQ[[#This Row],[MULTIPLIER]]*MBQ[[#This Row],[QTY]]</f>
        <v>0</v>
      </c>
      <c r="V650" s="9">
        <f>MBQ[[#This Row],[HEIGHT (mm)]]/1000*MBQ[[#This Row],[WIDTH (mm)]]/1000*MBQ[[#This Row],[QTY TOTAL]]</f>
        <v>0</v>
      </c>
      <c r="W650" s="287">
        <f>ROUNDUP(MBQ[[#This Row],[HEIGHT (mm)]]/450*MBQ[[#This Row],[QTY]]*2,0)+ROUNDUP(MBQ[[#This Row],[WIDTH (mm)]]/450*MBQ[[#This Row],[QTY]]*2,0)</f>
        <v>0</v>
      </c>
    </row>
    <row r="651" spans="1:23" hidden="1">
      <c r="A651" s="258">
        <v>1</v>
      </c>
      <c r="B651" s="259"/>
      <c r="C651" s="233"/>
      <c r="D651" s="260"/>
      <c r="E651" s="260"/>
      <c r="F651" s="261"/>
      <c r="G651" s="262"/>
      <c r="H651" s="262"/>
      <c r="I651" s="260"/>
      <c r="J651" s="233"/>
      <c r="K651" s="263"/>
      <c r="L651" s="260"/>
      <c r="M651" s="263"/>
      <c r="N651" s="263"/>
      <c r="O651" s="264"/>
      <c r="P651" s="264"/>
      <c r="Q651" s="265"/>
      <c r="R651" s="30">
        <f>MBQ[[#This Row],[HEIGHT (mm)]]*MBQ[[#This Row],[QTY TOTAL]]/1000</f>
        <v>0</v>
      </c>
      <c r="S651" s="30">
        <f>MBQ[[#This Row],[WIDTH (mm)]]*MBQ[[#This Row],[QTY TOTAL]]/1000</f>
        <v>0</v>
      </c>
      <c r="T651" s="9">
        <f>(MBQ[[#This Row],[HEIGHT (mm)]]+MBQ[[#This Row],[WIDTH (mm)]])/1000*2*MBQ[[#This Row],[QTY TOTAL]]</f>
        <v>0</v>
      </c>
      <c r="U651" s="266">
        <f>MBQ[[#This Row],[MULTIPLIER]]*MBQ[[#This Row],[QTY]]</f>
        <v>0</v>
      </c>
      <c r="V651" s="9">
        <f>MBQ[[#This Row],[HEIGHT (mm)]]/1000*MBQ[[#This Row],[WIDTH (mm)]]/1000*MBQ[[#This Row],[QTY TOTAL]]</f>
        <v>0</v>
      </c>
      <c r="W651" s="287">
        <f>ROUNDUP(MBQ[[#This Row],[HEIGHT (mm)]]/450*MBQ[[#This Row],[QTY]]*2,0)+ROUNDUP(MBQ[[#This Row],[WIDTH (mm)]]/450*MBQ[[#This Row],[QTY]]*2,0)</f>
        <v>0</v>
      </c>
    </row>
    <row r="652" spans="1:23" hidden="1">
      <c r="A652" s="258">
        <v>1</v>
      </c>
      <c r="B652" s="259"/>
      <c r="C652" s="233"/>
      <c r="D652" s="260"/>
      <c r="E652" s="260"/>
      <c r="F652" s="261"/>
      <c r="G652" s="262"/>
      <c r="H652" s="262"/>
      <c r="I652" s="260"/>
      <c r="J652" s="233"/>
      <c r="K652" s="263"/>
      <c r="L652" s="260"/>
      <c r="M652" s="263"/>
      <c r="N652" s="263"/>
      <c r="O652" s="264"/>
      <c r="P652" s="264"/>
      <c r="Q652" s="265"/>
      <c r="R652" s="30">
        <f>MBQ[[#This Row],[HEIGHT (mm)]]*MBQ[[#This Row],[QTY TOTAL]]/1000</f>
        <v>0</v>
      </c>
      <c r="S652" s="30">
        <f>MBQ[[#This Row],[WIDTH (mm)]]*MBQ[[#This Row],[QTY TOTAL]]/1000</f>
        <v>0</v>
      </c>
      <c r="T652" s="9">
        <f>(MBQ[[#This Row],[HEIGHT (mm)]]+MBQ[[#This Row],[WIDTH (mm)]])/1000*2*MBQ[[#This Row],[QTY TOTAL]]</f>
        <v>0</v>
      </c>
      <c r="U652" s="266">
        <f>MBQ[[#This Row],[MULTIPLIER]]*MBQ[[#This Row],[QTY]]</f>
        <v>0</v>
      </c>
      <c r="V652" s="9">
        <f>MBQ[[#This Row],[HEIGHT (mm)]]/1000*MBQ[[#This Row],[WIDTH (mm)]]/1000*MBQ[[#This Row],[QTY TOTAL]]</f>
        <v>0</v>
      </c>
      <c r="W652" s="287">
        <f>ROUNDUP(MBQ[[#This Row],[HEIGHT (mm)]]/450*MBQ[[#This Row],[QTY]]*2,0)+ROUNDUP(MBQ[[#This Row],[WIDTH (mm)]]/450*MBQ[[#This Row],[QTY]]*2,0)</f>
        <v>0</v>
      </c>
    </row>
    <row r="653" spans="1:23" hidden="1">
      <c r="A653" s="258">
        <v>1</v>
      </c>
      <c r="B653" s="259"/>
      <c r="C653" s="233"/>
      <c r="D653" s="260"/>
      <c r="E653" s="260"/>
      <c r="F653" s="261"/>
      <c r="G653" s="262"/>
      <c r="H653" s="262"/>
      <c r="I653" s="260"/>
      <c r="J653" s="233"/>
      <c r="K653" s="263"/>
      <c r="L653" s="260"/>
      <c r="M653" s="263"/>
      <c r="N653" s="263"/>
      <c r="O653" s="264"/>
      <c r="P653" s="264"/>
      <c r="Q653" s="265"/>
      <c r="R653" s="30">
        <f>MBQ[[#This Row],[HEIGHT (mm)]]*MBQ[[#This Row],[QTY TOTAL]]/1000</f>
        <v>0</v>
      </c>
      <c r="S653" s="30">
        <f>MBQ[[#This Row],[WIDTH (mm)]]*MBQ[[#This Row],[QTY TOTAL]]/1000</f>
        <v>0</v>
      </c>
      <c r="T653" s="9">
        <f>(MBQ[[#This Row],[HEIGHT (mm)]]+MBQ[[#This Row],[WIDTH (mm)]])/1000*2*MBQ[[#This Row],[QTY TOTAL]]</f>
        <v>0</v>
      </c>
      <c r="U653" s="266">
        <f>MBQ[[#This Row],[MULTIPLIER]]*MBQ[[#This Row],[QTY]]</f>
        <v>0</v>
      </c>
      <c r="V653" s="9">
        <f>MBQ[[#This Row],[HEIGHT (mm)]]/1000*MBQ[[#This Row],[WIDTH (mm)]]/1000*MBQ[[#This Row],[QTY TOTAL]]</f>
        <v>0</v>
      </c>
      <c r="W653" s="287">
        <f>ROUNDUP(MBQ[[#This Row],[HEIGHT (mm)]]/450*MBQ[[#This Row],[QTY]]*2,0)+ROUNDUP(MBQ[[#This Row],[WIDTH (mm)]]/450*MBQ[[#This Row],[QTY]]*2,0)</f>
        <v>0</v>
      </c>
    </row>
    <row r="654" spans="1:23" hidden="1">
      <c r="A654" s="258">
        <v>1</v>
      </c>
      <c r="B654" s="259"/>
      <c r="C654" s="233"/>
      <c r="D654" s="260"/>
      <c r="E654" s="260"/>
      <c r="F654" s="261"/>
      <c r="G654" s="262"/>
      <c r="H654" s="262"/>
      <c r="I654" s="260"/>
      <c r="J654" s="233"/>
      <c r="K654" s="263"/>
      <c r="L654" s="260"/>
      <c r="M654" s="263"/>
      <c r="N654" s="263"/>
      <c r="O654" s="264"/>
      <c r="P654" s="264"/>
      <c r="Q654" s="265"/>
      <c r="R654" s="30">
        <f>MBQ[[#This Row],[HEIGHT (mm)]]*MBQ[[#This Row],[QTY TOTAL]]/1000</f>
        <v>0</v>
      </c>
      <c r="S654" s="30">
        <f>MBQ[[#This Row],[WIDTH (mm)]]*MBQ[[#This Row],[QTY TOTAL]]/1000</f>
        <v>0</v>
      </c>
      <c r="T654" s="9">
        <f>(MBQ[[#This Row],[HEIGHT (mm)]]+MBQ[[#This Row],[WIDTH (mm)]])/1000*2*MBQ[[#This Row],[QTY TOTAL]]</f>
        <v>0</v>
      </c>
      <c r="U654" s="266">
        <f>MBQ[[#This Row],[MULTIPLIER]]*MBQ[[#This Row],[QTY]]</f>
        <v>0</v>
      </c>
      <c r="V654" s="9">
        <f>MBQ[[#This Row],[HEIGHT (mm)]]/1000*MBQ[[#This Row],[WIDTH (mm)]]/1000*MBQ[[#This Row],[QTY TOTAL]]</f>
        <v>0</v>
      </c>
      <c r="W654" s="287">
        <f>ROUNDUP(MBQ[[#This Row],[HEIGHT (mm)]]/450*MBQ[[#This Row],[QTY]]*2,0)+ROUNDUP(MBQ[[#This Row],[WIDTH (mm)]]/450*MBQ[[#This Row],[QTY]]*2,0)</f>
        <v>0</v>
      </c>
    </row>
    <row r="655" spans="1:23" hidden="1">
      <c r="A655" s="258">
        <v>1</v>
      </c>
      <c r="B655" s="259"/>
      <c r="C655" s="233"/>
      <c r="D655" s="260"/>
      <c r="E655" s="260"/>
      <c r="F655" s="261"/>
      <c r="G655" s="262"/>
      <c r="H655" s="262"/>
      <c r="I655" s="260"/>
      <c r="J655" s="233"/>
      <c r="K655" s="263"/>
      <c r="L655" s="260"/>
      <c r="M655" s="263"/>
      <c r="N655" s="263"/>
      <c r="O655" s="264"/>
      <c r="P655" s="264"/>
      <c r="Q655" s="265"/>
      <c r="R655" s="30">
        <f>MBQ[[#This Row],[HEIGHT (mm)]]*MBQ[[#This Row],[QTY TOTAL]]/1000</f>
        <v>0</v>
      </c>
      <c r="S655" s="30">
        <f>MBQ[[#This Row],[WIDTH (mm)]]*MBQ[[#This Row],[QTY TOTAL]]/1000</f>
        <v>0</v>
      </c>
      <c r="T655" s="9">
        <f>(MBQ[[#This Row],[HEIGHT (mm)]]+MBQ[[#This Row],[WIDTH (mm)]])/1000*2*MBQ[[#This Row],[QTY TOTAL]]</f>
        <v>0</v>
      </c>
      <c r="U655" s="266">
        <f>MBQ[[#This Row],[MULTIPLIER]]*MBQ[[#This Row],[QTY]]</f>
        <v>0</v>
      </c>
      <c r="V655" s="9">
        <f>MBQ[[#This Row],[HEIGHT (mm)]]/1000*MBQ[[#This Row],[WIDTH (mm)]]/1000*MBQ[[#This Row],[QTY TOTAL]]</f>
        <v>0</v>
      </c>
      <c r="W655" s="287">
        <f>ROUNDUP(MBQ[[#This Row],[HEIGHT (mm)]]/450*MBQ[[#This Row],[QTY]]*2,0)+ROUNDUP(MBQ[[#This Row],[WIDTH (mm)]]/450*MBQ[[#This Row],[QTY]]*2,0)</f>
        <v>0</v>
      </c>
    </row>
    <row r="656" spans="1:23" hidden="1">
      <c r="A656" s="258">
        <v>1</v>
      </c>
      <c r="B656" s="259"/>
      <c r="C656" s="233"/>
      <c r="D656" s="260"/>
      <c r="E656" s="260"/>
      <c r="F656" s="261"/>
      <c r="G656" s="262"/>
      <c r="H656" s="262"/>
      <c r="I656" s="260"/>
      <c r="J656" s="233"/>
      <c r="K656" s="263"/>
      <c r="L656" s="260"/>
      <c r="M656" s="263"/>
      <c r="N656" s="263"/>
      <c r="O656" s="264"/>
      <c r="P656" s="264"/>
      <c r="Q656" s="265"/>
      <c r="R656" s="30">
        <f>MBQ[[#This Row],[HEIGHT (mm)]]*MBQ[[#This Row],[QTY TOTAL]]/1000</f>
        <v>0</v>
      </c>
      <c r="S656" s="30">
        <f>MBQ[[#This Row],[WIDTH (mm)]]*MBQ[[#This Row],[QTY TOTAL]]/1000</f>
        <v>0</v>
      </c>
      <c r="T656" s="9">
        <f>(MBQ[[#This Row],[HEIGHT (mm)]]+MBQ[[#This Row],[WIDTH (mm)]])/1000*2*MBQ[[#This Row],[QTY TOTAL]]</f>
        <v>0</v>
      </c>
      <c r="U656" s="266">
        <f>MBQ[[#This Row],[MULTIPLIER]]*MBQ[[#This Row],[QTY]]</f>
        <v>0</v>
      </c>
      <c r="V656" s="9">
        <f>MBQ[[#This Row],[HEIGHT (mm)]]/1000*MBQ[[#This Row],[WIDTH (mm)]]/1000*MBQ[[#This Row],[QTY TOTAL]]</f>
        <v>0</v>
      </c>
      <c r="W656" s="287">
        <f>ROUNDUP(MBQ[[#This Row],[HEIGHT (mm)]]/450*MBQ[[#This Row],[QTY]]*2,0)+ROUNDUP(MBQ[[#This Row],[WIDTH (mm)]]/450*MBQ[[#This Row],[QTY]]*2,0)</f>
        <v>0</v>
      </c>
    </row>
    <row r="657" spans="1:23" hidden="1">
      <c r="A657" s="258">
        <v>1</v>
      </c>
      <c r="B657" s="259"/>
      <c r="C657" s="233"/>
      <c r="D657" s="260"/>
      <c r="E657" s="260"/>
      <c r="F657" s="261"/>
      <c r="G657" s="262"/>
      <c r="H657" s="262"/>
      <c r="I657" s="260"/>
      <c r="J657" s="233"/>
      <c r="K657" s="263"/>
      <c r="L657" s="260"/>
      <c r="M657" s="263"/>
      <c r="N657" s="263"/>
      <c r="O657" s="264"/>
      <c r="P657" s="264"/>
      <c r="Q657" s="265"/>
      <c r="R657" s="30">
        <f>MBQ[[#This Row],[HEIGHT (mm)]]*MBQ[[#This Row],[QTY TOTAL]]/1000</f>
        <v>0</v>
      </c>
      <c r="S657" s="30">
        <f>MBQ[[#This Row],[WIDTH (mm)]]*MBQ[[#This Row],[QTY TOTAL]]/1000</f>
        <v>0</v>
      </c>
      <c r="T657" s="9">
        <f>(MBQ[[#This Row],[HEIGHT (mm)]]+MBQ[[#This Row],[WIDTH (mm)]])/1000*2*MBQ[[#This Row],[QTY TOTAL]]</f>
        <v>0</v>
      </c>
      <c r="U657" s="266">
        <f>MBQ[[#This Row],[MULTIPLIER]]*MBQ[[#This Row],[QTY]]</f>
        <v>0</v>
      </c>
      <c r="V657" s="9">
        <f>MBQ[[#This Row],[HEIGHT (mm)]]/1000*MBQ[[#This Row],[WIDTH (mm)]]/1000*MBQ[[#This Row],[QTY TOTAL]]</f>
        <v>0</v>
      </c>
      <c r="W657" s="287">
        <f>ROUNDUP(MBQ[[#This Row],[HEIGHT (mm)]]/450*MBQ[[#This Row],[QTY]]*2,0)+ROUNDUP(MBQ[[#This Row],[WIDTH (mm)]]/450*MBQ[[#This Row],[QTY]]*2,0)</f>
        <v>0</v>
      </c>
    </row>
    <row r="658" spans="1:23" hidden="1">
      <c r="A658" s="258">
        <v>1</v>
      </c>
      <c r="B658" s="259"/>
      <c r="C658" s="233"/>
      <c r="D658" s="260"/>
      <c r="E658" s="260"/>
      <c r="F658" s="261"/>
      <c r="G658" s="262"/>
      <c r="H658" s="262"/>
      <c r="I658" s="260"/>
      <c r="J658" s="233"/>
      <c r="K658" s="263"/>
      <c r="L658" s="260"/>
      <c r="M658" s="263"/>
      <c r="N658" s="263"/>
      <c r="O658" s="264"/>
      <c r="P658" s="264"/>
      <c r="Q658" s="265"/>
      <c r="R658" s="30">
        <f>MBQ[[#This Row],[HEIGHT (mm)]]*MBQ[[#This Row],[QTY TOTAL]]/1000</f>
        <v>0</v>
      </c>
      <c r="S658" s="30">
        <f>MBQ[[#This Row],[WIDTH (mm)]]*MBQ[[#This Row],[QTY TOTAL]]/1000</f>
        <v>0</v>
      </c>
      <c r="T658" s="9">
        <f>(MBQ[[#This Row],[HEIGHT (mm)]]+MBQ[[#This Row],[WIDTH (mm)]])/1000*2*MBQ[[#This Row],[QTY TOTAL]]</f>
        <v>0</v>
      </c>
      <c r="U658" s="266">
        <f>MBQ[[#This Row],[MULTIPLIER]]*MBQ[[#This Row],[QTY]]</f>
        <v>0</v>
      </c>
      <c r="V658" s="9">
        <f>MBQ[[#This Row],[HEIGHT (mm)]]/1000*MBQ[[#This Row],[WIDTH (mm)]]/1000*MBQ[[#This Row],[QTY TOTAL]]</f>
        <v>0</v>
      </c>
      <c r="W658" s="287">
        <f>ROUNDUP(MBQ[[#This Row],[HEIGHT (mm)]]/450*MBQ[[#This Row],[QTY]]*2,0)+ROUNDUP(MBQ[[#This Row],[WIDTH (mm)]]/450*MBQ[[#This Row],[QTY]]*2,0)</f>
        <v>0</v>
      </c>
    </row>
    <row r="659" spans="1:23" hidden="1">
      <c r="A659" s="258">
        <v>1</v>
      </c>
      <c r="B659" s="259"/>
      <c r="C659" s="233"/>
      <c r="D659" s="260"/>
      <c r="E659" s="260"/>
      <c r="F659" s="261"/>
      <c r="G659" s="262"/>
      <c r="H659" s="262"/>
      <c r="I659" s="260"/>
      <c r="J659" s="233"/>
      <c r="K659" s="263"/>
      <c r="L659" s="260"/>
      <c r="M659" s="263"/>
      <c r="N659" s="263"/>
      <c r="O659" s="264"/>
      <c r="P659" s="264"/>
      <c r="Q659" s="265"/>
      <c r="R659" s="30">
        <f>MBQ[[#This Row],[HEIGHT (mm)]]*MBQ[[#This Row],[QTY TOTAL]]/1000</f>
        <v>0</v>
      </c>
      <c r="S659" s="30">
        <f>MBQ[[#This Row],[WIDTH (mm)]]*MBQ[[#This Row],[QTY TOTAL]]/1000</f>
        <v>0</v>
      </c>
      <c r="T659" s="9">
        <f>(MBQ[[#This Row],[HEIGHT (mm)]]+MBQ[[#This Row],[WIDTH (mm)]])/1000*2*MBQ[[#This Row],[QTY TOTAL]]</f>
        <v>0</v>
      </c>
      <c r="U659" s="266">
        <f>MBQ[[#This Row],[MULTIPLIER]]*MBQ[[#This Row],[QTY]]</f>
        <v>0</v>
      </c>
      <c r="V659" s="9">
        <f>MBQ[[#This Row],[HEIGHT (mm)]]/1000*MBQ[[#This Row],[WIDTH (mm)]]/1000*MBQ[[#This Row],[QTY TOTAL]]</f>
        <v>0</v>
      </c>
      <c r="W659" s="287">
        <f>ROUNDUP(MBQ[[#This Row],[HEIGHT (mm)]]/450*MBQ[[#This Row],[QTY]]*2,0)+ROUNDUP(MBQ[[#This Row],[WIDTH (mm)]]/450*MBQ[[#This Row],[QTY]]*2,0)</f>
        <v>0</v>
      </c>
    </row>
    <row r="660" spans="1:23" hidden="1">
      <c r="A660" s="258">
        <v>1</v>
      </c>
      <c r="B660" s="259"/>
      <c r="C660" s="233"/>
      <c r="D660" s="260"/>
      <c r="E660" s="260"/>
      <c r="F660" s="261"/>
      <c r="G660" s="262"/>
      <c r="H660" s="262"/>
      <c r="I660" s="260"/>
      <c r="J660" s="233"/>
      <c r="K660" s="263"/>
      <c r="L660" s="260"/>
      <c r="M660" s="263"/>
      <c r="N660" s="263"/>
      <c r="O660" s="264"/>
      <c r="P660" s="264"/>
      <c r="Q660" s="265"/>
      <c r="R660" s="30">
        <f>MBQ[[#This Row],[HEIGHT (mm)]]*MBQ[[#This Row],[QTY TOTAL]]/1000</f>
        <v>0</v>
      </c>
      <c r="S660" s="30">
        <f>MBQ[[#This Row],[WIDTH (mm)]]*MBQ[[#This Row],[QTY TOTAL]]/1000</f>
        <v>0</v>
      </c>
      <c r="T660" s="9">
        <f>(MBQ[[#This Row],[HEIGHT (mm)]]+MBQ[[#This Row],[WIDTH (mm)]])/1000*2*MBQ[[#This Row],[QTY TOTAL]]</f>
        <v>0</v>
      </c>
      <c r="U660" s="266">
        <f>MBQ[[#This Row],[MULTIPLIER]]*MBQ[[#This Row],[QTY]]</f>
        <v>0</v>
      </c>
      <c r="V660" s="9">
        <f>MBQ[[#This Row],[HEIGHT (mm)]]/1000*MBQ[[#This Row],[WIDTH (mm)]]/1000*MBQ[[#This Row],[QTY TOTAL]]</f>
        <v>0</v>
      </c>
      <c r="W660" s="287">
        <f>ROUNDUP(MBQ[[#This Row],[HEIGHT (mm)]]/450*MBQ[[#This Row],[QTY]]*2,0)+ROUNDUP(MBQ[[#This Row],[WIDTH (mm)]]/450*MBQ[[#This Row],[QTY]]*2,0)</f>
        <v>0</v>
      </c>
    </row>
    <row r="661" spans="1:23" hidden="1">
      <c r="A661" s="258">
        <v>1</v>
      </c>
      <c r="B661" s="259"/>
      <c r="C661" s="233"/>
      <c r="D661" s="260"/>
      <c r="E661" s="260"/>
      <c r="F661" s="261"/>
      <c r="G661" s="262"/>
      <c r="H661" s="262"/>
      <c r="I661" s="260"/>
      <c r="J661" s="233"/>
      <c r="K661" s="263"/>
      <c r="L661" s="260"/>
      <c r="M661" s="263"/>
      <c r="N661" s="263"/>
      <c r="O661" s="264"/>
      <c r="P661" s="264"/>
      <c r="Q661" s="265"/>
      <c r="R661" s="30">
        <f>MBQ[[#This Row],[HEIGHT (mm)]]*MBQ[[#This Row],[QTY TOTAL]]/1000</f>
        <v>0</v>
      </c>
      <c r="S661" s="30">
        <f>MBQ[[#This Row],[WIDTH (mm)]]*MBQ[[#This Row],[QTY TOTAL]]/1000</f>
        <v>0</v>
      </c>
      <c r="T661" s="9">
        <f>(MBQ[[#This Row],[HEIGHT (mm)]]+MBQ[[#This Row],[WIDTH (mm)]])/1000*2*MBQ[[#This Row],[QTY TOTAL]]</f>
        <v>0</v>
      </c>
      <c r="U661" s="266">
        <f>MBQ[[#This Row],[MULTIPLIER]]*MBQ[[#This Row],[QTY]]</f>
        <v>0</v>
      </c>
      <c r="V661" s="9">
        <f>MBQ[[#This Row],[HEIGHT (mm)]]/1000*MBQ[[#This Row],[WIDTH (mm)]]/1000*MBQ[[#This Row],[QTY TOTAL]]</f>
        <v>0</v>
      </c>
      <c r="W661" s="287">
        <f>ROUNDUP(MBQ[[#This Row],[HEIGHT (mm)]]/450*MBQ[[#This Row],[QTY]]*2,0)+ROUNDUP(MBQ[[#This Row],[WIDTH (mm)]]/450*MBQ[[#This Row],[QTY]]*2,0)</f>
        <v>0</v>
      </c>
    </row>
    <row r="662" spans="1:23" hidden="1">
      <c r="A662" s="258">
        <v>1</v>
      </c>
      <c r="B662" s="259"/>
      <c r="C662" s="233"/>
      <c r="D662" s="260"/>
      <c r="E662" s="260"/>
      <c r="F662" s="261"/>
      <c r="G662" s="262"/>
      <c r="H662" s="262"/>
      <c r="I662" s="260"/>
      <c r="J662" s="233"/>
      <c r="K662" s="263"/>
      <c r="L662" s="260"/>
      <c r="M662" s="263"/>
      <c r="N662" s="263"/>
      <c r="O662" s="264"/>
      <c r="P662" s="264"/>
      <c r="Q662" s="265"/>
      <c r="R662" s="30">
        <f>MBQ[[#This Row],[HEIGHT (mm)]]*MBQ[[#This Row],[QTY TOTAL]]/1000</f>
        <v>0</v>
      </c>
      <c r="S662" s="30">
        <f>MBQ[[#This Row],[WIDTH (mm)]]*MBQ[[#This Row],[QTY TOTAL]]/1000</f>
        <v>0</v>
      </c>
      <c r="T662" s="9">
        <f>(MBQ[[#This Row],[HEIGHT (mm)]]+MBQ[[#This Row],[WIDTH (mm)]])/1000*2*MBQ[[#This Row],[QTY TOTAL]]</f>
        <v>0</v>
      </c>
      <c r="U662" s="266">
        <f>MBQ[[#This Row],[MULTIPLIER]]*MBQ[[#This Row],[QTY]]</f>
        <v>0</v>
      </c>
      <c r="V662" s="9">
        <f>MBQ[[#This Row],[HEIGHT (mm)]]/1000*MBQ[[#This Row],[WIDTH (mm)]]/1000*MBQ[[#This Row],[QTY TOTAL]]</f>
        <v>0</v>
      </c>
      <c r="W662" s="287">
        <f>ROUNDUP(MBQ[[#This Row],[HEIGHT (mm)]]/450*MBQ[[#This Row],[QTY]]*2,0)+ROUNDUP(MBQ[[#This Row],[WIDTH (mm)]]/450*MBQ[[#This Row],[QTY]]*2,0)</f>
        <v>0</v>
      </c>
    </row>
    <row r="663" spans="1:23" hidden="1">
      <c r="A663" s="258">
        <v>1</v>
      </c>
      <c r="B663" s="259"/>
      <c r="C663" s="233"/>
      <c r="D663" s="260"/>
      <c r="E663" s="260"/>
      <c r="F663" s="261"/>
      <c r="G663" s="262"/>
      <c r="H663" s="262"/>
      <c r="I663" s="260"/>
      <c r="J663" s="233"/>
      <c r="K663" s="263"/>
      <c r="L663" s="260"/>
      <c r="M663" s="263"/>
      <c r="N663" s="263"/>
      <c r="O663" s="264"/>
      <c r="P663" s="264"/>
      <c r="Q663" s="265"/>
      <c r="R663" s="30">
        <f>MBQ[[#This Row],[HEIGHT (mm)]]*MBQ[[#This Row],[QTY TOTAL]]/1000</f>
        <v>0</v>
      </c>
      <c r="S663" s="30">
        <f>MBQ[[#This Row],[WIDTH (mm)]]*MBQ[[#This Row],[QTY TOTAL]]/1000</f>
        <v>0</v>
      </c>
      <c r="T663" s="9">
        <f>(MBQ[[#This Row],[HEIGHT (mm)]]+MBQ[[#This Row],[WIDTH (mm)]])/1000*2*MBQ[[#This Row],[QTY TOTAL]]</f>
        <v>0</v>
      </c>
      <c r="U663" s="266">
        <f>MBQ[[#This Row],[MULTIPLIER]]*MBQ[[#This Row],[QTY]]</f>
        <v>0</v>
      </c>
      <c r="V663" s="9">
        <f>MBQ[[#This Row],[HEIGHT (mm)]]/1000*MBQ[[#This Row],[WIDTH (mm)]]/1000*MBQ[[#This Row],[QTY TOTAL]]</f>
        <v>0</v>
      </c>
      <c r="W663" s="287">
        <f>ROUNDUP(MBQ[[#This Row],[HEIGHT (mm)]]/450*MBQ[[#This Row],[QTY]]*2,0)+ROUNDUP(MBQ[[#This Row],[WIDTH (mm)]]/450*MBQ[[#This Row],[QTY]]*2,0)</f>
        <v>0</v>
      </c>
    </row>
    <row r="664" spans="1:23" hidden="1">
      <c r="A664" s="258">
        <v>1</v>
      </c>
      <c r="B664" s="259"/>
      <c r="C664" s="233"/>
      <c r="D664" s="260"/>
      <c r="E664" s="260"/>
      <c r="F664" s="261"/>
      <c r="G664" s="262"/>
      <c r="H664" s="262"/>
      <c r="I664" s="260"/>
      <c r="J664" s="233"/>
      <c r="K664" s="263"/>
      <c r="L664" s="260"/>
      <c r="M664" s="263"/>
      <c r="N664" s="263"/>
      <c r="O664" s="264"/>
      <c r="P664" s="264"/>
      <c r="Q664" s="265"/>
      <c r="R664" s="30">
        <f>MBQ[[#This Row],[HEIGHT (mm)]]*MBQ[[#This Row],[QTY TOTAL]]/1000</f>
        <v>0</v>
      </c>
      <c r="S664" s="30">
        <f>MBQ[[#This Row],[WIDTH (mm)]]*MBQ[[#This Row],[QTY TOTAL]]/1000</f>
        <v>0</v>
      </c>
      <c r="T664" s="9">
        <f>(MBQ[[#This Row],[HEIGHT (mm)]]+MBQ[[#This Row],[WIDTH (mm)]])/1000*2*MBQ[[#This Row],[QTY TOTAL]]</f>
        <v>0</v>
      </c>
      <c r="U664" s="266">
        <f>MBQ[[#This Row],[MULTIPLIER]]*MBQ[[#This Row],[QTY]]</f>
        <v>0</v>
      </c>
      <c r="V664" s="9">
        <f>MBQ[[#This Row],[HEIGHT (mm)]]/1000*MBQ[[#This Row],[WIDTH (mm)]]/1000*MBQ[[#This Row],[QTY TOTAL]]</f>
        <v>0</v>
      </c>
      <c r="W664" s="287">
        <f>ROUNDUP(MBQ[[#This Row],[HEIGHT (mm)]]/450*MBQ[[#This Row],[QTY]]*2,0)+ROUNDUP(MBQ[[#This Row],[WIDTH (mm)]]/450*MBQ[[#This Row],[QTY]]*2,0)</f>
        <v>0</v>
      </c>
    </row>
    <row r="665" spans="1:23" hidden="1">
      <c r="A665" s="258">
        <v>1</v>
      </c>
      <c r="B665" s="259"/>
      <c r="C665" s="233"/>
      <c r="D665" s="260"/>
      <c r="E665" s="260"/>
      <c r="F665" s="261"/>
      <c r="G665" s="262"/>
      <c r="H665" s="262"/>
      <c r="I665" s="260"/>
      <c r="J665" s="233"/>
      <c r="K665" s="263"/>
      <c r="L665" s="260"/>
      <c r="M665" s="263"/>
      <c r="N665" s="263"/>
      <c r="O665" s="264"/>
      <c r="P665" s="264"/>
      <c r="Q665" s="265"/>
      <c r="R665" s="30">
        <f>MBQ[[#This Row],[HEIGHT (mm)]]*MBQ[[#This Row],[QTY TOTAL]]/1000</f>
        <v>0</v>
      </c>
      <c r="S665" s="30">
        <f>MBQ[[#This Row],[WIDTH (mm)]]*MBQ[[#This Row],[QTY TOTAL]]/1000</f>
        <v>0</v>
      </c>
      <c r="T665" s="9">
        <f>(MBQ[[#This Row],[HEIGHT (mm)]]+MBQ[[#This Row],[WIDTH (mm)]])/1000*2*MBQ[[#This Row],[QTY TOTAL]]</f>
        <v>0</v>
      </c>
      <c r="U665" s="266">
        <f>MBQ[[#This Row],[MULTIPLIER]]*MBQ[[#This Row],[QTY]]</f>
        <v>0</v>
      </c>
      <c r="V665" s="9">
        <f>MBQ[[#This Row],[HEIGHT (mm)]]/1000*MBQ[[#This Row],[WIDTH (mm)]]/1000*MBQ[[#This Row],[QTY TOTAL]]</f>
        <v>0</v>
      </c>
      <c r="W665" s="287">
        <f>ROUNDUP(MBQ[[#This Row],[HEIGHT (mm)]]/450*MBQ[[#This Row],[QTY]]*2,0)+ROUNDUP(MBQ[[#This Row],[WIDTH (mm)]]/450*MBQ[[#This Row],[QTY]]*2,0)</f>
        <v>0</v>
      </c>
    </row>
    <row r="666" spans="1:23" hidden="1">
      <c r="A666" s="258">
        <v>1</v>
      </c>
      <c r="B666" s="259"/>
      <c r="C666" s="233"/>
      <c r="D666" s="260"/>
      <c r="E666" s="260"/>
      <c r="F666" s="261"/>
      <c r="G666" s="262"/>
      <c r="H666" s="262"/>
      <c r="I666" s="260"/>
      <c r="J666" s="233"/>
      <c r="K666" s="263"/>
      <c r="L666" s="260"/>
      <c r="M666" s="263"/>
      <c r="N666" s="263"/>
      <c r="O666" s="264"/>
      <c r="P666" s="264"/>
      <c r="Q666" s="265"/>
      <c r="R666" s="30">
        <f>MBQ[[#This Row],[HEIGHT (mm)]]*MBQ[[#This Row],[QTY TOTAL]]/1000</f>
        <v>0</v>
      </c>
      <c r="S666" s="30">
        <f>MBQ[[#This Row],[WIDTH (mm)]]*MBQ[[#This Row],[QTY TOTAL]]/1000</f>
        <v>0</v>
      </c>
      <c r="T666" s="9">
        <f>(MBQ[[#This Row],[HEIGHT (mm)]]+MBQ[[#This Row],[WIDTH (mm)]])/1000*2*MBQ[[#This Row],[QTY TOTAL]]</f>
        <v>0</v>
      </c>
      <c r="U666" s="266">
        <f>MBQ[[#This Row],[MULTIPLIER]]*MBQ[[#This Row],[QTY]]</f>
        <v>0</v>
      </c>
      <c r="V666" s="9">
        <f>MBQ[[#This Row],[HEIGHT (mm)]]/1000*MBQ[[#This Row],[WIDTH (mm)]]/1000*MBQ[[#This Row],[QTY TOTAL]]</f>
        <v>0</v>
      </c>
      <c r="W666" s="287">
        <f>ROUNDUP(MBQ[[#This Row],[HEIGHT (mm)]]/450*MBQ[[#This Row],[QTY]]*2,0)+ROUNDUP(MBQ[[#This Row],[WIDTH (mm)]]/450*MBQ[[#This Row],[QTY]]*2,0)</f>
        <v>0</v>
      </c>
    </row>
    <row r="667" spans="1:23" hidden="1">
      <c r="A667" s="258">
        <v>1</v>
      </c>
      <c r="B667" s="259"/>
      <c r="C667" s="233"/>
      <c r="D667" s="260"/>
      <c r="E667" s="260"/>
      <c r="F667" s="261"/>
      <c r="G667" s="262"/>
      <c r="H667" s="262"/>
      <c r="I667" s="260"/>
      <c r="J667" s="233"/>
      <c r="K667" s="263"/>
      <c r="L667" s="260"/>
      <c r="M667" s="263"/>
      <c r="N667" s="263"/>
      <c r="O667" s="264"/>
      <c r="P667" s="264"/>
      <c r="Q667" s="265"/>
      <c r="R667" s="30">
        <f>MBQ[[#This Row],[HEIGHT (mm)]]*MBQ[[#This Row],[QTY TOTAL]]/1000</f>
        <v>0</v>
      </c>
      <c r="S667" s="30">
        <f>MBQ[[#This Row],[WIDTH (mm)]]*MBQ[[#This Row],[QTY TOTAL]]/1000</f>
        <v>0</v>
      </c>
      <c r="T667" s="9">
        <f>(MBQ[[#This Row],[HEIGHT (mm)]]+MBQ[[#This Row],[WIDTH (mm)]])/1000*2*MBQ[[#This Row],[QTY TOTAL]]</f>
        <v>0</v>
      </c>
      <c r="U667" s="266">
        <f>MBQ[[#This Row],[MULTIPLIER]]*MBQ[[#This Row],[QTY]]</f>
        <v>0</v>
      </c>
      <c r="V667" s="9">
        <f>MBQ[[#This Row],[HEIGHT (mm)]]/1000*MBQ[[#This Row],[WIDTH (mm)]]/1000*MBQ[[#This Row],[QTY TOTAL]]</f>
        <v>0</v>
      </c>
      <c r="W667" s="287">
        <f>ROUNDUP(MBQ[[#This Row],[HEIGHT (mm)]]/450*MBQ[[#This Row],[QTY]]*2,0)+ROUNDUP(MBQ[[#This Row],[WIDTH (mm)]]/450*MBQ[[#This Row],[QTY]]*2,0)</f>
        <v>0</v>
      </c>
    </row>
    <row r="668" spans="1:23" hidden="1">
      <c r="A668" s="258">
        <v>1</v>
      </c>
      <c r="B668" s="259"/>
      <c r="C668" s="233"/>
      <c r="D668" s="260"/>
      <c r="E668" s="260"/>
      <c r="F668" s="261"/>
      <c r="G668" s="262"/>
      <c r="H668" s="262"/>
      <c r="I668" s="260"/>
      <c r="J668" s="233"/>
      <c r="K668" s="263"/>
      <c r="L668" s="260"/>
      <c r="M668" s="263"/>
      <c r="N668" s="263"/>
      <c r="O668" s="264"/>
      <c r="P668" s="264"/>
      <c r="Q668" s="265"/>
      <c r="R668" s="30">
        <f>MBQ[[#This Row],[HEIGHT (mm)]]*MBQ[[#This Row],[QTY TOTAL]]/1000</f>
        <v>0</v>
      </c>
      <c r="S668" s="30">
        <f>MBQ[[#This Row],[WIDTH (mm)]]*MBQ[[#This Row],[QTY TOTAL]]/1000</f>
        <v>0</v>
      </c>
      <c r="T668" s="9">
        <f>(MBQ[[#This Row],[HEIGHT (mm)]]+MBQ[[#This Row],[WIDTH (mm)]])/1000*2*MBQ[[#This Row],[QTY TOTAL]]</f>
        <v>0</v>
      </c>
      <c r="U668" s="266">
        <f>MBQ[[#This Row],[MULTIPLIER]]*MBQ[[#This Row],[QTY]]</f>
        <v>0</v>
      </c>
      <c r="V668" s="9">
        <f>MBQ[[#This Row],[HEIGHT (mm)]]/1000*MBQ[[#This Row],[WIDTH (mm)]]/1000*MBQ[[#This Row],[QTY TOTAL]]</f>
        <v>0</v>
      </c>
      <c r="W668" s="287">
        <f>ROUNDUP(MBQ[[#This Row],[HEIGHT (mm)]]/450*MBQ[[#This Row],[QTY]]*2,0)+ROUNDUP(MBQ[[#This Row],[WIDTH (mm)]]/450*MBQ[[#This Row],[QTY]]*2,0)</f>
        <v>0</v>
      </c>
    </row>
    <row r="669" spans="1:23" hidden="1">
      <c r="A669" s="258">
        <v>1</v>
      </c>
      <c r="B669" s="259"/>
      <c r="C669" s="233"/>
      <c r="D669" s="260"/>
      <c r="E669" s="260"/>
      <c r="F669" s="261"/>
      <c r="G669" s="262"/>
      <c r="H669" s="262"/>
      <c r="I669" s="260"/>
      <c r="J669" s="233"/>
      <c r="K669" s="263"/>
      <c r="L669" s="260"/>
      <c r="M669" s="263"/>
      <c r="N669" s="263"/>
      <c r="O669" s="264"/>
      <c r="P669" s="264"/>
      <c r="Q669" s="265"/>
      <c r="R669" s="30">
        <f>MBQ[[#This Row],[HEIGHT (mm)]]*MBQ[[#This Row],[QTY TOTAL]]/1000</f>
        <v>0</v>
      </c>
      <c r="S669" s="30">
        <f>MBQ[[#This Row],[WIDTH (mm)]]*MBQ[[#This Row],[QTY TOTAL]]/1000</f>
        <v>0</v>
      </c>
      <c r="T669" s="9">
        <f>(MBQ[[#This Row],[HEIGHT (mm)]]+MBQ[[#This Row],[WIDTH (mm)]])/1000*2*MBQ[[#This Row],[QTY TOTAL]]</f>
        <v>0</v>
      </c>
      <c r="U669" s="266">
        <f>MBQ[[#This Row],[MULTIPLIER]]*MBQ[[#This Row],[QTY]]</f>
        <v>0</v>
      </c>
      <c r="V669" s="9">
        <f>MBQ[[#This Row],[HEIGHT (mm)]]/1000*MBQ[[#This Row],[WIDTH (mm)]]/1000*MBQ[[#This Row],[QTY TOTAL]]</f>
        <v>0</v>
      </c>
      <c r="W669" s="287">
        <f>ROUNDUP(MBQ[[#This Row],[HEIGHT (mm)]]/450*MBQ[[#This Row],[QTY]]*2,0)+ROUNDUP(MBQ[[#This Row],[WIDTH (mm)]]/450*MBQ[[#This Row],[QTY]]*2,0)</f>
        <v>0</v>
      </c>
    </row>
    <row r="670" spans="1:23" hidden="1">
      <c r="A670" s="258">
        <v>1</v>
      </c>
      <c r="B670" s="259"/>
      <c r="C670" s="233"/>
      <c r="D670" s="260"/>
      <c r="E670" s="260"/>
      <c r="F670" s="261"/>
      <c r="G670" s="262"/>
      <c r="H670" s="262"/>
      <c r="I670" s="260"/>
      <c r="J670" s="233"/>
      <c r="K670" s="263"/>
      <c r="L670" s="260"/>
      <c r="M670" s="263"/>
      <c r="N670" s="263"/>
      <c r="O670" s="264"/>
      <c r="P670" s="264"/>
      <c r="Q670" s="265"/>
      <c r="R670" s="30">
        <f>MBQ[[#This Row],[HEIGHT (mm)]]*MBQ[[#This Row],[QTY TOTAL]]/1000</f>
        <v>0</v>
      </c>
      <c r="S670" s="30">
        <f>MBQ[[#This Row],[WIDTH (mm)]]*MBQ[[#This Row],[QTY TOTAL]]/1000</f>
        <v>0</v>
      </c>
      <c r="T670" s="9">
        <f>(MBQ[[#This Row],[HEIGHT (mm)]]+MBQ[[#This Row],[WIDTH (mm)]])/1000*2*MBQ[[#This Row],[QTY TOTAL]]</f>
        <v>0</v>
      </c>
      <c r="U670" s="266">
        <f>MBQ[[#This Row],[MULTIPLIER]]*MBQ[[#This Row],[QTY]]</f>
        <v>0</v>
      </c>
      <c r="V670" s="9">
        <f>MBQ[[#This Row],[HEIGHT (mm)]]/1000*MBQ[[#This Row],[WIDTH (mm)]]/1000*MBQ[[#This Row],[QTY TOTAL]]</f>
        <v>0</v>
      </c>
      <c r="W670" s="287">
        <f>ROUNDUP(MBQ[[#This Row],[HEIGHT (mm)]]/450*MBQ[[#This Row],[QTY]]*2,0)+ROUNDUP(MBQ[[#This Row],[WIDTH (mm)]]/450*MBQ[[#This Row],[QTY]]*2,0)</f>
        <v>0</v>
      </c>
    </row>
    <row r="671" spans="1:23" hidden="1">
      <c r="A671" s="258">
        <v>1</v>
      </c>
      <c r="B671" s="259"/>
      <c r="C671" s="233"/>
      <c r="D671" s="260"/>
      <c r="E671" s="260"/>
      <c r="F671" s="261"/>
      <c r="G671" s="262"/>
      <c r="H671" s="262"/>
      <c r="I671" s="260"/>
      <c r="J671" s="233"/>
      <c r="K671" s="263"/>
      <c r="L671" s="260"/>
      <c r="M671" s="263"/>
      <c r="N671" s="263"/>
      <c r="O671" s="264"/>
      <c r="P671" s="264"/>
      <c r="Q671" s="265"/>
      <c r="R671" s="30">
        <f>MBQ[[#This Row],[HEIGHT (mm)]]*MBQ[[#This Row],[QTY TOTAL]]/1000</f>
        <v>0</v>
      </c>
      <c r="S671" s="30">
        <f>MBQ[[#This Row],[WIDTH (mm)]]*MBQ[[#This Row],[QTY TOTAL]]/1000</f>
        <v>0</v>
      </c>
      <c r="T671" s="9">
        <f>(MBQ[[#This Row],[HEIGHT (mm)]]+MBQ[[#This Row],[WIDTH (mm)]])/1000*2*MBQ[[#This Row],[QTY TOTAL]]</f>
        <v>0</v>
      </c>
      <c r="U671" s="266">
        <f>MBQ[[#This Row],[MULTIPLIER]]*MBQ[[#This Row],[QTY]]</f>
        <v>0</v>
      </c>
      <c r="V671" s="9">
        <f>MBQ[[#This Row],[HEIGHT (mm)]]/1000*MBQ[[#This Row],[WIDTH (mm)]]/1000*MBQ[[#This Row],[QTY TOTAL]]</f>
        <v>0</v>
      </c>
      <c r="W671" s="287">
        <f>ROUNDUP(MBQ[[#This Row],[HEIGHT (mm)]]/450*MBQ[[#This Row],[QTY]]*2,0)+ROUNDUP(MBQ[[#This Row],[WIDTH (mm)]]/450*MBQ[[#This Row],[QTY]]*2,0)</f>
        <v>0</v>
      </c>
    </row>
    <row r="672" spans="1:23" hidden="1">
      <c r="A672" s="258">
        <v>1</v>
      </c>
      <c r="B672" s="259"/>
      <c r="C672" s="233"/>
      <c r="D672" s="260"/>
      <c r="E672" s="260"/>
      <c r="F672" s="261"/>
      <c r="G672" s="262"/>
      <c r="H672" s="262"/>
      <c r="I672" s="260"/>
      <c r="J672" s="233"/>
      <c r="K672" s="263"/>
      <c r="L672" s="260"/>
      <c r="M672" s="263"/>
      <c r="N672" s="263"/>
      <c r="O672" s="264"/>
      <c r="P672" s="264"/>
      <c r="Q672" s="265"/>
      <c r="R672" s="30">
        <f>MBQ[[#This Row],[HEIGHT (mm)]]*MBQ[[#This Row],[QTY TOTAL]]/1000</f>
        <v>0</v>
      </c>
      <c r="S672" s="30">
        <f>MBQ[[#This Row],[WIDTH (mm)]]*MBQ[[#This Row],[QTY TOTAL]]/1000</f>
        <v>0</v>
      </c>
      <c r="T672" s="9">
        <f>(MBQ[[#This Row],[HEIGHT (mm)]]+MBQ[[#This Row],[WIDTH (mm)]])/1000*2*MBQ[[#This Row],[QTY TOTAL]]</f>
        <v>0</v>
      </c>
      <c r="U672" s="266">
        <f>MBQ[[#This Row],[MULTIPLIER]]*MBQ[[#This Row],[QTY]]</f>
        <v>0</v>
      </c>
      <c r="V672" s="9">
        <f>MBQ[[#This Row],[HEIGHT (mm)]]/1000*MBQ[[#This Row],[WIDTH (mm)]]/1000*MBQ[[#This Row],[QTY TOTAL]]</f>
        <v>0</v>
      </c>
      <c r="W672" s="287">
        <f>ROUNDUP(MBQ[[#This Row],[HEIGHT (mm)]]/450*MBQ[[#This Row],[QTY]]*2,0)+ROUNDUP(MBQ[[#This Row],[WIDTH (mm)]]/450*MBQ[[#This Row],[QTY]]*2,0)</f>
        <v>0</v>
      </c>
    </row>
    <row r="673" spans="1:23" hidden="1">
      <c r="A673" s="258">
        <v>1</v>
      </c>
      <c r="B673" s="259"/>
      <c r="C673" s="233"/>
      <c r="D673" s="260"/>
      <c r="E673" s="260"/>
      <c r="F673" s="261"/>
      <c r="G673" s="262"/>
      <c r="H673" s="262"/>
      <c r="I673" s="260"/>
      <c r="J673" s="233"/>
      <c r="K673" s="263"/>
      <c r="L673" s="260"/>
      <c r="M673" s="263"/>
      <c r="N673" s="263"/>
      <c r="O673" s="264"/>
      <c r="P673" s="264"/>
      <c r="Q673" s="265"/>
      <c r="R673" s="30">
        <f>MBQ[[#This Row],[HEIGHT (mm)]]*MBQ[[#This Row],[QTY TOTAL]]/1000</f>
        <v>0</v>
      </c>
      <c r="S673" s="30">
        <f>MBQ[[#This Row],[WIDTH (mm)]]*MBQ[[#This Row],[QTY TOTAL]]/1000</f>
        <v>0</v>
      </c>
      <c r="T673" s="9">
        <f>(MBQ[[#This Row],[HEIGHT (mm)]]+MBQ[[#This Row],[WIDTH (mm)]])/1000*2*MBQ[[#This Row],[QTY TOTAL]]</f>
        <v>0</v>
      </c>
      <c r="U673" s="266">
        <f>MBQ[[#This Row],[MULTIPLIER]]*MBQ[[#This Row],[QTY]]</f>
        <v>0</v>
      </c>
      <c r="V673" s="9">
        <f>MBQ[[#This Row],[HEIGHT (mm)]]/1000*MBQ[[#This Row],[WIDTH (mm)]]/1000*MBQ[[#This Row],[QTY TOTAL]]</f>
        <v>0</v>
      </c>
      <c r="W673" s="287">
        <f>ROUNDUP(MBQ[[#This Row],[HEIGHT (mm)]]/450*MBQ[[#This Row],[QTY]]*2,0)+ROUNDUP(MBQ[[#This Row],[WIDTH (mm)]]/450*MBQ[[#This Row],[QTY]]*2,0)</f>
        <v>0</v>
      </c>
    </row>
    <row r="674" spans="1:23" hidden="1">
      <c r="A674" s="258">
        <v>1</v>
      </c>
      <c r="B674" s="259"/>
      <c r="C674" s="233"/>
      <c r="D674" s="260"/>
      <c r="E674" s="260"/>
      <c r="F674" s="261"/>
      <c r="G674" s="262"/>
      <c r="H674" s="262"/>
      <c r="I674" s="260"/>
      <c r="J674" s="233"/>
      <c r="K674" s="263"/>
      <c r="L674" s="260"/>
      <c r="M674" s="263"/>
      <c r="N674" s="263"/>
      <c r="O674" s="264"/>
      <c r="P674" s="264"/>
      <c r="Q674" s="265"/>
      <c r="R674" s="30">
        <f>MBQ[[#This Row],[HEIGHT (mm)]]*MBQ[[#This Row],[QTY TOTAL]]/1000</f>
        <v>0</v>
      </c>
      <c r="S674" s="30">
        <f>MBQ[[#This Row],[WIDTH (mm)]]*MBQ[[#This Row],[QTY TOTAL]]/1000</f>
        <v>0</v>
      </c>
      <c r="T674" s="9">
        <f>(MBQ[[#This Row],[HEIGHT (mm)]]+MBQ[[#This Row],[WIDTH (mm)]])/1000*2*MBQ[[#This Row],[QTY TOTAL]]</f>
        <v>0</v>
      </c>
      <c r="U674" s="266">
        <f>MBQ[[#This Row],[MULTIPLIER]]*MBQ[[#This Row],[QTY]]</f>
        <v>0</v>
      </c>
      <c r="V674" s="9">
        <f>MBQ[[#This Row],[HEIGHT (mm)]]/1000*MBQ[[#This Row],[WIDTH (mm)]]/1000*MBQ[[#This Row],[QTY TOTAL]]</f>
        <v>0</v>
      </c>
      <c r="W674" s="287">
        <f>ROUNDUP(MBQ[[#This Row],[HEIGHT (mm)]]/450*MBQ[[#This Row],[QTY]]*2,0)+ROUNDUP(MBQ[[#This Row],[WIDTH (mm)]]/450*MBQ[[#This Row],[QTY]]*2,0)</f>
        <v>0</v>
      </c>
    </row>
    <row r="675" spans="1:23" hidden="1">
      <c r="A675" s="258">
        <v>1</v>
      </c>
      <c r="B675" s="259"/>
      <c r="C675" s="233"/>
      <c r="D675" s="260"/>
      <c r="E675" s="260"/>
      <c r="F675" s="261"/>
      <c r="G675" s="262"/>
      <c r="H675" s="262"/>
      <c r="I675" s="260"/>
      <c r="J675" s="233"/>
      <c r="K675" s="263"/>
      <c r="L675" s="260"/>
      <c r="M675" s="263"/>
      <c r="N675" s="263"/>
      <c r="O675" s="264"/>
      <c r="P675" s="264"/>
      <c r="Q675" s="265"/>
      <c r="R675" s="30">
        <f>MBQ[[#This Row],[HEIGHT (mm)]]*MBQ[[#This Row],[QTY TOTAL]]/1000</f>
        <v>0</v>
      </c>
      <c r="S675" s="30">
        <f>MBQ[[#This Row],[WIDTH (mm)]]*MBQ[[#This Row],[QTY TOTAL]]/1000</f>
        <v>0</v>
      </c>
      <c r="T675" s="9">
        <f>(MBQ[[#This Row],[HEIGHT (mm)]]+MBQ[[#This Row],[WIDTH (mm)]])/1000*2*MBQ[[#This Row],[QTY TOTAL]]</f>
        <v>0</v>
      </c>
      <c r="U675" s="266">
        <f>MBQ[[#This Row],[MULTIPLIER]]*MBQ[[#This Row],[QTY]]</f>
        <v>0</v>
      </c>
      <c r="V675" s="9">
        <f>MBQ[[#This Row],[HEIGHT (mm)]]/1000*MBQ[[#This Row],[WIDTH (mm)]]/1000*MBQ[[#This Row],[QTY TOTAL]]</f>
        <v>0</v>
      </c>
      <c r="W675" s="287">
        <f>ROUNDUP(MBQ[[#This Row],[HEIGHT (mm)]]/450*MBQ[[#This Row],[QTY]]*2,0)+ROUNDUP(MBQ[[#This Row],[WIDTH (mm)]]/450*MBQ[[#This Row],[QTY]]*2,0)</f>
        <v>0</v>
      </c>
    </row>
    <row r="676" spans="1:23" hidden="1">
      <c r="A676" s="258">
        <v>1</v>
      </c>
      <c r="B676" s="259"/>
      <c r="C676" s="233"/>
      <c r="D676" s="260"/>
      <c r="E676" s="260"/>
      <c r="F676" s="261"/>
      <c r="G676" s="262"/>
      <c r="H676" s="262"/>
      <c r="I676" s="260"/>
      <c r="J676" s="233"/>
      <c r="K676" s="263"/>
      <c r="L676" s="260"/>
      <c r="M676" s="263"/>
      <c r="N676" s="263"/>
      <c r="O676" s="264"/>
      <c r="P676" s="264"/>
      <c r="Q676" s="265"/>
      <c r="R676" s="30">
        <f>MBQ[[#This Row],[HEIGHT (mm)]]*MBQ[[#This Row],[QTY TOTAL]]/1000</f>
        <v>0</v>
      </c>
      <c r="S676" s="30">
        <f>MBQ[[#This Row],[WIDTH (mm)]]*MBQ[[#This Row],[QTY TOTAL]]/1000</f>
        <v>0</v>
      </c>
      <c r="T676" s="9">
        <f>(MBQ[[#This Row],[HEIGHT (mm)]]+MBQ[[#This Row],[WIDTH (mm)]])/1000*2*MBQ[[#This Row],[QTY TOTAL]]</f>
        <v>0</v>
      </c>
      <c r="U676" s="266">
        <f>MBQ[[#This Row],[MULTIPLIER]]*MBQ[[#This Row],[QTY]]</f>
        <v>0</v>
      </c>
      <c r="V676" s="9">
        <f>MBQ[[#This Row],[HEIGHT (mm)]]/1000*MBQ[[#This Row],[WIDTH (mm)]]/1000*MBQ[[#This Row],[QTY TOTAL]]</f>
        <v>0</v>
      </c>
      <c r="W676" s="287">
        <f>ROUNDUP(MBQ[[#This Row],[HEIGHT (mm)]]/450*MBQ[[#This Row],[QTY]]*2,0)+ROUNDUP(MBQ[[#This Row],[WIDTH (mm)]]/450*MBQ[[#This Row],[QTY]]*2,0)</f>
        <v>0</v>
      </c>
    </row>
    <row r="677" spans="1:23" hidden="1">
      <c r="A677" s="258">
        <v>1</v>
      </c>
      <c r="B677" s="259"/>
      <c r="C677" s="233"/>
      <c r="D677" s="260"/>
      <c r="E677" s="260"/>
      <c r="F677" s="261"/>
      <c r="G677" s="262"/>
      <c r="H677" s="262"/>
      <c r="I677" s="260"/>
      <c r="J677" s="233"/>
      <c r="K677" s="263"/>
      <c r="L677" s="260"/>
      <c r="M677" s="263"/>
      <c r="N677" s="263"/>
      <c r="O677" s="264"/>
      <c r="P677" s="264"/>
      <c r="Q677" s="265"/>
      <c r="R677" s="30">
        <f>MBQ[[#This Row],[HEIGHT (mm)]]*MBQ[[#This Row],[QTY TOTAL]]/1000</f>
        <v>0</v>
      </c>
      <c r="S677" s="30">
        <f>MBQ[[#This Row],[WIDTH (mm)]]*MBQ[[#This Row],[QTY TOTAL]]/1000</f>
        <v>0</v>
      </c>
      <c r="T677" s="9">
        <f>(MBQ[[#This Row],[HEIGHT (mm)]]+MBQ[[#This Row],[WIDTH (mm)]])/1000*2*MBQ[[#This Row],[QTY TOTAL]]</f>
        <v>0</v>
      </c>
      <c r="U677" s="266">
        <f>MBQ[[#This Row],[MULTIPLIER]]*MBQ[[#This Row],[QTY]]</f>
        <v>0</v>
      </c>
      <c r="V677" s="9">
        <f>MBQ[[#This Row],[HEIGHT (mm)]]/1000*MBQ[[#This Row],[WIDTH (mm)]]/1000*MBQ[[#This Row],[QTY TOTAL]]</f>
        <v>0</v>
      </c>
      <c r="W677" s="287">
        <f>ROUNDUP(MBQ[[#This Row],[HEIGHT (mm)]]/450*MBQ[[#This Row],[QTY]]*2,0)+ROUNDUP(MBQ[[#This Row],[WIDTH (mm)]]/450*MBQ[[#This Row],[QTY]]*2,0)</f>
        <v>0</v>
      </c>
    </row>
    <row r="678" spans="1:23" hidden="1">
      <c r="A678" s="258">
        <v>1</v>
      </c>
      <c r="B678" s="259"/>
      <c r="C678" s="233"/>
      <c r="D678" s="260"/>
      <c r="E678" s="260"/>
      <c r="F678" s="261"/>
      <c r="G678" s="262"/>
      <c r="H678" s="262"/>
      <c r="I678" s="260"/>
      <c r="J678" s="233"/>
      <c r="K678" s="263"/>
      <c r="L678" s="260"/>
      <c r="M678" s="263"/>
      <c r="N678" s="263"/>
      <c r="O678" s="264"/>
      <c r="P678" s="264"/>
      <c r="Q678" s="265"/>
      <c r="R678" s="30">
        <f>MBQ[[#This Row],[HEIGHT (mm)]]*MBQ[[#This Row],[QTY TOTAL]]/1000</f>
        <v>0</v>
      </c>
      <c r="S678" s="30">
        <f>MBQ[[#This Row],[WIDTH (mm)]]*MBQ[[#This Row],[QTY TOTAL]]/1000</f>
        <v>0</v>
      </c>
      <c r="T678" s="9">
        <f>(MBQ[[#This Row],[HEIGHT (mm)]]+MBQ[[#This Row],[WIDTH (mm)]])/1000*2*MBQ[[#This Row],[QTY TOTAL]]</f>
        <v>0</v>
      </c>
      <c r="U678" s="266">
        <f>MBQ[[#This Row],[MULTIPLIER]]*MBQ[[#This Row],[QTY]]</f>
        <v>0</v>
      </c>
      <c r="V678" s="9">
        <f>MBQ[[#This Row],[HEIGHT (mm)]]/1000*MBQ[[#This Row],[WIDTH (mm)]]/1000*MBQ[[#This Row],[QTY TOTAL]]</f>
        <v>0</v>
      </c>
      <c r="W678" s="287">
        <f>ROUNDUP(MBQ[[#This Row],[HEIGHT (mm)]]/450*MBQ[[#This Row],[QTY]]*2,0)+ROUNDUP(MBQ[[#This Row],[WIDTH (mm)]]/450*MBQ[[#This Row],[QTY]]*2,0)</f>
        <v>0</v>
      </c>
    </row>
    <row r="679" spans="1:23" hidden="1">
      <c r="A679" s="258">
        <v>1</v>
      </c>
      <c r="B679" s="259"/>
      <c r="C679" s="233"/>
      <c r="D679" s="260"/>
      <c r="E679" s="260"/>
      <c r="F679" s="261"/>
      <c r="G679" s="262"/>
      <c r="H679" s="262"/>
      <c r="I679" s="260"/>
      <c r="J679" s="233"/>
      <c r="K679" s="263"/>
      <c r="L679" s="260"/>
      <c r="M679" s="263"/>
      <c r="N679" s="263"/>
      <c r="O679" s="264"/>
      <c r="P679" s="264"/>
      <c r="Q679" s="265"/>
      <c r="R679" s="30">
        <f>MBQ[[#This Row],[HEIGHT (mm)]]*MBQ[[#This Row],[QTY TOTAL]]/1000</f>
        <v>0</v>
      </c>
      <c r="S679" s="30">
        <f>MBQ[[#This Row],[WIDTH (mm)]]*MBQ[[#This Row],[QTY TOTAL]]/1000</f>
        <v>0</v>
      </c>
      <c r="T679" s="9">
        <f>(MBQ[[#This Row],[HEIGHT (mm)]]+MBQ[[#This Row],[WIDTH (mm)]])/1000*2*MBQ[[#This Row],[QTY TOTAL]]</f>
        <v>0</v>
      </c>
      <c r="U679" s="266">
        <f>MBQ[[#This Row],[MULTIPLIER]]*MBQ[[#This Row],[QTY]]</f>
        <v>0</v>
      </c>
      <c r="V679" s="9">
        <f>MBQ[[#This Row],[HEIGHT (mm)]]/1000*MBQ[[#This Row],[WIDTH (mm)]]/1000*MBQ[[#This Row],[QTY TOTAL]]</f>
        <v>0</v>
      </c>
      <c r="W679" s="287">
        <f>ROUNDUP(MBQ[[#This Row],[HEIGHT (mm)]]/450*MBQ[[#This Row],[QTY]]*2,0)+ROUNDUP(MBQ[[#This Row],[WIDTH (mm)]]/450*MBQ[[#This Row],[QTY]]*2,0)</f>
        <v>0</v>
      </c>
    </row>
    <row r="680" spans="1:23" hidden="1">
      <c r="A680" s="258">
        <v>1</v>
      </c>
      <c r="B680" s="259"/>
      <c r="C680" s="233"/>
      <c r="D680" s="260"/>
      <c r="E680" s="260"/>
      <c r="F680" s="261"/>
      <c r="G680" s="262"/>
      <c r="H680" s="262"/>
      <c r="I680" s="260"/>
      <c r="J680" s="233"/>
      <c r="K680" s="263"/>
      <c r="L680" s="260"/>
      <c r="M680" s="263"/>
      <c r="N680" s="263"/>
      <c r="O680" s="264"/>
      <c r="P680" s="264"/>
      <c r="Q680" s="265"/>
      <c r="R680" s="30">
        <f>MBQ[[#This Row],[HEIGHT (mm)]]*MBQ[[#This Row],[QTY TOTAL]]/1000</f>
        <v>0</v>
      </c>
      <c r="S680" s="30">
        <f>MBQ[[#This Row],[WIDTH (mm)]]*MBQ[[#This Row],[QTY TOTAL]]/1000</f>
        <v>0</v>
      </c>
      <c r="T680" s="9">
        <f>(MBQ[[#This Row],[HEIGHT (mm)]]+MBQ[[#This Row],[WIDTH (mm)]])/1000*2*MBQ[[#This Row],[QTY TOTAL]]</f>
        <v>0</v>
      </c>
      <c r="U680" s="266">
        <f>MBQ[[#This Row],[MULTIPLIER]]*MBQ[[#This Row],[QTY]]</f>
        <v>0</v>
      </c>
      <c r="V680" s="9">
        <f>MBQ[[#This Row],[HEIGHT (mm)]]/1000*MBQ[[#This Row],[WIDTH (mm)]]/1000*MBQ[[#This Row],[QTY TOTAL]]</f>
        <v>0</v>
      </c>
      <c r="W680" s="287">
        <f>ROUNDUP(MBQ[[#This Row],[HEIGHT (mm)]]/450*MBQ[[#This Row],[QTY]]*2,0)+ROUNDUP(MBQ[[#This Row],[WIDTH (mm)]]/450*MBQ[[#This Row],[QTY]]*2,0)</f>
        <v>0</v>
      </c>
    </row>
    <row r="681" spans="1:23" hidden="1">
      <c r="A681" s="258">
        <v>1</v>
      </c>
      <c r="B681" s="259"/>
      <c r="C681" s="233"/>
      <c r="D681" s="260"/>
      <c r="E681" s="260"/>
      <c r="F681" s="261"/>
      <c r="G681" s="262"/>
      <c r="H681" s="262"/>
      <c r="I681" s="260"/>
      <c r="J681" s="233"/>
      <c r="K681" s="263"/>
      <c r="L681" s="260"/>
      <c r="M681" s="263"/>
      <c r="N681" s="263"/>
      <c r="O681" s="264"/>
      <c r="P681" s="264"/>
      <c r="Q681" s="265"/>
      <c r="R681" s="30">
        <f>MBQ[[#This Row],[HEIGHT (mm)]]*MBQ[[#This Row],[QTY TOTAL]]/1000</f>
        <v>0</v>
      </c>
      <c r="S681" s="30">
        <f>MBQ[[#This Row],[WIDTH (mm)]]*MBQ[[#This Row],[QTY TOTAL]]/1000</f>
        <v>0</v>
      </c>
      <c r="T681" s="9">
        <f>(MBQ[[#This Row],[HEIGHT (mm)]]+MBQ[[#This Row],[WIDTH (mm)]])/1000*2*MBQ[[#This Row],[QTY TOTAL]]</f>
        <v>0</v>
      </c>
      <c r="U681" s="266">
        <f>MBQ[[#This Row],[MULTIPLIER]]*MBQ[[#This Row],[QTY]]</f>
        <v>0</v>
      </c>
      <c r="V681" s="9">
        <f>MBQ[[#This Row],[HEIGHT (mm)]]/1000*MBQ[[#This Row],[WIDTH (mm)]]/1000*MBQ[[#This Row],[QTY TOTAL]]</f>
        <v>0</v>
      </c>
      <c r="W681" s="287">
        <f>ROUNDUP(MBQ[[#This Row],[HEIGHT (mm)]]/450*MBQ[[#This Row],[QTY]]*2,0)+ROUNDUP(MBQ[[#This Row],[WIDTH (mm)]]/450*MBQ[[#This Row],[QTY]]*2,0)</f>
        <v>0</v>
      </c>
    </row>
    <row r="682" spans="1:23" hidden="1">
      <c r="A682" s="258">
        <v>1</v>
      </c>
      <c r="B682" s="259"/>
      <c r="C682" s="233"/>
      <c r="D682" s="260"/>
      <c r="E682" s="260"/>
      <c r="F682" s="261"/>
      <c r="G682" s="262"/>
      <c r="H682" s="262"/>
      <c r="I682" s="260"/>
      <c r="J682" s="233"/>
      <c r="K682" s="263"/>
      <c r="L682" s="260"/>
      <c r="M682" s="263"/>
      <c r="N682" s="263"/>
      <c r="O682" s="264"/>
      <c r="P682" s="264"/>
      <c r="Q682" s="265"/>
      <c r="R682" s="30">
        <f>MBQ[[#This Row],[HEIGHT (mm)]]*MBQ[[#This Row],[QTY TOTAL]]/1000</f>
        <v>0</v>
      </c>
      <c r="S682" s="30">
        <f>MBQ[[#This Row],[WIDTH (mm)]]*MBQ[[#This Row],[QTY TOTAL]]/1000</f>
        <v>0</v>
      </c>
      <c r="T682" s="9">
        <f>(MBQ[[#This Row],[HEIGHT (mm)]]+MBQ[[#This Row],[WIDTH (mm)]])/1000*2*MBQ[[#This Row],[QTY TOTAL]]</f>
        <v>0</v>
      </c>
      <c r="U682" s="266">
        <f>MBQ[[#This Row],[MULTIPLIER]]*MBQ[[#This Row],[QTY]]</f>
        <v>0</v>
      </c>
      <c r="V682" s="9">
        <f>MBQ[[#This Row],[HEIGHT (mm)]]/1000*MBQ[[#This Row],[WIDTH (mm)]]/1000*MBQ[[#This Row],[QTY TOTAL]]</f>
        <v>0</v>
      </c>
      <c r="W682" s="287">
        <f>ROUNDUP(MBQ[[#This Row],[HEIGHT (mm)]]/450*MBQ[[#This Row],[QTY]]*2,0)+ROUNDUP(MBQ[[#This Row],[WIDTH (mm)]]/450*MBQ[[#This Row],[QTY]]*2,0)</f>
        <v>0</v>
      </c>
    </row>
    <row r="683" spans="1:23" hidden="1">
      <c r="A683" s="258">
        <v>1</v>
      </c>
      <c r="B683" s="259"/>
      <c r="C683" s="233"/>
      <c r="D683" s="260"/>
      <c r="E683" s="260"/>
      <c r="F683" s="261"/>
      <c r="G683" s="262"/>
      <c r="H683" s="262"/>
      <c r="I683" s="260"/>
      <c r="J683" s="233"/>
      <c r="K683" s="263"/>
      <c r="L683" s="260"/>
      <c r="M683" s="263"/>
      <c r="N683" s="263"/>
      <c r="O683" s="264"/>
      <c r="P683" s="264"/>
      <c r="Q683" s="265"/>
      <c r="R683" s="30">
        <f>MBQ[[#This Row],[HEIGHT (mm)]]*MBQ[[#This Row],[QTY TOTAL]]/1000</f>
        <v>0</v>
      </c>
      <c r="S683" s="30">
        <f>MBQ[[#This Row],[WIDTH (mm)]]*MBQ[[#This Row],[QTY TOTAL]]/1000</f>
        <v>0</v>
      </c>
      <c r="T683" s="9">
        <f>(MBQ[[#This Row],[HEIGHT (mm)]]+MBQ[[#This Row],[WIDTH (mm)]])/1000*2*MBQ[[#This Row],[QTY TOTAL]]</f>
        <v>0</v>
      </c>
      <c r="U683" s="266">
        <f>MBQ[[#This Row],[MULTIPLIER]]*MBQ[[#This Row],[QTY]]</f>
        <v>0</v>
      </c>
      <c r="V683" s="9">
        <f>MBQ[[#This Row],[HEIGHT (mm)]]/1000*MBQ[[#This Row],[WIDTH (mm)]]/1000*MBQ[[#This Row],[QTY TOTAL]]</f>
        <v>0</v>
      </c>
      <c r="W683" s="287">
        <f>ROUNDUP(MBQ[[#This Row],[HEIGHT (mm)]]/450*MBQ[[#This Row],[QTY]]*2,0)+ROUNDUP(MBQ[[#This Row],[WIDTH (mm)]]/450*MBQ[[#This Row],[QTY]]*2,0)</f>
        <v>0</v>
      </c>
    </row>
    <row r="684" spans="1:23" hidden="1">
      <c r="A684" s="258">
        <v>1</v>
      </c>
      <c r="B684" s="259"/>
      <c r="C684" s="233"/>
      <c r="D684" s="260"/>
      <c r="E684" s="260"/>
      <c r="F684" s="261"/>
      <c r="G684" s="262"/>
      <c r="H684" s="262"/>
      <c r="I684" s="260"/>
      <c r="J684" s="233"/>
      <c r="K684" s="263"/>
      <c r="L684" s="260"/>
      <c r="M684" s="263"/>
      <c r="N684" s="263"/>
      <c r="O684" s="264"/>
      <c r="P684" s="264"/>
      <c r="Q684" s="265"/>
      <c r="R684" s="30">
        <f>MBQ[[#This Row],[HEIGHT (mm)]]*MBQ[[#This Row],[QTY TOTAL]]/1000</f>
        <v>0</v>
      </c>
      <c r="S684" s="30">
        <f>MBQ[[#This Row],[WIDTH (mm)]]*MBQ[[#This Row],[QTY TOTAL]]/1000</f>
        <v>0</v>
      </c>
      <c r="T684" s="9">
        <f>(MBQ[[#This Row],[HEIGHT (mm)]]+MBQ[[#This Row],[WIDTH (mm)]])/1000*2*MBQ[[#This Row],[QTY TOTAL]]</f>
        <v>0</v>
      </c>
      <c r="U684" s="266">
        <f>MBQ[[#This Row],[MULTIPLIER]]*MBQ[[#This Row],[QTY]]</f>
        <v>0</v>
      </c>
      <c r="V684" s="9">
        <f>MBQ[[#This Row],[HEIGHT (mm)]]/1000*MBQ[[#This Row],[WIDTH (mm)]]/1000*MBQ[[#This Row],[QTY TOTAL]]</f>
        <v>0</v>
      </c>
      <c r="W684" s="287">
        <f>ROUNDUP(MBQ[[#This Row],[HEIGHT (mm)]]/450*MBQ[[#This Row],[QTY]]*2,0)+ROUNDUP(MBQ[[#This Row],[WIDTH (mm)]]/450*MBQ[[#This Row],[QTY]]*2,0)</f>
        <v>0</v>
      </c>
    </row>
    <row r="685" spans="1:23" hidden="1">
      <c r="A685" s="258">
        <v>1</v>
      </c>
      <c r="B685" s="259"/>
      <c r="C685" s="233"/>
      <c r="D685" s="260"/>
      <c r="E685" s="260"/>
      <c r="F685" s="261"/>
      <c r="G685" s="262"/>
      <c r="H685" s="262"/>
      <c r="I685" s="260"/>
      <c r="J685" s="233"/>
      <c r="K685" s="263"/>
      <c r="L685" s="260"/>
      <c r="M685" s="263"/>
      <c r="N685" s="263"/>
      <c r="O685" s="264"/>
      <c r="P685" s="264"/>
      <c r="Q685" s="265"/>
      <c r="R685" s="30">
        <f>MBQ[[#This Row],[HEIGHT (mm)]]*MBQ[[#This Row],[QTY TOTAL]]/1000</f>
        <v>0</v>
      </c>
      <c r="S685" s="30">
        <f>MBQ[[#This Row],[WIDTH (mm)]]*MBQ[[#This Row],[QTY TOTAL]]/1000</f>
        <v>0</v>
      </c>
      <c r="T685" s="9">
        <f>(MBQ[[#This Row],[HEIGHT (mm)]]+MBQ[[#This Row],[WIDTH (mm)]])/1000*2*MBQ[[#This Row],[QTY TOTAL]]</f>
        <v>0</v>
      </c>
      <c r="U685" s="266">
        <f>MBQ[[#This Row],[MULTIPLIER]]*MBQ[[#This Row],[QTY]]</f>
        <v>0</v>
      </c>
      <c r="V685" s="9">
        <f>MBQ[[#This Row],[HEIGHT (mm)]]/1000*MBQ[[#This Row],[WIDTH (mm)]]/1000*MBQ[[#This Row],[QTY TOTAL]]</f>
        <v>0</v>
      </c>
      <c r="W685" s="287">
        <f>ROUNDUP(MBQ[[#This Row],[HEIGHT (mm)]]/450*MBQ[[#This Row],[QTY]]*2,0)+ROUNDUP(MBQ[[#This Row],[WIDTH (mm)]]/450*MBQ[[#This Row],[QTY]]*2,0)</f>
        <v>0</v>
      </c>
    </row>
    <row r="686" spans="1:23" hidden="1">
      <c r="A686" s="258">
        <v>1</v>
      </c>
      <c r="B686" s="259"/>
      <c r="C686" s="233"/>
      <c r="D686" s="260"/>
      <c r="E686" s="260"/>
      <c r="F686" s="261"/>
      <c r="G686" s="262"/>
      <c r="H686" s="262"/>
      <c r="I686" s="260"/>
      <c r="J686" s="233"/>
      <c r="K686" s="263"/>
      <c r="L686" s="260"/>
      <c r="M686" s="263"/>
      <c r="N686" s="263"/>
      <c r="O686" s="264"/>
      <c r="P686" s="264"/>
      <c r="Q686" s="265"/>
      <c r="R686" s="30">
        <f>MBQ[[#This Row],[HEIGHT (mm)]]*MBQ[[#This Row],[QTY TOTAL]]/1000</f>
        <v>0</v>
      </c>
      <c r="S686" s="30">
        <f>MBQ[[#This Row],[WIDTH (mm)]]*MBQ[[#This Row],[QTY TOTAL]]/1000</f>
        <v>0</v>
      </c>
      <c r="T686" s="9">
        <f>(MBQ[[#This Row],[HEIGHT (mm)]]+MBQ[[#This Row],[WIDTH (mm)]])/1000*2*MBQ[[#This Row],[QTY TOTAL]]</f>
        <v>0</v>
      </c>
      <c r="U686" s="266">
        <f>MBQ[[#This Row],[MULTIPLIER]]*MBQ[[#This Row],[QTY]]</f>
        <v>0</v>
      </c>
      <c r="V686" s="9">
        <f>MBQ[[#This Row],[HEIGHT (mm)]]/1000*MBQ[[#This Row],[WIDTH (mm)]]/1000*MBQ[[#This Row],[QTY TOTAL]]</f>
        <v>0</v>
      </c>
      <c r="W686" s="287">
        <f>ROUNDUP(MBQ[[#This Row],[HEIGHT (mm)]]/450*MBQ[[#This Row],[QTY]]*2,0)+ROUNDUP(MBQ[[#This Row],[WIDTH (mm)]]/450*MBQ[[#This Row],[QTY]]*2,0)</f>
        <v>0</v>
      </c>
    </row>
    <row r="687" spans="1:23" hidden="1">
      <c r="A687" s="258">
        <v>1</v>
      </c>
      <c r="B687" s="259"/>
      <c r="C687" s="233"/>
      <c r="D687" s="260"/>
      <c r="E687" s="260"/>
      <c r="F687" s="261"/>
      <c r="G687" s="262"/>
      <c r="H687" s="262"/>
      <c r="I687" s="260"/>
      <c r="J687" s="233"/>
      <c r="K687" s="263"/>
      <c r="L687" s="260"/>
      <c r="M687" s="263"/>
      <c r="N687" s="263"/>
      <c r="O687" s="264"/>
      <c r="P687" s="264"/>
      <c r="Q687" s="265"/>
      <c r="R687" s="30">
        <f>MBQ[[#This Row],[HEIGHT (mm)]]*MBQ[[#This Row],[QTY TOTAL]]/1000</f>
        <v>0</v>
      </c>
      <c r="S687" s="30">
        <f>MBQ[[#This Row],[WIDTH (mm)]]*MBQ[[#This Row],[QTY TOTAL]]/1000</f>
        <v>0</v>
      </c>
      <c r="T687" s="9">
        <f>(MBQ[[#This Row],[HEIGHT (mm)]]+MBQ[[#This Row],[WIDTH (mm)]])/1000*2*MBQ[[#This Row],[QTY TOTAL]]</f>
        <v>0</v>
      </c>
      <c r="U687" s="266">
        <f>MBQ[[#This Row],[MULTIPLIER]]*MBQ[[#This Row],[QTY]]</f>
        <v>0</v>
      </c>
      <c r="V687" s="9">
        <f>MBQ[[#This Row],[HEIGHT (mm)]]/1000*MBQ[[#This Row],[WIDTH (mm)]]/1000*MBQ[[#This Row],[QTY TOTAL]]</f>
        <v>0</v>
      </c>
      <c r="W687" s="287">
        <f>ROUNDUP(MBQ[[#This Row],[HEIGHT (mm)]]/450*MBQ[[#This Row],[QTY]]*2,0)+ROUNDUP(MBQ[[#This Row],[WIDTH (mm)]]/450*MBQ[[#This Row],[QTY]]*2,0)</f>
        <v>0</v>
      </c>
    </row>
    <row r="688" spans="1:23" hidden="1">
      <c r="A688" s="258">
        <v>1</v>
      </c>
      <c r="B688" s="259"/>
      <c r="C688" s="233"/>
      <c r="D688" s="260"/>
      <c r="E688" s="260"/>
      <c r="F688" s="261"/>
      <c r="G688" s="262"/>
      <c r="H688" s="262"/>
      <c r="I688" s="260"/>
      <c r="J688" s="233"/>
      <c r="K688" s="263"/>
      <c r="L688" s="260"/>
      <c r="M688" s="263"/>
      <c r="N688" s="263"/>
      <c r="O688" s="264"/>
      <c r="P688" s="264"/>
      <c r="Q688" s="265"/>
      <c r="R688" s="30">
        <f>MBQ[[#This Row],[HEIGHT (mm)]]*MBQ[[#This Row],[QTY TOTAL]]/1000</f>
        <v>0</v>
      </c>
      <c r="S688" s="30">
        <f>MBQ[[#This Row],[WIDTH (mm)]]*MBQ[[#This Row],[QTY TOTAL]]/1000</f>
        <v>0</v>
      </c>
      <c r="T688" s="9">
        <f>(MBQ[[#This Row],[HEIGHT (mm)]]+MBQ[[#This Row],[WIDTH (mm)]])/1000*2*MBQ[[#This Row],[QTY TOTAL]]</f>
        <v>0</v>
      </c>
      <c r="U688" s="266">
        <f>MBQ[[#This Row],[MULTIPLIER]]*MBQ[[#This Row],[QTY]]</f>
        <v>0</v>
      </c>
      <c r="V688" s="9">
        <f>MBQ[[#This Row],[HEIGHT (mm)]]/1000*MBQ[[#This Row],[WIDTH (mm)]]/1000*MBQ[[#This Row],[QTY TOTAL]]</f>
        <v>0</v>
      </c>
      <c r="W688" s="287">
        <f>ROUNDUP(MBQ[[#This Row],[HEIGHT (mm)]]/450*MBQ[[#This Row],[QTY]]*2,0)+ROUNDUP(MBQ[[#This Row],[WIDTH (mm)]]/450*MBQ[[#This Row],[QTY]]*2,0)</f>
        <v>0</v>
      </c>
    </row>
    <row r="689" spans="1:23" hidden="1">
      <c r="A689" s="258">
        <v>1</v>
      </c>
      <c r="B689" s="259"/>
      <c r="C689" s="233"/>
      <c r="D689" s="260"/>
      <c r="E689" s="260"/>
      <c r="F689" s="261"/>
      <c r="G689" s="262"/>
      <c r="H689" s="262"/>
      <c r="I689" s="260"/>
      <c r="J689" s="233"/>
      <c r="K689" s="263"/>
      <c r="L689" s="260"/>
      <c r="M689" s="263"/>
      <c r="N689" s="263"/>
      <c r="O689" s="264"/>
      <c r="P689" s="264"/>
      <c r="Q689" s="265"/>
      <c r="R689" s="30">
        <f>MBQ[[#This Row],[HEIGHT (mm)]]*MBQ[[#This Row],[QTY TOTAL]]/1000</f>
        <v>0</v>
      </c>
      <c r="S689" s="30">
        <f>MBQ[[#This Row],[WIDTH (mm)]]*MBQ[[#This Row],[QTY TOTAL]]/1000</f>
        <v>0</v>
      </c>
      <c r="T689" s="9">
        <f>(MBQ[[#This Row],[HEIGHT (mm)]]+MBQ[[#This Row],[WIDTH (mm)]])/1000*2*MBQ[[#This Row],[QTY TOTAL]]</f>
        <v>0</v>
      </c>
      <c r="U689" s="266">
        <f>MBQ[[#This Row],[MULTIPLIER]]*MBQ[[#This Row],[QTY]]</f>
        <v>0</v>
      </c>
      <c r="V689" s="9">
        <f>MBQ[[#This Row],[HEIGHT (mm)]]/1000*MBQ[[#This Row],[WIDTH (mm)]]/1000*MBQ[[#This Row],[QTY TOTAL]]</f>
        <v>0</v>
      </c>
      <c r="W689" s="287">
        <f>ROUNDUP(MBQ[[#This Row],[HEIGHT (mm)]]/450*MBQ[[#This Row],[QTY]]*2,0)+ROUNDUP(MBQ[[#This Row],[WIDTH (mm)]]/450*MBQ[[#This Row],[QTY]]*2,0)</f>
        <v>0</v>
      </c>
    </row>
    <row r="690" spans="1:23" hidden="1">
      <c r="A690" s="258">
        <v>1</v>
      </c>
      <c r="B690" s="259"/>
      <c r="C690" s="233"/>
      <c r="D690" s="260"/>
      <c r="E690" s="260"/>
      <c r="F690" s="261"/>
      <c r="G690" s="262"/>
      <c r="H690" s="262"/>
      <c r="I690" s="260"/>
      <c r="J690" s="233"/>
      <c r="K690" s="263"/>
      <c r="L690" s="260"/>
      <c r="M690" s="263"/>
      <c r="N690" s="263"/>
      <c r="O690" s="264"/>
      <c r="P690" s="264"/>
      <c r="Q690" s="265"/>
      <c r="R690" s="30">
        <f>MBQ[[#This Row],[HEIGHT (mm)]]*MBQ[[#This Row],[QTY TOTAL]]/1000</f>
        <v>0</v>
      </c>
      <c r="S690" s="30">
        <f>MBQ[[#This Row],[WIDTH (mm)]]*MBQ[[#This Row],[QTY TOTAL]]/1000</f>
        <v>0</v>
      </c>
      <c r="T690" s="9">
        <f>(MBQ[[#This Row],[HEIGHT (mm)]]+MBQ[[#This Row],[WIDTH (mm)]])/1000*2*MBQ[[#This Row],[QTY TOTAL]]</f>
        <v>0</v>
      </c>
      <c r="U690" s="266">
        <f>MBQ[[#This Row],[MULTIPLIER]]*MBQ[[#This Row],[QTY]]</f>
        <v>0</v>
      </c>
      <c r="V690" s="9">
        <f>MBQ[[#This Row],[HEIGHT (mm)]]/1000*MBQ[[#This Row],[WIDTH (mm)]]/1000*MBQ[[#This Row],[QTY TOTAL]]</f>
        <v>0</v>
      </c>
      <c r="W690" s="287">
        <f>ROUNDUP(MBQ[[#This Row],[HEIGHT (mm)]]/450*MBQ[[#This Row],[QTY]]*2,0)+ROUNDUP(MBQ[[#This Row],[WIDTH (mm)]]/450*MBQ[[#This Row],[QTY]]*2,0)</f>
        <v>0</v>
      </c>
    </row>
    <row r="691" spans="1:23" hidden="1">
      <c r="A691" s="258">
        <v>1</v>
      </c>
      <c r="B691" s="259"/>
      <c r="C691" s="233"/>
      <c r="D691" s="260"/>
      <c r="E691" s="260"/>
      <c r="F691" s="261"/>
      <c r="G691" s="262"/>
      <c r="H691" s="262"/>
      <c r="I691" s="260"/>
      <c r="J691" s="233"/>
      <c r="K691" s="263"/>
      <c r="L691" s="260"/>
      <c r="M691" s="263"/>
      <c r="N691" s="263"/>
      <c r="O691" s="264"/>
      <c r="P691" s="264"/>
      <c r="Q691" s="265"/>
      <c r="R691" s="30">
        <f>MBQ[[#This Row],[HEIGHT (mm)]]*MBQ[[#This Row],[QTY TOTAL]]/1000</f>
        <v>0</v>
      </c>
      <c r="S691" s="30">
        <f>MBQ[[#This Row],[WIDTH (mm)]]*MBQ[[#This Row],[QTY TOTAL]]/1000</f>
        <v>0</v>
      </c>
      <c r="T691" s="9">
        <f>(MBQ[[#This Row],[HEIGHT (mm)]]+MBQ[[#This Row],[WIDTH (mm)]])/1000*2*MBQ[[#This Row],[QTY TOTAL]]</f>
        <v>0</v>
      </c>
      <c r="U691" s="266">
        <f>MBQ[[#This Row],[MULTIPLIER]]*MBQ[[#This Row],[QTY]]</f>
        <v>0</v>
      </c>
      <c r="V691" s="9">
        <f>MBQ[[#This Row],[HEIGHT (mm)]]/1000*MBQ[[#This Row],[WIDTH (mm)]]/1000*MBQ[[#This Row],[QTY TOTAL]]</f>
        <v>0</v>
      </c>
      <c r="W691" s="287">
        <f>ROUNDUP(MBQ[[#This Row],[HEIGHT (mm)]]/450*MBQ[[#This Row],[QTY]]*2,0)+ROUNDUP(MBQ[[#This Row],[WIDTH (mm)]]/450*MBQ[[#This Row],[QTY]]*2,0)</f>
        <v>0</v>
      </c>
    </row>
    <row r="692" spans="1:23" hidden="1">
      <c r="A692" s="258">
        <v>1</v>
      </c>
      <c r="B692" s="259"/>
      <c r="C692" s="233"/>
      <c r="D692" s="260"/>
      <c r="E692" s="260"/>
      <c r="F692" s="261"/>
      <c r="G692" s="262"/>
      <c r="H692" s="262"/>
      <c r="I692" s="260"/>
      <c r="J692" s="233"/>
      <c r="K692" s="263"/>
      <c r="L692" s="260"/>
      <c r="M692" s="263"/>
      <c r="N692" s="263"/>
      <c r="O692" s="264"/>
      <c r="P692" s="264"/>
      <c r="Q692" s="265"/>
      <c r="R692" s="30">
        <f>MBQ[[#This Row],[HEIGHT (mm)]]*MBQ[[#This Row],[QTY TOTAL]]/1000</f>
        <v>0</v>
      </c>
      <c r="S692" s="30">
        <f>MBQ[[#This Row],[WIDTH (mm)]]*MBQ[[#This Row],[QTY TOTAL]]/1000</f>
        <v>0</v>
      </c>
      <c r="T692" s="9">
        <f>(MBQ[[#This Row],[HEIGHT (mm)]]+MBQ[[#This Row],[WIDTH (mm)]])/1000*2*MBQ[[#This Row],[QTY TOTAL]]</f>
        <v>0</v>
      </c>
      <c r="U692" s="266">
        <f>MBQ[[#This Row],[MULTIPLIER]]*MBQ[[#This Row],[QTY]]</f>
        <v>0</v>
      </c>
      <c r="V692" s="9">
        <f>MBQ[[#This Row],[HEIGHT (mm)]]/1000*MBQ[[#This Row],[WIDTH (mm)]]/1000*MBQ[[#This Row],[QTY TOTAL]]</f>
        <v>0</v>
      </c>
      <c r="W692" s="287">
        <f>ROUNDUP(MBQ[[#This Row],[HEIGHT (mm)]]/450*MBQ[[#This Row],[QTY]]*2,0)+ROUNDUP(MBQ[[#This Row],[WIDTH (mm)]]/450*MBQ[[#This Row],[QTY]]*2,0)</f>
        <v>0</v>
      </c>
    </row>
    <row r="693" spans="1:23" hidden="1">
      <c r="A693" s="258">
        <v>1</v>
      </c>
      <c r="B693" s="259"/>
      <c r="C693" s="233"/>
      <c r="D693" s="260"/>
      <c r="E693" s="260"/>
      <c r="F693" s="261"/>
      <c r="G693" s="262"/>
      <c r="H693" s="262"/>
      <c r="I693" s="260"/>
      <c r="J693" s="233"/>
      <c r="K693" s="263"/>
      <c r="L693" s="260"/>
      <c r="M693" s="263"/>
      <c r="N693" s="263"/>
      <c r="O693" s="264"/>
      <c r="P693" s="264"/>
      <c r="Q693" s="265"/>
      <c r="R693" s="30">
        <f>MBQ[[#This Row],[HEIGHT (mm)]]*MBQ[[#This Row],[QTY TOTAL]]/1000</f>
        <v>0</v>
      </c>
      <c r="S693" s="30">
        <f>MBQ[[#This Row],[WIDTH (mm)]]*MBQ[[#This Row],[QTY TOTAL]]/1000</f>
        <v>0</v>
      </c>
      <c r="T693" s="9">
        <f>(MBQ[[#This Row],[HEIGHT (mm)]]+MBQ[[#This Row],[WIDTH (mm)]])/1000*2*MBQ[[#This Row],[QTY TOTAL]]</f>
        <v>0</v>
      </c>
      <c r="U693" s="266">
        <f>MBQ[[#This Row],[MULTIPLIER]]*MBQ[[#This Row],[QTY]]</f>
        <v>0</v>
      </c>
      <c r="V693" s="9">
        <f>MBQ[[#This Row],[HEIGHT (mm)]]/1000*MBQ[[#This Row],[WIDTH (mm)]]/1000*MBQ[[#This Row],[QTY TOTAL]]</f>
        <v>0</v>
      </c>
      <c r="W693" s="287">
        <f>ROUNDUP(MBQ[[#This Row],[HEIGHT (mm)]]/450*MBQ[[#This Row],[QTY]]*2,0)+ROUNDUP(MBQ[[#This Row],[WIDTH (mm)]]/450*MBQ[[#This Row],[QTY]]*2,0)</f>
        <v>0</v>
      </c>
    </row>
    <row r="694" spans="1:23" hidden="1">
      <c r="A694" s="258">
        <v>1</v>
      </c>
      <c r="B694" s="259"/>
      <c r="C694" s="233"/>
      <c r="D694" s="260"/>
      <c r="E694" s="260"/>
      <c r="F694" s="261"/>
      <c r="G694" s="262"/>
      <c r="H694" s="262"/>
      <c r="I694" s="260"/>
      <c r="J694" s="233"/>
      <c r="K694" s="263"/>
      <c r="L694" s="260"/>
      <c r="M694" s="263"/>
      <c r="N694" s="263"/>
      <c r="O694" s="264"/>
      <c r="P694" s="264"/>
      <c r="Q694" s="265"/>
      <c r="R694" s="30">
        <f>MBQ[[#This Row],[HEIGHT (mm)]]*MBQ[[#This Row],[QTY TOTAL]]/1000</f>
        <v>0</v>
      </c>
      <c r="S694" s="30">
        <f>MBQ[[#This Row],[WIDTH (mm)]]*MBQ[[#This Row],[QTY TOTAL]]/1000</f>
        <v>0</v>
      </c>
      <c r="T694" s="9">
        <f>(MBQ[[#This Row],[HEIGHT (mm)]]+MBQ[[#This Row],[WIDTH (mm)]])/1000*2*MBQ[[#This Row],[QTY TOTAL]]</f>
        <v>0</v>
      </c>
      <c r="U694" s="266">
        <f>MBQ[[#This Row],[MULTIPLIER]]*MBQ[[#This Row],[QTY]]</f>
        <v>0</v>
      </c>
      <c r="V694" s="9">
        <f>MBQ[[#This Row],[HEIGHT (mm)]]/1000*MBQ[[#This Row],[WIDTH (mm)]]/1000*MBQ[[#This Row],[QTY TOTAL]]</f>
        <v>0</v>
      </c>
      <c r="W694" s="287">
        <f>ROUNDUP(MBQ[[#This Row],[HEIGHT (mm)]]/450*MBQ[[#This Row],[QTY]]*2,0)+ROUNDUP(MBQ[[#This Row],[WIDTH (mm)]]/450*MBQ[[#This Row],[QTY]]*2,0)</f>
        <v>0</v>
      </c>
    </row>
    <row r="695" spans="1:23" hidden="1">
      <c r="A695" s="258">
        <v>1</v>
      </c>
      <c r="B695" s="259"/>
      <c r="C695" s="233"/>
      <c r="D695" s="260"/>
      <c r="E695" s="260"/>
      <c r="F695" s="261"/>
      <c r="G695" s="262"/>
      <c r="H695" s="262"/>
      <c r="I695" s="260"/>
      <c r="J695" s="233"/>
      <c r="K695" s="263"/>
      <c r="L695" s="260"/>
      <c r="M695" s="263"/>
      <c r="N695" s="263"/>
      <c r="O695" s="264"/>
      <c r="P695" s="264"/>
      <c r="Q695" s="265"/>
      <c r="R695" s="30">
        <f>MBQ[[#This Row],[HEIGHT (mm)]]*MBQ[[#This Row],[QTY TOTAL]]/1000</f>
        <v>0</v>
      </c>
      <c r="S695" s="30">
        <f>MBQ[[#This Row],[WIDTH (mm)]]*MBQ[[#This Row],[QTY TOTAL]]/1000</f>
        <v>0</v>
      </c>
      <c r="T695" s="9">
        <f>(MBQ[[#This Row],[HEIGHT (mm)]]+MBQ[[#This Row],[WIDTH (mm)]])/1000*2*MBQ[[#This Row],[QTY TOTAL]]</f>
        <v>0</v>
      </c>
      <c r="U695" s="266">
        <f>MBQ[[#This Row],[MULTIPLIER]]*MBQ[[#This Row],[QTY]]</f>
        <v>0</v>
      </c>
      <c r="V695" s="9">
        <f>MBQ[[#This Row],[HEIGHT (mm)]]/1000*MBQ[[#This Row],[WIDTH (mm)]]/1000*MBQ[[#This Row],[QTY TOTAL]]</f>
        <v>0</v>
      </c>
      <c r="W695" s="287">
        <f>ROUNDUP(MBQ[[#This Row],[HEIGHT (mm)]]/450*MBQ[[#This Row],[QTY]]*2,0)+ROUNDUP(MBQ[[#This Row],[WIDTH (mm)]]/450*MBQ[[#This Row],[QTY]]*2,0)</f>
        <v>0</v>
      </c>
    </row>
    <row r="696" spans="1:23" hidden="1">
      <c r="A696" s="258">
        <v>1</v>
      </c>
      <c r="B696" s="259"/>
      <c r="C696" s="233"/>
      <c r="D696" s="260"/>
      <c r="E696" s="260"/>
      <c r="F696" s="261"/>
      <c r="G696" s="262"/>
      <c r="H696" s="262"/>
      <c r="I696" s="260"/>
      <c r="J696" s="233"/>
      <c r="K696" s="263"/>
      <c r="L696" s="260"/>
      <c r="M696" s="263"/>
      <c r="N696" s="263"/>
      <c r="O696" s="264"/>
      <c r="P696" s="264"/>
      <c r="Q696" s="265"/>
      <c r="R696" s="30">
        <f>MBQ[[#This Row],[HEIGHT (mm)]]*MBQ[[#This Row],[QTY TOTAL]]/1000</f>
        <v>0</v>
      </c>
      <c r="S696" s="30">
        <f>MBQ[[#This Row],[WIDTH (mm)]]*MBQ[[#This Row],[QTY TOTAL]]/1000</f>
        <v>0</v>
      </c>
      <c r="T696" s="9">
        <f>(MBQ[[#This Row],[HEIGHT (mm)]]+MBQ[[#This Row],[WIDTH (mm)]])/1000*2*MBQ[[#This Row],[QTY TOTAL]]</f>
        <v>0</v>
      </c>
      <c r="U696" s="266">
        <f>MBQ[[#This Row],[MULTIPLIER]]*MBQ[[#This Row],[QTY]]</f>
        <v>0</v>
      </c>
      <c r="V696" s="9">
        <f>MBQ[[#This Row],[HEIGHT (mm)]]/1000*MBQ[[#This Row],[WIDTH (mm)]]/1000*MBQ[[#This Row],[QTY TOTAL]]</f>
        <v>0</v>
      </c>
      <c r="W696" s="287">
        <f>ROUNDUP(MBQ[[#This Row],[HEIGHT (mm)]]/450*MBQ[[#This Row],[QTY]]*2,0)+ROUNDUP(MBQ[[#This Row],[WIDTH (mm)]]/450*MBQ[[#This Row],[QTY]]*2,0)</f>
        <v>0</v>
      </c>
    </row>
    <row r="697" spans="1:23" hidden="1">
      <c r="A697" s="258">
        <v>1</v>
      </c>
      <c r="B697" s="259"/>
      <c r="C697" s="233"/>
      <c r="D697" s="260"/>
      <c r="E697" s="260"/>
      <c r="F697" s="261"/>
      <c r="G697" s="262"/>
      <c r="H697" s="262"/>
      <c r="I697" s="260"/>
      <c r="J697" s="233"/>
      <c r="K697" s="263"/>
      <c r="L697" s="260"/>
      <c r="M697" s="263"/>
      <c r="N697" s="263"/>
      <c r="O697" s="264"/>
      <c r="P697" s="264"/>
      <c r="Q697" s="265"/>
      <c r="R697" s="30">
        <f>MBQ[[#This Row],[HEIGHT (mm)]]*MBQ[[#This Row],[QTY TOTAL]]/1000</f>
        <v>0</v>
      </c>
      <c r="S697" s="30">
        <f>MBQ[[#This Row],[WIDTH (mm)]]*MBQ[[#This Row],[QTY TOTAL]]/1000</f>
        <v>0</v>
      </c>
      <c r="T697" s="9">
        <f>(MBQ[[#This Row],[HEIGHT (mm)]]+MBQ[[#This Row],[WIDTH (mm)]])/1000*2*MBQ[[#This Row],[QTY TOTAL]]</f>
        <v>0</v>
      </c>
      <c r="U697" s="266">
        <f>MBQ[[#This Row],[MULTIPLIER]]*MBQ[[#This Row],[QTY]]</f>
        <v>0</v>
      </c>
      <c r="V697" s="9">
        <f>MBQ[[#This Row],[HEIGHT (mm)]]/1000*MBQ[[#This Row],[WIDTH (mm)]]/1000*MBQ[[#This Row],[QTY TOTAL]]</f>
        <v>0</v>
      </c>
      <c r="W697" s="287">
        <f>ROUNDUP(MBQ[[#This Row],[HEIGHT (mm)]]/450*MBQ[[#This Row],[QTY]]*2,0)+ROUNDUP(MBQ[[#This Row],[WIDTH (mm)]]/450*MBQ[[#This Row],[QTY]]*2,0)</f>
        <v>0</v>
      </c>
    </row>
    <row r="698" spans="1:23" hidden="1">
      <c r="A698" s="258">
        <v>1</v>
      </c>
      <c r="B698" s="259"/>
      <c r="C698" s="233"/>
      <c r="D698" s="260"/>
      <c r="E698" s="260"/>
      <c r="F698" s="261"/>
      <c r="G698" s="262"/>
      <c r="H698" s="262"/>
      <c r="I698" s="260"/>
      <c r="J698" s="233"/>
      <c r="K698" s="263"/>
      <c r="L698" s="260"/>
      <c r="M698" s="263"/>
      <c r="N698" s="263"/>
      <c r="O698" s="264"/>
      <c r="P698" s="264"/>
      <c r="Q698" s="265"/>
      <c r="R698" s="30">
        <f>MBQ[[#This Row],[HEIGHT (mm)]]*MBQ[[#This Row],[QTY TOTAL]]/1000</f>
        <v>0</v>
      </c>
      <c r="S698" s="30">
        <f>MBQ[[#This Row],[WIDTH (mm)]]*MBQ[[#This Row],[QTY TOTAL]]/1000</f>
        <v>0</v>
      </c>
      <c r="T698" s="9">
        <f>(MBQ[[#This Row],[HEIGHT (mm)]]+MBQ[[#This Row],[WIDTH (mm)]])/1000*2*MBQ[[#This Row],[QTY TOTAL]]</f>
        <v>0</v>
      </c>
      <c r="U698" s="266">
        <f>MBQ[[#This Row],[MULTIPLIER]]*MBQ[[#This Row],[QTY]]</f>
        <v>0</v>
      </c>
      <c r="V698" s="9">
        <f>MBQ[[#This Row],[HEIGHT (mm)]]/1000*MBQ[[#This Row],[WIDTH (mm)]]/1000*MBQ[[#This Row],[QTY TOTAL]]</f>
        <v>0</v>
      </c>
      <c r="W698" s="287">
        <f>ROUNDUP(MBQ[[#This Row],[HEIGHT (mm)]]/450*MBQ[[#This Row],[QTY]]*2,0)+ROUNDUP(MBQ[[#This Row],[WIDTH (mm)]]/450*MBQ[[#This Row],[QTY]]*2,0)</f>
        <v>0</v>
      </c>
    </row>
    <row r="699" spans="1:23" hidden="1">
      <c r="A699" s="258">
        <v>1</v>
      </c>
      <c r="B699" s="259"/>
      <c r="C699" s="233"/>
      <c r="D699" s="260"/>
      <c r="E699" s="260"/>
      <c r="F699" s="261"/>
      <c r="G699" s="262"/>
      <c r="H699" s="262"/>
      <c r="I699" s="260"/>
      <c r="J699" s="233"/>
      <c r="K699" s="263"/>
      <c r="L699" s="260"/>
      <c r="M699" s="263"/>
      <c r="N699" s="263"/>
      <c r="O699" s="264"/>
      <c r="P699" s="264"/>
      <c r="Q699" s="265"/>
      <c r="R699" s="30">
        <f>MBQ[[#This Row],[HEIGHT (mm)]]*MBQ[[#This Row],[QTY TOTAL]]/1000</f>
        <v>0</v>
      </c>
      <c r="S699" s="30">
        <f>MBQ[[#This Row],[WIDTH (mm)]]*MBQ[[#This Row],[QTY TOTAL]]/1000</f>
        <v>0</v>
      </c>
      <c r="T699" s="9">
        <f>(MBQ[[#This Row],[HEIGHT (mm)]]+MBQ[[#This Row],[WIDTH (mm)]])/1000*2*MBQ[[#This Row],[QTY TOTAL]]</f>
        <v>0</v>
      </c>
      <c r="U699" s="266">
        <f>MBQ[[#This Row],[MULTIPLIER]]*MBQ[[#This Row],[QTY]]</f>
        <v>0</v>
      </c>
      <c r="V699" s="9">
        <f>MBQ[[#This Row],[HEIGHT (mm)]]/1000*MBQ[[#This Row],[WIDTH (mm)]]/1000*MBQ[[#This Row],[QTY TOTAL]]</f>
        <v>0</v>
      </c>
      <c r="W699" s="287">
        <f>ROUNDUP(MBQ[[#This Row],[HEIGHT (mm)]]/450*MBQ[[#This Row],[QTY]]*2,0)+ROUNDUP(MBQ[[#This Row],[WIDTH (mm)]]/450*MBQ[[#This Row],[QTY]]*2,0)</f>
        <v>0</v>
      </c>
    </row>
    <row r="700" spans="1:23" hidden="1">
      <c r="A700" s="258">
        <v>1</v>
      </c>
      <c r="B700" s="259"/>
      <c r="C700" s="233"/>
      <c r="D700" s="260"/>
      <c r="E700" s="260"/>
      <c r="F700" s="261"/>
      <c r="G700" s="262"/>
      <c r="H700" s="262"/>
      <c r="I700" s="260"/>
      <c r="J700" s="233"/>
      <c r="K700" s="263"/>
      <c r="L700" s="260"/>
      <c r="M700" s="263"/>
      <c r="N700" s="263"/>
      <c r="O700" s="264"/>
      <c r="P700" s="264"/>
      <c r="Q700" s="265"/>
      <c r="R700" s="30">
        <f>MBQ[[#This Row],[HEIGHT (mm)]]*MBQ[[#This Row],[QTY TOTAL]]/1000</f>
        <v>0</v>
      </c>
      <c r="S700" s="30">
        <f>MBQ[[#This Row],[WIDTH (mm)]]*MBQ[[#This Row],[QTY TOTAL]]/1000</f>
        <v>0</v>
      </c>
      <c r="T700" s="9">
        <f>(MBQ[[#This Row],[HEIGHT (mm)]]+MBQ[[#This Row],[WIDTH (mm)]])/1000*2*MBQ[[#This Row],[QTY TOTAL]]</f>
        <v>0</v>
      </c>
      <c r="U700" s="266">
        <f>MBQ[[#This Row],[MULTIPLIER]]*MBQ[[#This Row],[QTY]]</f>
        <v>0</v>
      </c>
      <c r="V700" s="9">
        <f>MBQ[[#This Row],[HEIGHT (mm)]]/1000*MBQ[[#This Row],[WIDTH (mm)]]/1000*MBQ[[#This Row],[QTY TOTAL]]</f>
        <v>0</v>
      </c>
      <c r="W700" s="287">
        <f>ROUNDUP(MBQ[[#This Row],[HEIGHT (mm)]]/450*MBQ[[#This Row],[QTY]]*2,0)+ROUNDUP(MBQ[[#This Row],[WIDTH (mm)]]/450*MBQ[[#This Row],[QTY]]*2,0)</f>
        <v>0</v>
      </c>
    </row>
    <row r="701" spans="1:23" hidden="1">
      <c r="A701" s="258">
        <v>1</v>
      </c>
      <c r="B701" s="259"/>
      <c r="C701" s="233"/>
      <c r="D701" s="260"/>
      <c r="E701" s="260"/>
      <c r="F701" s="261"/>
      <c r="G701" s="262"/>
      <c r="H701" s="262"/>
      <c r="I701" s="260"/>
      <c r="J701" s="233"/>
      <c r="K701" s="263"/>
      <c r="L701" s="260"/>
      <c r="M701" s="263"/>
      <c r="N701" s="263"/>
      <c r="O701" s="264"/>
      <c r="P701" s="264"/>
      <c r="Q701" s="265"/>
      <c r="R701" s="30">
        <f>MBQ[[#This Row],[HEIGHT (mm)]]*MBQ[[#This Row],[QTY TOTAL]]/1000</f>
        <v>0</v>
      </c>
      <c r="S701" s="30">
        <f>MBQ[[#This Row],[WIDTH (mm)]]*MBQ[[#This Row],[QTY TOTAL]]/1000</f>
        <v>0</v>
      </c>
      <c r="T701" s="9">
        <f>(MBQ[[#This Row],[HEIGHT (mm)]]+MBQ[[#This Row],[WIDTH (mm)]])/1000*2*MBQ[[#This Row],[QTY TOTAL]]</f>
        <v>0</v>
      </c>
      <c r="U701" s="266">
        <f>MBQ[[#This Row],[MULTIPLIER]]*MBQ[[#This Row],[QTY]]</f>
        <v>0</v>
      </c>
      <c r="V701" s="9">
        <f>MBQ[[#This Row],[HEIGHT (mm)]]/1000*MBQ[[#This Row],[WIDTH (mm)]]/1000*MBQ[[#This Row],[QTY TOTAL]]</f>
        <v>0</v>
      </c>
      <c r="W701" s="287">
        <f>ROUNDUP(MBQ[[#This Row],[HEIGHT (mm)]]/450*MBQ[[#This Row],[QTY]]*2,0)+ROUNDUP(MBQ[[#This Row],[WIDTH (mm)]]/450*MBQ[[#This Row],[QTY]]*2,0)</f>
        <v>0</v>
      </c>
    </row>
    <row r="702" spans="1:23" hidden="1">
      <c r="A702" s="258">
        <v>1</v>
      </c>
      <c r="B702" s="259"/>
      <c r="C702" s="233"/>
      <c r="D702" s="260"/>
      <c r="E702" s="260"/>
      <c r="F702" s="261"/>
      <c r="G702" s="262"/>
      <c r="H702" s="262"/>
      <c r="I702" s="260"/>
      <c r="J702" s="233"/>
      <c r="K702" s="263"/>
      <c r="L702" s="260"/>
      <c r="M702" s="263"/>
      <c r="N702" s="263"/>
      <c r="O702" s="264"/>
      <c r="P702" s="264"/>
      <c r="Q702" s="265"/>
      <c r="R702" s="30">
        <f>MBQ[[#This Row],[HEIGHT (mm)]]*MBQ[[#This Row],[QTY TOTAL]]/1000</f>
        <v>0</v>
      </c>
      <c r="S702" s="30">
        <f>MBQ[[#This Row],[WIDTH (mm)]]*MBQ[[#This Row],[QTY TOTAL]]/1000</f>
        <v>0</v>
      </c>
      <c r="T702" s="9">
        <f>(MBQ[[#This Row],[HEIGHT (mm)]]+MBQ[[#This Row],[WIDTH (mm)]])/1000*2*MBQ[[#This Row],[QTY TOTAL]]</f>
        <v>0</v>
      </c>
      <c r="U702" s="266">
        <f>MBQ[[#This Row],[MULTIPLIER]]*MBQ[[#This Row],[QTY]]</f>
        <v>0</v>
      </c>
      <c r="V702" s="9">
        <f>MBQ[[#This Row],[HEIGHT (mm)]]/1000*MBQ[[#This Row],[WIDTH (mm)]]/1000*MBQ[[#This Row],[QTY TOTAL]]</f>
        <v>0</v>
      </c>
      <c r="W702" s="287">
        <f>ROUNDUP(MBQ[[#This Row],[HEIGHT (mm)]]/450*MBQ[[#This Row],[QTY]]*2,0)+ROUNDUP(MBQ[[#This Row],[WIDTH (mm)]]/450*MBQ[[#This Row],[QTY]]*2,0)</f>
        <v>0</v>
      </c>
    </row>
    <row r="703" spans="1:23" hidden="1">
      <c r="A703" s="258">
        <v>1</v>
      </c>
      <c r="B703" s="259"/>
      <c r="C703" s="233"/>
      <c r="D703" s="260"/>
      <c r="E703" s="260"/>
      <c r="F703" s="261"/>
      <c r="G703" s="262"/>
      <c r="H703" s="262"/>
      <c r="I703" s="260"/>
      <c r="J703" s="233"/>
      <c r="K703" s="263"/>
      <c r="L703" s="260"/>
      <c r="M703" s="263"/>
      <c r="N703" s="263"/>
      <c r="O703" s="264"/>
      <c r="P703" s="264"/>
      <c r="Q703" s="265"/>
      <c r="R703" s="30">
        <f>MBQ[[#This Row],[HEIGHT (mm)]]*MBQ[[#This Row],[QTY TOTAL]]/1000</f>
        <v>0</v>
      </c>
      <c r="S703" s="30">
        <f>MBQ[[#This Row],[WIDTH (mm)]]*MBQ[[#This Row],[QTY TOTAL]]/1000</f>
        <v>0</v>
      </c>
      <c r="T703" s="9">
        <f>(MBQ[[#This Row],[HEIGHT (mm)]]+MBQ[[#This Row],[WIDTH (mm)]])/1000*2*MBQ[[#This Row],[QTY TOTAL]]</f>
        <v>0</v>
      </c>
      <c r="U703" s="266">
        <f>MBQ[[#This Row],[MULTIPLIER]]*MBQ[[#This Row],[QTY]]</f>
        <v>0</v>
      </c>
      <c r="V703" s="9">
        <f>MBQ[[#This Row],[HEIGHT (mm)]]/1000*MBQ[[#This Row],[WIDTH (mm)]]/1000*MBQ[[#This Row],[QTY TOTAL]]</f>
        <v>0</v>
      </c>
      <c r="W703" s="287">
        <f>ROUNDUP(MBQ[[#This Row],[HEIGHT (mm)]]/450*MBQ[[#This Row],[QTY]]*2,0)+ROUNDUP(MBQ[[#This Row],[WIDTH (mm)]]/450*MBQ[[#This Row],[QTY]]*2,0)</f>
        <v>0</v>
      </c>
    </row>
    <row r="704" spans="1:23" hidden="1">
      <c r="A704" s="258">
        <v>1</v>
      </c>
      <c r="B704" s="259"/>
      <c r="C704" s="233"/>
      <c r="D704" s="260"/>
      <c r="E704" s="260"/>
      <c r="F704" s="261"/>
      <c r="G704" s="262"/>
      <c r="H704" s="262"/>
      <c r="I704" s="260"/>
      <c r="J704" s="233"/>
      <c r="K704" s="263"/>
      <c r="L704" s="260"/>
      <c r="M704" s="263"/>
      <c r="N704" s="263"/>
      <c r="O704" s="264"/>
      <c r="P704" s="264"/>
      <c r="Q704" s="265"/>
      <c r="R704" s="30">
        <f>MBQ[[#This Row],[HEIGHT (mm)]]*MBQ[[#This Row],[QTY TOTAL]]/1000</f>
        <v>0</v>
      </c>
      <c r="S704" s="30">
        <f>MBQ[[#This Row],[WIDTH (mm)]]*MBQ[[#This Row],[QTY TOTAL]]/1000</f>
        <v>0</v>
      </c>
      <c r="T704" s="9">
        <f>(MBQ[[#This Row],[HEIGHT (mm)]]+MBQ[[#This Row],[WIDTH (mm)]])/1000*2*MBQ[[#This Row],[QTY TOTAL]]</f>
        <v>0</v>
      </c>
      <c r="U704" s="266">
        <f>MBQ[[#This Row],[MULTIPLIER]]*MBQ[[#This Row],[QTY]]</f>
        <v>0</v>
      </c>
      <c r="V704" s="9">
        <f>MBQ[[#This Row],[HEIGHT (mm)]]/1000*MBQ[[#This Row],[WIDTH (mm)]]/1000*MBQ[[#This Row],[QTY TOTAL]]</f>
        <v>0</v>
      </c>
      <c r="W704" s="287">
        <f>ROUNDUP(MBQ[[#This Row],[HEIGHT (mm)]]/450*MBQ[[#This Row],[QTY]]*2,0)+ROUNDUP(MBQ[[#This Row],[WIDTH (mm)]]/450*MBQ[[#This Row],[QTY]]*2,0)</f>
        <v>0</v>
      </c>
    </row>
    <row r="705" spans="1:23" hidden="1">
      <c r="A705" s="258">
        <v>1</v>
      </c>
      <c r="B705" s="259"/>
      <c r="C705" s="233"/>
      <c r="D705" s="260"/>
      <c r="E705" s="260"/>
      <c r="F705" s="261"/>
      <c r="G705" s="262"/>
      <c r="H705" s="262"/>
      <c r="I705" s="260"/>
      <c r="J705" s="233"/>
      <c r="K705" s="263"/>
      <c r="L705" s="260"/>
      <c r="M705" s="263"/>
      <c r="N705" s="263"/>
      <c r="O705" s="264"/>
      <c r="P705" s="264"/>
      <c r="Q705" s="265"/>
      <c r="R705" s="30">
        <f>MBQ[[#This Row],[HEIGHT (mm)]]*MBQ[[#This Row],[QTY TOTAL]]/1000</f>
        <v>0</v>
      </c>
      <c r="S705" s="30">
        <f>MBQ[[#This Row],[WIDTH (mm)]]*MBQ[[#This Row],[QTY TOTAL]]/1000</f>
        <v>0</v>
      </c>
      <c r="T705" s="9">
        <f>(MBQ[[#This Row],[HEIGHT (mm)]]+MBQ[[#This Row],[WIDTH (mm)]])/1000*2*MBQ[[#This Row],[QTY TOTAL]]</f>
        <v>0</v>
      </c>
      <c r="U705" s="266">
        <f>MBQ[[#This Row],[MULTIPLIER]]*MBQ[[#This Row],[QTY]]</f>
        <v>0</v>
      </c>
      <c r="V705" s="9">
        <f>MBQ[[#This Row],[HEIGHT (mm)]]/1000*MBQ[[#This Row],[WIDTH (mm)]]/1000*MBQ[[#This Row],[QTY TOTAL]]</f>
        <v>0</v>
      </c>
      <c r="W705" s="287">
        <f>ROUNDUP(MBQ[[#This Row],[HEIGHT (mm)]]/450*MBQ[[#This Row],[QTY]]*2,0)+ROUNDUP(MBQ[[#This Row],[WIDTH (mm)]]/450*MBQ[[#This Row],[QTY]]*2,0)</f>
        <v>0</v>
      </c>
    </row>
    <row r="706" spans="1:23" hidden="1">
      <c r="A706" s="258">
        <v>1</v>
      </c>
      <c r="B706" s="259"/>
      <c r="C706" s="233"/>
      <c r="D706" s="260"/>
      <c r="E706" s="260"/>
      <c r="F706" s="261"/>
      <c r="G706" s="262"/>
      <c r="H706" s="262"/>
      <c r="I706" s="260"/>
      <c r="J706" s="233"/>
      <c r="K706" s="263"/>
      <c r="L706" s="260"/>
      <c r="M706" s="263"/>
      <c r="N706" s="263"/>
      <c r="O706" s="264"/>
      <c r="P706" s="264"/>
      <c r="Q706" s="265"/>
      <c r="R706" s="30">
        <f>MBQ[[#This Row],[HEIGHT (mm)]]*MBQ[[#This Row],[QTY TOTAL]]/1000</f>
        <v>0</v>
      </c>
      <c r="S706" s="30">
        <f>MBQ[[#This Row],[WIDTH (mm)]]*MBQ[[#This Row],[QTY TOTAL]]/1000</f>
        <v>0</v>
      </c>
      <c r="T706" s="9">
        <f>(MBQ[[#This Row],[HEIGHT (mm)]]+MBQ[[#This Row],[WIDTH (mm)]])/1000*2*MBQ[[#This Row],[QTY TOTAL]]</f>
        <v>0</v>
      </c>
      <c r="U706" s="266">
        <f>MBQ[[#This Row],[MULTIPLIER]]*MBQ[[#This Row],[QTY]]</f>
        <v>0</v>
      </c>
      <c r="V706" s="9">
        <f>MBQ[[#This Row],[HEIGHT (mm)]]/1000*MBQ[[#This Row],[WIDTH (mm)]]/1000*MBQ[[#This Row],[QTY TOTAL]]</f>
        <v>0</v>
      </c>
      <c r="W706" s="287">
        <f>ROUNDUP(MBQ[[#This Row],[HEIGHT (mm)]]/450*MBQ[[#This Row],[QTY]]*2,0)+ROUNDUP(MBQ[[#This Row],[WIDTH (mm)]]/450*MBQ[[#This Row],[QTY]]*2,0)</f>
        <v>0</v>
      </c>
    </row>
    <row r="707" spans="1:23" hidden="1">
      <c r="A707" s="258">
        <v>1</v>
      </c>
      <c r="B707" s="259"/>
      <c r="C707" s="233"/>
      <c r="D707" s="260"/>
      <c r="E707" s="260"/>
      <c r="F707" s="261"/>
      <c r="G707" s="262"/>
      <c r="H707" s="262"/>
      <c r="I707" s="260"/>
      <c r="J707" s="233"/>
      <c r="K707" s="263"/>
      <c r="L707" s="260"/>
      <c r="M707" s="263"/>
      <c r="N707" s="263"/>
      <c r="O707" s="264"/>
      <c r="P707" s="264"/>
      <c r="Q707" s="265"/>
      <c r="R707" s="30">
        <f>MBQ[[#This Row],[HEIGHT (mm)]]*MBQ[[#This Row],[QTY TOTAL]]/1000</f>
        <v>0</v>
      </c>
      <c r="S707" s="30">
        <f>MBQ[[#This Row],[WIDTH (mm)]]*MBQ[[#This Row],[QTY TOTAL]]/1000</f>
        <v>0</v>
      </c>
      <c r="T707" s="9">
        <f>(MBQ[[#This Row],[HEIGHT (mm)]]+MBQ[[#This Row],[WIDTH (mm)]])/1000*2*MBQ[[#This Row],[QTY TOTAL]]</f>
        <v>0</v>
      </c>
      <c r="U707" s="266">
        <f>MBQ[[#This Row],[MULTIPLIER]]*MBQ[[#This Row],[QTY]]</f>
        <v>0</v>
      </c>
      <c r="V707" s="9">
        <f>MBQ[[#This Row],[HEIGHT (mm)]]/1000*MBQ[[#This Row],[WIDTH (mm)]]/1000*MBQ[[#This Row],[QTY TOTAL]]</f>
        <v>0</v>
      </c>
      <c r="W707" s="287">
        <f>ROUNDUP(MBQ[[#This Row],[HEIGHT (mm)]]/450*MBQ[[#This Row],[QTY]]*2,0)+ROUNDUP(MBQ[[#This Row],[WIDTH (mm)]]/450*MBQ[[#This Row],[QTY]]*2,0)</f>
        <v>0</v>
      </c>
    </row>
    <row r="708" spans="1:23" hidden="1">
      <c r="A708" s="258">
        <v>1</v>
      </c>
      <c r="B708" s="259"/>
      <c r="C708" s="233"/>
      <c r="D708" s="260"/>
      <c r="E708" s="260"/>
      <c r="F708" s="261"/>
      <c r="G708" s="262"/>
      <c r="H708" s="262"/>
      <c r="I708" s="260"/>
      <c r="J708" s="233"/>
      <c r="K708" s="263"/>
      <c r="L708" s="260"/>
      <c r="M708" s="263"/>
      <c r="N708" s="263"/>
      <c r="O708" s="264"/>
      <c r="P708" s="264"/>
      <c r="Q708" s="265"/>
      <c r="R708" s="30">
        <f>MBQ[[#This Row],[HEIGHT (mm)]]*MBQ[[#This Row],[QTY TOTAL]]/1000</f>
        <v>0</v>
      </c>
      <c r="S708" s="30">
        <f>MBQ[[#This Row],[WIDTH (mm)]]*MBQ[[#This Row],[QTY TOTAL]]/1000</f>
        <v>0</v>
      </c>
      <c r="T708" s="9">
        <f>(MBQ[[#This Row],[HEIGHT (mm)]]+MBQ[[#This Row],[WIDTH (mm)]])/1000*2*MBQ[[#This Row],[QTY TOTAL]]</f>
        <v>0</v>
      </c>
      <c r="U708" s="266">
        <f>MBQ[[#This Row],[MULTIPLIER]]*MBQ[[#This Row],[QTY]]</f>
        <v>0</v>
      </c>
      <c r="V708" s="9">
        <f>MBQ[[#This Row],[HEIGHT (mm)]]/1000*MBQ[[#This Row],[WIDTH (mm)]]/1000*MBQ[[#This Row],[QTY TOTAL]]</f>
        <v>0</v>
      </c>
      <c r="W708" s="287">
        <f>ROUNDUP(MBQ[[#This Row],[HEIGHT (mm)]]/450*MBQ[[#This Row],[QTY]]*2,0)+ROUNDUP(MBQ[[#This Row],[WIDTH (mm)]]/450*MBQ[[#This Row],[QTY]]*2,0)</f>
        <v>0</v>
      </c>
    </row>
    <row r="709" spans="1:23" hidden="1">
      <c r="A709" s="258">
        <v>1</v>
      </c>
      <c r="B709" s="259"/>
      <c r="C709" s="233"/>
      <c r="D709" s="260"/>
      <c r="E709" s="260"/>
      <c r="F709" s="261"/>
      <c r="G709" s="262"/>
      <c r="H709" s="262"/>
      <c r="I709" s="260"/>
      <c r="J709" s="233"/>
      <c r="K709" s="263"/>
      <c r="L709" s="260"/>
      <c r="M709" s="263"/>
      <c r="N709" s="263"/>
      <c r="O709" s="264"/>
      <c r="P709" s="264"/>
      <c r="Q709" s="265"/>
      <c r="R709" s="30">
        <f>MBQ[[#This Row],[HEIGHT (mm)]]*MBQ[[#This Row],[QTY TOTAL]]/1000</f>
        <v>0</v>
      </c>
      <c r="S709" s="30">
        <f>MBQ[[#This Row],[WIDTH (mm)]]*MBQ[[#This Row],[QTY TOTAL]]/1000</f>
        <v>0</v>
      </c>
      <c r="T709" s="9">
        <f>(MBQ[[#This Row],[HEIGHT (mm)]]+MBQ[[#This Row],[WIDTH (mm)]])/1000*2*MBQ[[#This Row],[QTY TOTAL]]</f>
        <v>0</v>
      </c>
      <c r="U709" s="266">
        <f>MBQ[[#This Row],[MULTIPLIER]]*MBQ[[#This Row],[QTY]]</f>
        <v>0</v>
      </c>
      <c r="V709" s="9">
        <f>MBQ[[#This Row],[HEIGHT (mm)]]/1000*MBQ[[#This Row],[WIDTH (mm)]]/1000*MBQ[[#This Row],[QTY TOTAL]]</f>
        <v>0</v>
      </c>
      <c r="W709" s="287">
        <f>ROUNDUP(MBQ[[#This Row],[HEIGHT (mm)]]/450*MBQ[[#This Row],[QTY]]*2,0)+ROUNDUP(MBQ[[#This Row],[WIDTH (mm)]]/450*MBQ[[#This Row],[QTY]]*2,0)</f>
        <v>0</v>
      </c>
    </row>
    <row r="710" spans="1:23" hidden="1">
      <c r="A710" s="258">
        <v>1</v>
      </c>
      <c r="B710" s="259"/>
      <c r="C710" s="233"/>
      <c r="D710" s="260"/>
      <c r="E710" s="260"/>
      <c r="F710" s="261"/>
      <c r="G710" s="262"/>
      <c r="H710" s="262"/>
      <c r="I710" s="260"/>
      <c r="J710" s="233"/>
      <c r="K710" s="263"/>
      <c r="L710" s="260"/>
      <c r="M710" s="263"/>
      <c r="N710" s="263"/>
      <c r="O710" s="264"/>
      <c r="P710" s="264"/>
      <c r="Q710" s="265"/>
      <c r="R710" s="30">
        <f>MBQ[[#This Row],[HEIGHT (mm)]]*MBQ[[#This Row],[QTY TOTAL]]/1000</f>
        <v>0</v>
      </c>
      <c r="S710" s="30">
        <f>MBQ[[#This Row],[WIDTH (mm)]]*MBQ[[#This Row],[QTY TOTAL]]/1000</f>
        <v>0</v>
      </c>
      <c r="T710" s="9">
        <f>(MBQ[[#This Row],[HEIGHT (mm)]]+MBQ[[#This Row],[WIDTH (mm)]])/1000*2*MBQ[[#This Row],[QTY TOTAL]]</f>
        <v>0</v>
      </c>
      <c r="U710" s="266">
        <f>MBQ[[#This Row],[MULTIPLIER]]*MBQ[[#This Row],[QTY]]</f>
        <v>0</v>
      </c>
      <c r="V710" s="9">
        <f>MBQ[[#This Row],[HEIGHT (mm)]]/1000*MBQ[[#This Row],[WIDTH (mm)]]/1000*MBQ[[#This Row],[QTY TOTAL]]</f>
        <v>0</v>
      </c>
      <c r="W710" s="287">
        <f>ROUNDUP(MBQ[[#This Row],[HEIGHT (mm)]]/450*MBQ[[#This Row],[QTY]]*2,0)+ROUNDUP(MBQ[[#This Row],[WIDTH (mm)]]/450*MBQ[[#This Row],[QTY]]*2,0)</f>
        <v>0</v>
      </c>
    </row>
    <row r="711" spans="1:23" hidden="1">
      <c r="A711" s="258">
        <v>1</v>
      </c>
      <c r="B711" s="259"/>
      <c r="C711" s="233"/>
      <c r="D711" s="260"/>
      <c r="E711" s="260"/>
      <c r="F711" s="261"/>
      <c r="G711" s="262"/>
      <c r="H711" s="262"/>
      <c r="I711" s="260"/>
      <c r="J711" s="233"/>
      <c r="K711" s="263"/>
      <c r="L711" s="260"/>
      <c r="M711" s="263"/>
      <c r="N711" s="263"/>
      <c r="O711" s="264"/>
      <c r="P711" s="264"/>
      <c r="Q711" s="265"/>
      <c r="R711" s="30">
        <f>MBQ[[#This Row],[HEIGHT (mm)]]*MBQ[[#This Row],[QTY TOTAL]]/1000</f>
        <v>0</v>
      </c>
      <c r="S711" s="30">
        <f>MBQ[[#This Row],[WIDTH (mm)]]*MBQ[[#This Row],[QTY TOTAL]]/1000</f>
        <v>0</v>
      </c>
      <c r="T711" s="9">
        <f>(MBQ[[#This Row],[HEIGHT (mm)]]+MBQ[[#This Row],[WIDTH (mm)]])/1000*2*MBQ[[#This Row],[QTY TOTAL]]</f>
        <v>0</v>
      </c>
      <c r="U711" s="266">
        <f>MBQ[[#This Row],[MULTIPLIER]]*MBQ[[#This Row],[QTY]]</f>
        <v>0</v>
      </c>
      <c r="V711" s="9">
        <f>MBQ[[#This Row],[HEIGHT (mm)]]/1000*MBQ[[#This Row],[WIDTH (mm)]]/1000*MBQ[[#This Row],[QTY TOTAL]]</f>
        <v>0</v>
      </c>
      <c r="W711" s="287">
        <f>ROUNDUP(MBQ[[#This Row],[HEIGHT (mm)]]/450*MBQ[[#This Row],[QTY]]*2,0)+ROUNDUP(MBQ[[#This Row],[WIDTH (mm)]]/450*MBQ[[#This Row],[QTY]]*2,0)</f>
        <v>0</v>
      </c>
    </row>
    <row r="712" spans="1:23" hidden="1">
      <c r="A712" s="258">
        <v>1</v>
      </c>
      <c r="B712" s="259"/>
      <c r="C712" s="233"/>
      <c r="D712" s="260"/>
      <c r="E712" s="260"/>
      <c r="F712" s="261"/>
      <c r="G712" s="262"/>
      <c r="H712" s="262"/>
      <c r="I712" s="260"/>
      <c r="J712" s="233"/>
      <c r="K712" s="263"/>
      <c r="L712" s="260"/>
      <c r="M712" s="263"/>
      <c r="N712" s="263"/>
      <c r="O712" s="264"/>
      <c r="P712" s="264"/>
      <c r="Q712" s="265"/>
      <c r="R712" s="30">
        <f>MBQ[[#This Row],[HEIGHT (mm)]]*MBQ[[#This Row],[QTY TOTAL]]/1000</f>
        <v>0</v>
      </c>
      <c r="S712" s="30">
        <f>MBQ[[#This Row],[WIDTH (mm)]]*MBQ[[#This Row],[QTY TOTAL]]/1000</f>
        <v>0</v>
      </c>
      <c r="T712" s="9">
        <f>(MBQ[[#This Row],[HEIGHT (mm)]]+MBQ[[#This Row],[WIDTH (mm)]])/1000*2*MBQ[[#This Row],[QTY TOTAL]]</f>
        <v>0</v>
      </c>
      <c r="U712" s="266">
        <f>MBQ[[#This Row],[MULTIPLIER]]*MBQ[[#This Row],[QTY]]</f>
        <v>0</v>
      </c>
      <c r="V712" s="9">
        <f>MBQ[[#This Row],[HEIGHT (mm)]]/1000*MBQ[[#This Row],[WIDTH (mm)]]/1000*MBQ[[#This Row],[QTY TOTAL]]</f>
        <v>0</v>
      </c>
      <c r="W712" s="287">
        <f>ROUNDUP(MBQ[[#This Row],[HEIGHT (mm)]]/450*MBQ[[#This Row],[QTY]]*2,0)+ROUNDUP(MBQ[[#This Row],[WIDTH (mm)]]/450*MBQ[[#This Row],[QTY]]*2,0)</f>
        <v>0</v>
      </c>
    </row>
    <row r="713" spans="1:23" hidden="1">
      <c r="A713" s="258">
        <v>1</v>
      </c>
      <c r="B713" s="259"/>
      <c r="C713" s="233"/>
      <c r="D713" s="260"/>
      <c r="E713" s="260"/>
      <c r="F713" s="261"/>
      <c r="G713" s="262"/>
      <c r="H713" s="262"/>
      <c r="I713" s="260"/>
      <c r="J713" s="233"/>
      <c r="K713" s="263"/>
      <c r="L713" s="260"/>
      <c r="M713" s="263"/>
      <c r="N713" s="263"/>
      <c r="O713" s="264"/>
      <c r="P713" s="264"/>
      <c r="Q713" s="265"/>
      <c r="R713" s="30">
        <f>MBQ[[#This Row],[HEIGHT (mm)]]*MBQ[[#This Row],[QTY TOTAL]]/1000</f>
        <v>0</v>
      </c>
      <c r="S713" s="30">
        <f>MBQ[[#This Row],[WIDTH (mm)]]*MBQ[[#This Row],[QTY TOTAL]]/1000</f>
        <v>0</v>
      </c>
      <c r="T713" s="9">
        <f>(MBQ[[#This Row],[HEIGHT (mm)]]+MBQ[[#This Row],[WIDTH (mm)]])/1000*2*MBQ[[#This Row],[QTY TOTAL]]</f>
        <v>0</v>
      </c>
      <c r="U713" s="266">
        <f>MBQ[[#This Row],[MULTIPLIER]]*MBQ[[#This Row],[QTY]]</f>
        <v>0</v>
      </c>
      <c r="V713" s="9">
        <f>MBQ[[#This Row],[HEIGHT (mm)]]/1000*MBQ[[#This Row],[WIDTH (mm)]]/1000*MBQ[[#This Row],[QTY TOTAL]]</f>
        <v>0</v>
      </c>
      <c r="W713" s="287">
        <f>ROUNDUP(MBQ[[#This Row],[HEIGHT (mm)]]/450*MBQ[[#This Row],[QTY]]*2,0)+ROUNDUP(MBQ[[#This Row],[WIDTH (mm)]]/450*MBQ[[#This Row],[QTY]]*2,0)</f>
        <v>0</v>
      </c>
    </row>
    <row r="714" spans="1:23" hidden="1">
      <c r="A714" s="258">
        <v>1</v>
      </c>
      <c r="B714" s="259"/>
      <c r="C714" s="233"/>
      <c r="D714" s="260"/>
      <c r="E714" s="260"/>
      <c r="F714" s="261"/>
      <c r="G714" s="262"/>
      <c r="H714" s="262"/>
      <c r="I714" s="260"/>
      <c r="J714" s="233"/>
      <c r="K714" s="263"/>
      <c r="L714" s="260"/>
      <c r="M714" s="263"/>
      <c r="N714" s="263"/>
      <c r="O714" s="264"/>
      <c r="P714" s="264"/>
      <c r="Q714" s="265"/>
      <c r="R714" s="30">
        <f>MBQ[[#This Row],[HEIGHT (mm)]]*MBQ[[#This Row],[QTY TOTAL]]/1000</f>
        <v>0</v>
      </c>
      <c r="S714" s="30">
        <f>MBQ[[#This Row],[WIDTH (mm)]]*MBQ[[#This Row],[QTY TOTAL]]/1000</f>
        <v>0</v>
      </c>
      <c r="T714" s="9">
        <f>(MBQ[[#This Row],[HEIGHT (mm)]]+MBQ[[#This Row],[WIDTH (mm)]])/1000*2*MBQ[[#This Row],[QTY TOTAL]]</f>
        <v>0</v>
      </c>
      <c r="U714" s="266">
        <f>MBQ[[#This Row],[MULTIPLIER]]*MBQ[[#This Row],[QTY]]</f>
        <v>0</v>
      </c>
      <c r="V714" s="9">
        <f>MBQ[[#This Row],[HEIGHT (mm)]]/1000*MBQ[[#This Row],[WIDTH (mm)]]/1000*MBQ[[#This Row],[QTY TOTAL]]</f>
        <v>0</v>
      </c>
      <c r="W714" s="287">
        <f>ROUNDUP(MBQ[[#This Row],[HEIGHT (mm)]]/450*MBQ[[#This Row],[QTY]]*2,0)+ROUNDUP(MBQ[[#This Row],[WIDTH (mm)]]/450*MBQ[[#This Row],[QTY]]*2,0)</f>
        <v>0</v>
      </c>
    </row>
    <row r="715" spans="1:23" hidden="1">
      <c r="A715" s="258">
        <v>1</v>
      </c>
      <c r="B715" s="259"/>
      <c r="C715" s="233"/>
      <c r="D715" s="260"/>
      <c r="E715" s="260"/>
      <c r="F715" s="261"/>
      <c r="G715" s="262"/>
      <c r="H715" s="262"/>
      <c r="I715" s="260"/>
      <c r="J715" s="233"/>
      <c r="K715" s="263"/>
      <c r="L715" s="260"/>
      <c r="M715" s="263"/>
      <c r="N715" s="263"/>
      <c r="O715" s="264"/>
      <c r="P715" s="264"/>
      <c r="Q715" s="265"/>
      <c r="R715" s="30">
        <f>MBQ[[#This Row],[HEIGHT (mm)]]*MBQ[[#This Row],[QTY TOTAL]]/1000</f>
        <v>0</v>
      </c>
      <c r="S715" s="30">
        <f>MBQ[[#This Row],[WIDTH (mm)]]*MBQ[[#This Row],[QTY TOTAL]]/1000</f>
        <v>0</v>
      </c>
      <c r="T715" s="9">
        <f>(MBQ[[#This Row],[HEIGHT (mm)]]+MBQ[[#This Row],[WIDTH (mm)]])/1000*2*MBQ[[#This Row],[QTY TOTAL]]</f>
        <v>0</v>
      </c>
      <c r="U715" s="266">
        <f>MBQ[[#This Row],[MULTIPLIER]]*MBQ[[#This Row],[QTY]]</f>
        <v>0</v>
      </c>
      <c r="V715" s="9">
        <f>MBQ[[#This Row],[HEIGHT (mm)]]/1000*MBQ[[#This Row],[WIDTH (mm)]]/1000*MBQ[[#This Row],[QTY TOTAL]]</f>
        <v>0</v>
      </c>
      <c r="W715" s="287">
        <f>ROUNDUP(MBQ[[#This Row],[HEIGHT (mm)]]/450*MBQ[[#This Row],[QTY]]*2,0)+ROUNDUP(MBQ[[#This Row],[WIDTH (mm)]]/450*MBQ[[#This Row],[QTY]]*2,0)</f>
        <v>0</v>
      </c>
    </row>
    <row r="716" spans="1:23" hidden="1">
      <c r="A716" s="258">
        <v>1</v>
      </c>
      <c r="B716" s="259"/>
      <c r="C716" s="233"/>
      <c r="D716" s="260"/>
      <c r="E716" s="260"/>
      <c r="F716" s="261"/>
      <c r="G716" s="262"/>
      <c r="H716" s="262"/>
      <c r="I716" s="260"/>
      <c r="J716" s="233"/>
      <c r="K716" s="263"/>
      <c r="L716" s="260"/>
      <c r="M716" s="263"/>
      <c r="N716" s="263"/>
      <c r="O716" s="264"/>
      <c r="P716" s="264"/>
      <c r="Q716" s="265"/>
      <c r="R716" s="30">
        <f>MBQ[[#This Row],[HEIGHT (mm)]]*MBQ[[#This Row],[QTY TOTAL]]/1000</f>
        <v>0</v>
      </c>
      <c r="S716" s="30">
        <f>MBQ[[#This Row],[WIDTH (mm)]]*MBQ[[#This Row],[QTY TOTAL]]/1000</f>
        <v>0</v>
      </c>
      <c r="T716" s="9">
        <f>(MBQ[[#This Row],[HEIGHT (mm)]]+MBQ[[#This Row],[WIDTH (mm)]])/1000*2*MBQ[[#This Row],[QTY TOTAL]]</f>
        <v>0</v>
      </c>
      <c r="U716" s="266">
        <f>MBQ[[#This Row],[MULTIPLIER]]*MBQ[[#This Row],[QTY]]</f>
        <v>0</v>
      </c>
      <c r="V716" s="9">
        <f>MBQ[[#This Row],[HEIGHT (mm)]]/1000*MBQ[[#This Row],[WIDTH (mm)]]/1000*MBQ[[#This Row],[QTY TOTAL]]</f>
        <v>0</v>
      </c>
      <c r="W716" s="287">
        <f>ROUNDUP(MBQ[[#This Row],[HEIGHT (mm)]]/450*MBQ[[#This Row],[QTY]]*2,0)+ROUNDUP(MBQ[[#This Row],[WIDTH (mm)]]/450*MBQ[[#This Row],[QTY]]*2,0)</f>
        <v>0</v>
      </c>
    </row>
    <row r="717" spans="1:23" hidden="1">
      <c r="A717" s="258">
        <v>1</v>
      </c>
      <c r="B717" s="259"/>
      <c r="C717" s="233"/>
      <c r="D717" s="260"/>
      <c r="E717" s="260"/>
      <c r="F717" s="261"/>
      <c r="G717" s="262"/>
      <c r="H717" s="262"/>
      <c r="I717" s="260"/>
      <c r="J717" s="233"/>
      <c r="K717" s="263"/>
      <c r="L717" s="260"/>
      <c r="M717" s="263"/>
      <c r="N717" s="263"/>
      <c r="O717" s="264"/>
      <c r="P717" s="264"/>
      <c r="Q717" s="265"/>
      <c r="R717" s="30">
        <f>MBQ[[#This Row],[HEIGHT (mm)]]*MBQ[[#This Row],[QTY TOTAL]]/1000</f>
        <v>0</v>
      </c>
      <c r="S717" s="30">
        <f>MBQ[[#This Row],[WIDTH (mm)]]*MBQ[[#This Row],[QTY TOTAL]]/1000</f>
        <v>0</v>
      </c>
      <c r="T717" s="9">
        <f>(MBQ[[#This Row],[HEIGHT (mm)]]+MBQ[[#This Row],[WIDTH (mm)]])/1000*2*MBQ[[#This Row],[QTY TOTAL]]</f>
        <v>0</v>
      </c>
      <c r="U717" s="266">
        <f>MBQ[[#This Row],[MULTIPLIER]]*MBQ[[#This Row],[QTY]]</f>
        <v>0</v>
      </c>
      <c r="V717" s="9">
        <f>MBQ[[#This Row],[HEIGHT (mm)]]/1000*MBQ[[#This Row],[WIDTH (mm)]]/1000*MBQ[[#This Row],[QTY TOTAL]]</f>
        <v>0</v>
      </c>
      <c r="W717" s="287">
        <f>ROUNDUP(MBQ[[#This Row],[HEIGHT (mm)]]/450*MBQ[[#This Row],[QTY]]*2,0)+ROUNDUP(MBQ[[#This Row],[WIDTH (mm)]]/450*MBQ[[#This Row],[QTY]]*2,0)</f>
        <v>0</v>
      </c>
    </row>
    <row r="718" spans="1:23" hidden="1">
      <c r="A718" s="258">
        <v>1</v>
      </c>
      <c r="B718" s="259"/>
      <c r="C718" s="233"/>
      <c r="D718" s="260"/>
      <c r="E718" s="260"/>
      <c r="F718" s="261"/>
      <c r="G718" s="262"/>
      <c r="H718" s="262"/>
      <c r="I718" s="260"/>
      <c r="J718" s="233"/>
      <c r="K718" s="263"/>
      <c r="L718" s="260"/>
      <c r="M718" s="263"/>
      <c r="N718" s="263"/>
      <c r="O718" s="264"/>
      <c r="P718" s="264"/>
      <c r="Q718" s="265"/>
      <c r="R718" s="30">
        <f>MBQ[[#This Row],[HEIGHT (mm)]]*MBQ[[#This Row],[QTY TOTAL]]/1000</f>
        <v>0</v>
      </c>
      <c r="S718" s="30">
        <f>MBQ[[#This Row],[WIDTH (mm)]]*MBQ[[#This Row],[QTY TOTAL]]/1000</f>
        <v>0</v>
      </c>
      <c r="T718" s="9">
        <f>(MBQ[[#This Row],[HEIGHT (mm)]]+MBQ[[#This Row],[WIDTH (mm)]])/1000*2*MBQ[[#This Row],[QTY TOTAL]]</f>
        <v>0</v>
      </c>
      <c r="U718" s="266">
        <f>MBQ[[#This Row],[MULTIPLIER]]*MBQ[[#This Row],[QTY]]</f>
        <v>0</v>
      </c>
      <c r="V718" s="9">
        <f>MBQ[[#This Row],[HEIGHT (mm)]]/1000*MBQ[[#This Row],[WIDTH (mm)]]/1000*MBQ[[#This Row],[QTY TOTAL]]</f>
        <v>0</v>
      </c>
      <c r="W718" s="287">
        <f>ROUNDUP(MBQ[[#This Row],[HEIGHT (mm)]]/450*MBQ[[#This Row],[QTY]]*2,0)+ROUNDUP(MBQ[[#This Row],[WIDTH (mm)]]/450*MBQ[[#This Row],[QTY]]*2,0)</f>
        <v>0</v>
      </c>
    </row>
    <row r="719" spans="1:23" hidden="1">
      <c r="A719" s="258">
        <v>1</v>
      </c>
      <c r="B719" s="259"/>
      <c r="C719" s="233"/>
      <c r="D719" s="260"/>
      <c r="E719" s="260"/>
      <c r="F719" s="261"/>
      <c r="G719" s="262"/>
      <c r="H719" s="262"/>
      <c r="I719" s="260"/>
      <c r="J719" s="233"/>
      <c r="K719" s="263"/>
      <c r="L719" s="260"/>
      <c r="M719" s="263"/>
      <c r="N719" s="263"/>
      <c r="O719" s="264"/>
      <c r="P719" s="264"/>
      <c r="Q719" s="265"/>
      <c r="R719" s="30">
        <f>MBQ[[#This Row],[HEIGHT (mm)]]*MBQ[[#This Row],[QTY TOTAL]]/1000</f>
        <v>0</v>
      </c>
      <c r="S719" s="30">
        <f>MBQ[[#This Row],[WIDTH (mm)]]*MBQ[[#This Row],[QTY TOTAL]]/1000</f>
        <v>0</v>
      </c>
      <c r="T719" s="9">
        <f>(MBQ[[#This Row],[HEIGHT (mm)]]+MBQ[[#This Row],[WIDTH (mm)]])/1000*2*MBQ[[#This Row],[QTY TOTAL]]</f>
        <v>0</v>
      </c>
      <c r="U719" s="266">
        <f>MBQ[[#This Row],[MULTIPLIER]]*MBQ[[#This Row],[QTY]]</f>
        <v>0</v>
      </c>
      <c r="V719" s="9">
        <f>MBQ[[#This Row],[HEIGHT (mm)]]/1000*MBQ[[#This Row],[WIDTH (mm)]]/1000*MBQ[[#This Row],[QTY TOTAL]]</f>
        <v>0</v>
      </c>
      <c r="W719" s="287">
        <f>ROUNDUP(MBQ[[#This Row],[HEIGHT (mm)]]/450*MBQ[[#This Row],[QTY]]*2,0)+ROUNDUP(MBQ[[#This Row],[WIDTH (mm)]]/450*MBQ[[#This Row],[QTY]]*2,0)</f>
        <v>0</v>
      </c>
    </row>
    <row r="720" spans="1:23" hidden="1">
      <c r="A720" s="258">
        <v>1</v>
      </c>
      <c r="B720" s="259"/>
      <c r="C720" s="233"/>
      <c r="D720" s="260"/>
      <c r="E720" s="260"/>
      <c r="F720" s="261"/>
      <c r="G720" s="262"/>
      <c r="H720" s="262"/>
      <c r="I720" s="260"/>
      <c r="J720" s="233"/>
      <c r="K720" s="263"/>
      <c r="L720" s="260"/>
      <c r="M720" s="263"/>
      <c r="N720" s="263"/>
      <c r="O720" s="264"/>
      <c r="P720" s="264"/>
      <c r="Q720" s="265"/>
      <c r="R720" s="30">
        <f>MBQ[[#This Row],[HEIGHT (mm)]]*MBQ[[#This Row],[QTY TOTAL]]/1000</f>
        <v>0</v>
      </c>
      <c r="S720" s="30">
        <f>MBQ[[#This Row],[WIDTH (mm)]]*MBQ[[#This Row],[QTY TOTAL]]/1000</f>
        <v>0</v>
      </c>
      <c r="T720" s="9">
        <f>(MBQ[[#This Row],[HEIGHT (mm)]]+MBQ[[#This Row],[WIDTH (mm)]])/1000*2*MBQ[[#This Row],[QTY TOTAL]]</f>
        <v>0</v>
      </c>
      <c r="U720" s="266">
        <f>MBQ[[#This Row],[MULTIPLIER]]*MBQ[[#This Row],[QTY]]</f>
        <v>0</v>
      </c>
      <c r="V720" s="9">
        <f>MBQ[[#This Row],[HEIGHT (mm)]]/1000*MBQ[[#This Row],[WIDTH (mm)]]/1000*MBQ[[#This Row],[QTY TOTAL]]</f>
        <v>0</v>
      </c>
      <c r="W720" s="287">
        <f>ROUNDUP(MBQ[[#This Row],[HEIGHT (mm)]]/450*MBQ[[#This Row],[QTY]]*2,0)+ROUNDUP(MBQ[[#This Row],[WIDTH (mm)]]/450*MBQ[[#This Row],[QTY]]*2,0)</f>
        <v>0</v>
      </c>
    </row>
    <row r="721" spans="1:23" hidden="1">
      <c r="A721" s="258">
        <v>1</v>
      </c>
      <c r="B721" s="259"/>
      <c r="C721" s="233"/>
      <c r="D721" s="260"/>
      <c r="E721" s="260"/>
      <c r="F721" s="261"/>
      <c r="G721" s="262"/>
      <c r="H721" s="262"/>
      <c r="I721" s="260"/>
      <c r="J721" s="233"/>
      <c r="K721" s="263"/>
      <c r="L721" s="260"/>
      <c r="M721" s="263"/>
      <c r="N721" s="263"/>
      <c r="O721" s="264"/>
      <c r="P721" s="264"/>
      <c r="Q721" s="265"/>
      <c r="R721" s="30">
        <f>MBQ[[#This Row],[HEIGHT (mm)]]*MBQ[[#This Row],[QTY TOTAL]]/1000</f>
        <v>0</v>
      </c>
      <c r="S721" s="30">
        <f>MBQ[[#This Row],[WIDTH (mm)]]*MBQ[[#This Row],[QTY TOTAL]]/1000</f>
        <v>0</v>
      </c>
      <c r="T721" s="9">
        <f>(MBQ[[#This Row],[HEIGHT (mm)]]+MBQ[[#This Row],[WIDTH (mm)]])/1000*2*MBQ[[#This Row],[QTY TOTAL]]</f>
        <v>0</v>
      </c>
      <c r="U721" s="266">
        <f>MBQ[[#This Row],[MULTIPLIER]]*MBQ[[#This Row],[QTY]]</f>
        <v>0</v>
      </c>
      <c r="V721" s="9">
        <f>MBQ[[#This Row],[HEIGHT (mm)]]/1000*MBQ[[#This Row],[WIDTH (mm)]]/1000*MBQ[[#This Row],[QTY TOTAL]]</f>
        <v>0</v>
      </c>
      <c r="W721" s="287">
        <f>ROUNDUP(MBQ[[#This Row],[HEIGHT (mm)]]/450*MBQ[[#This Row],[QTY]]*2,0)+ROUNDUP(MBQ[[#This Row],[WIDTH (mm)]]/450*MBQ[[#This Row],[QTY]]*2,0)</f>
        <v>0</v>
      </c>
    </row>
    <row r="722" spans="1:23" hidden="1">
      <c r="A722" s="258">
        <v>1</v>
      </c>
      <c r="B722" s="259"/>
      <c r="C722" s="233"/>
      <c r="D722" s="260"/>
      <c r="E722" s="260"/>
      <c r="F722" s="261"/>
      <c r="G722" s="262"/>
      <c r="H722" s="262"/>
      <c r="I722" s="260"/>
      <c r="J722" s="233"/>
      <c r="K722" s="263"/>
      <c r="L722" s="260"/>
      <c r="M722" s="263"/>
      <c r="N722" s="263"/>
      <c r="O722" s="264"/>
      <c r="P722" s="264"/>
      <c r="Q722" s="265"/>
      <c r="R722" s="30">
        <f>MBQ[[#This Row],[HEIGHT (mm)]]*MBQ[[#This Row],[QTY TOTAL]]/1000</f>
        <v>0</v>
      </c>
      <c r="S722" s="30">
        <f>MBQ[[#This Row],[WIDTH (mm)]]*MBQ[[#This Row],[QTY TOTAL]]/1000</f>
        <v>0</v>
      </c>
      <c r="T722" s="9">
        <f>(MBQ[[#This Row],[HEIGHT (mm)]]+MBQ[[#This Row],[WIDTH (mm)]])/1000*2*MBQ[[#This Row],[QTY TOTAL]]</f>
        <v>0</v>
      </c>
      <c r="U722" s="266">
        <f>MBQ[[#This Row],[MULTIPLIER]]*MBQ[[#This Row],[QTY]]</f>
        <v>0</v>
      </c>
      <c r="V722" s="9">
        <f>MBQ[[#This Row],[HEIGHT (mm)]]/1000*MBQ[[#This Row],[WIDTH (mm)]]/1000*MBQ[[#This Row],[QTY TOTAL]]</f>
        <v>0</v>
      </c>
      <c r="W722" s="287">
        <f>ROUNDUP(MBQ[[#This Row],[HEIGHT (mm)]]/450*MBQ[[#This Row],[QTY]]*2,0)+ROUNDUP(MBQ[[#This Row],[WIDTH (mm)]]/450*MBQ[[#This Row],[QTY]]*2,0)</f>
        <v>0</v>
      </c>
    </row>
    <row r="723" spans="1:23" hidden="1">
      <c r="A723" s="258">
        <v>1</v>
      </c>
      <c r="B723" s="259"/>
      <c r="C723" s="233"/>
      <c r="D723" s="260"/>
      <c r="E723" s="260"/>
      <c r="F723" s="261"/>
      <c r="G723" s="262"/>
      <c r="H723" s="262"/>
      <c r="I723" s="260"/>
      <c r="J723" s="233"/>
      <c r="K723" s="263"/>
      <c r="L723" s="260"/>
      <c r="M723" s="263"/>
      <c r="N723" s="263"/>
      <c r="O723" s="264"/>
      <c r="P723" s="264"/>
      <c r="Q723" s="265"/>
      <c r="R723" s="30">
        <f>MBQ[[#This Row],[HEIGHT (mm)]]*MBQ[[#This Row],[QTY TOTAL]]/1000</f>
        <v>0</v>
      </c>
      <c r="S723" s="30">
        <f>MBQ[[#This Row],[WIDTH (mm)]]*MBQ[[#This Row],[QTY TOTAL]]/1000</f>
        <v>0</v>
      </c>
      <c r="T723" s="9">
        <f>(MBQ[[#This Row],[HEIGHT (mm)]]+MBQ[[#This Row],[WIDTH (mm)]])/1000*2*MBQ[[#This Row],[QTY TOTAL]]</f>
        <v>0</v>
      </c>
      <c r="U723" s="266">
        <f>MBQ[[#This Row],[MULTIPLIER]]*MBQ[[#This Row],[QTY]]</f>
        <v>0</v>
      </c>
      <c r="V723" s="9">
        <f>MBQ[[#This Row],[HEIGHT (mm)]]/1000*MBQ[[#This Row],[WIDTH (mm)]]/1000*MBQ[[#This Row],[QTY TOTAL]]</f>
        <v>0</v>
      </c>
      <c r="W723" s="287">
        <f>ROUNDUP(MBQ[[#This Row],[HEIGHT (mm)]]/450*MBQ[[#This Row],[QTY]]*2,0)+ROUNDUP(MBQ[[#This Row],[WIDTH (mm)]]/450*MBQ[[#This Row],[QTY]]*2,0)</f>
        <v>0</v>
      </c>
    </row>
    <row r="724" spans="1:23" hidden="1">
      <c r="A724" s="258">
        <v>1</v>
      </c>
      <c r="B724" s="259"/>
      <c r="C724" s="233"/>
      <c r="D724" s="260"/>
      <c r="E724" s="260"/>
      <c r="F724" s="261"/>
      <c r="G724" s="262"/>
      <c r="H724" s="262"/>
      <c r="I724" s="260"/>
      <c r="J724" s="233"/>
      <c r="K724" s="263"/>
      <c r="L724" s="260"/>
      <c r="M724" s="263"/>
      <c r="N724" s="263"/>
      <c r="O724" s="264"/>
      <c r="P724" s="264"/>
      <c r="Q724" s="265"/>
      <c r="R724" s="30">
        <f>MBQ[[#This Row],[HEIGHT (mm)]]*MBQ[[#This Row],[QTY TOTAL]]/1000</f>
        <v>0</v>
      </c>
      <c r="S724" s="30">
        <f>MBQ[[#This Row],[WIDTH (mm)]]*MBQ[[#This Row],[QTY TOTAL]]/1000</f>
        <v>0</v>
      </c>
      <c r="T724" s="9">
        <f>(MBQ[[#This Row],[HEIGHT (mm)]]+MBQ[[#This Row],[WIDTH (mm)]])/1000*2*MBQ[[#This Row],[QTY TOTAL]]</f>
        <v>0</v>
      </c>
      <c r="U724" s="266">
        <f>MBQ[[#This Row],[MULTIPLIER]]*MBQ[[#This Row],[QTY]]</f>
        <v>0</v>
      </c>
      <c r="V724" s="9">
        <f>MBQ[[#This Row],[HEIGHT (mm)]]/1000*MBQ[[#This Row],[WIDTH (mm)]]/1000*MBQ[[#This Row],[QTY TOTAL]]</f>
        <v>0</v>
      </c>
      <c r="W724" s="287">
        <f>ROUNDUP(MBQ[[#This Row],[HEIGHT (mm)]]/450*MBQ[[#This Row],[QTY]]*2,0)+ROUNDUP(MBQ[[#This Row],[WIDTH (mm)]]/450*MBQ[[#This Row],[QTY]]*2,0)</f>
        <v>0</v>
      </c>
    </row>
    <row r="725" spans="1:23" hidden="1">
      <c r="A725" s="258">
        <v>1</v>
      </c>
      <c r="B725" s="259"/>
      <c r="C725" s="233"/>
      <c r="D725" s="260"/>
      <c r="E725" s="260"/>
      <c r="F725" s="261"/>
      <c r="G725" s="262"/>
      <c r="H725" s="262"/>
      <c r="I725" s="260"/>
      <c r="J725" s="233"/>
      <c r="K725" s="263"/>
      <c r="L725" s="260"/>
      <c r="M725" s="263"/>
      <c r="N725" s="263"/>
      <c r="O725" s="264"/>
      <c r="P725" s="264"/>
      <c r="Q725" s="265"/>
      <c r="R725" s="30">
        <f>MBQ[[#This Row],[HEIGHT (mm)]]*MBQ[[#This Row],[QTY TOTAL]]/1000</f>
        <v>0</v>
      </c>
      <c r="S725" s="30">
        <f>MBQ[[#This Row],[WIDTH (mm)]]*MBQ[[#This Row],[QTY TOTAL]]/1000</f>
        <v>0</v>
      </c>
      <c r="T725" s="9">
        <f>(MBQ[[#This Row],[HEIGHT (mm)]]+MBQ[[#This Row],[WIDTH (mm)]])/1000*2*MBQ[[#This Row],[QTY TOTAL]]</f>
        <v>0</v>
      </c>
      <c r="U725" s="266">
        <f>MBQ[[#This Row],[MULTIPLIER]]*MBQ[[#This Row],[QTY]]</f>
        <v>0</v>
      </c>
      <c r="V725" s="9">
        <f>MBQ[[#This Row],[HEIGHT (mm)]]/1000*MBQ[[#This Row],[WIDTH (mm)]]/1000*MBQ[[#This Row],[QTY TOTAL]]</f>
        <v>0</v>
      </c>
      <c r="W725" s="287">
        <f>ROUNDUP(MBQ[[#This Row],[HEIGHT (mm)]]/450*MBQ[[#This Row],[QTY]]*2,0)+ROUNDUP(MBQ[[#This Row],[WIDTH (mm)]]/450*MBQ[[#This Row],[QTY]]*2,0)</f>
        <v>0</v>
      </c>
    </row>
    <row r="726" spans="1:23" hidden="1">
      <c r="A726" s="258">
        <v>1</v>
      </c>
      <c r="B726" s="259"/>
      <c r="C726" s="233"/>
      <c r="D726" s="260"/>
      <c r="E726" s="260"/>
      <c r="F726" s="261"/>
      <c r="G726" s="262"/>
      <c r="H726" s="262"/>
      <c r="I726" s="260"/>
      <c r="J726" s="233"/>
      <c r="K726" s="263"/>
      <c r="L726" s="260"/>
      <c r="M726" s="263"/>
      <c r="N726" s="263"/>
      <c r="O726" s="264"/>
      <c r="P726" s="264"/>
      <c r="Q726" s="265"/>
      <c r="R726" s="30">
        <f>MBQ[[#This Row],[HEIGHT (mm)]]*MBQ[[#This Row],[QTY TOTAL]]/1000</f>
        <v>0</v>
      </c>
      <c r="S726" s="30">
        <f>MBQ[[#This Row],[WIDTH (mm)]]*MBQ[[#This Row],[QTY TOTAL]]/1000</f>
        <v>0</v>
      </c>
      <c r="T726" s="9">
        <f>(MBQ[[#This Row],[HEIGHT (mm)]]+MBQ[[#This Row],[WIDTH (mm)]])/1000*2*MBQ[[#This Row],[QTY TOTAL]]</f>
        <v>0</v>
      </c>
      <c r="U726" s="266">
        <f>MBQ[[#This Row],[MULTIPLIER]]*MBQ[[#This Row],[QTY]]</f>
        <v>0</v>
      </c>
      <c r="V726" s="9">
        <f>MBQ[[#This Row],[HEIGHT (mm)]]/1000*MBQ[[#This Row],[WIDTH (mm)]]/1000*MBQ[[#This Row],[QTY TOTAL]]</f>
        <v>0</v>
      </c>
      <c r="W726" s="287">
        <f>ROUNDUP(MBQ[[#This Row],[HEIGHT (mm)]]/450*MBQ[[#This Row],[QTY]]*2,0)+ROUNDUP(MBQ[[#This Row],[WIDTH (mm)]]/450*MBQ[[#This Row],[QTY]]*2,0)</f>
        <v>0</v>
      </c>
    </row>
    <row r="727" spans="1:23" hidden="1">
      <c r="A727" s="258">
        <v>1</v>
      </c>
      <c r="B727" s="259"/>
      <c r="C727" s="233"/>
      <c r="D727" s="260"/>
      <c r="E727" s="260"/>
      <c r="F727" s="261"/>
      <c r="G727" s="262"/>
      <c r="H727" s="262"/>
      <c r="I727" s="260"/>
      <c r="J727" s="233"/>
      <c r="K727" s="263"/>
      <c r="L727" s="260"/>
      <c r="M727" s="263"/>
      <c r="N727" s="263"/>
      <c r="O727" s="264"/>
      <c r="P727" s="264"/>
      <c r="Q727" s="265"/>
      <c r="R727" s="30">
        <f>MBQ[[#This Row],[HEIGHT (mm)]]*MBQ[[#This Row],[QTY TOTAL]]/1000</f>
        <v>0</v>
      </c>
      <c r="S727" s="30">
        <f>MBQ[[#This Row],[WIDTH (mm)]]*MBQ[[#This Row],[QTY TOTAL]]/1000</f>
        <v>0</v>
      </c>
      <c r="T727" s="9">
        <f>(MBQ[[#This Row],[HEIGHT (mm)]]+MBQ[[#This Row],[WIDTH (mm)]])/1000*2*MBQ[[#This Row],[QTY TOTAL]]</f>
        <v>0</v>
      </c>
      <c r="U727" s="266">
        <f>MBQ[[#This Row],[MULTIPLIER]]*MBQ[[#This Row],[QTY]]</f>
        <v>0</v>
      </c>
      <c r="V727" s="9">
        <f>MBQ[[#This Row],[HEIGHT (mm)]]/1000*MBQ[[#This Row],[WIDTH (mm)]]/1000*MBQ[[#This Row],[QTY TOTAL]]</f>
        <v>0</v>
      </c>
      <c r="W727" s="287">
        <f>ROUNDUP(MBQ[[#This Row],[HEIGHT (mm)]]/450*MBQ[[#This Row],[QTY]]*2,0)+ROUNDUP(MBQ[[#This Row],[WIDTH (mm)]]/450*MBQ[[#This Row],[QTY]]*2,0)</f>
        <v>0</v>
      </c>
    </row>
    <row r="728" spans="1:23" hidden="1">
      <c r="A728" s="258">
        <v>1</v>
      </c>
      <c r="B728" s="259"/>
      <c r="C728" s="233"/>
      <c r="D728" s="260"/>
      <c r="E728" s="260"/>
      <c r="F728" s="261"/>
      <c r="G728" s="262"/>
      <c r="H728" s="262"/>
      <c r="I728" s="260"/>
      <c r="J728" s="233"/>
      <c r="K728" s="263"/>
      <c r="L728" s="260"/>
      <c r="M728" s="263"/>
      <c r="N728" s="263"/>
      <c r="O728" s="264"/>
      <c r="P728" s="264"/>
      <c r="Q728" s="265"/>
      <c r="R728" s="30">
        <f>MBQ[[#This Row],[HEIGHT (mm)]]*MBQ[[#This Row],[QTY TOTAL]]/1000</f>
        <v>0</v>
      </c>
      <c r="S728" s="30">
        <f>MBQ[[#This Row],[WIDTH (mm)]]*MBQ[[#This Row],[QTY TOTAL]]/1000</f>
        <v>0</v>
      </c>
      <c r="T728" s="9">
        <f>(MBQ[[#This Row],[HEIGHT (mm)]]+MBQ[[#This Row],[WIDTH (mm)]])/1000*2*MBQ[[#This Row],[QTY TOTAL]]</f>
        <v>0</v>
      </c>
      <c r="U728" s="266">
        <f>MBQ[[#This Row],[MULTIPLIER]]*MBQ[[#This Row],[QTY]]</f>
        <v>0</v>
      </c>
      <c r="V728" s="9">
        <f>MBQ[[#This Row],[HEIGHT (mm)]]/1000*MBQ[[#This Row],[WIDTH (mm)]]/1000*MBQ[[#This Row],[QTY TOTAL]]</f>
        <v>0</v>
      </c>
      <c r="W728" s="287">
        <f>ROUNDUP(MBQ[[#This Row],[HEIGHT (mm)]]/450*MBQ[[#This Row],[QTY]]*2,0)+ROUNDUP(MBQ[[#This Row],[WIDTH (mm)]]/450*MBQ[[#This Row],[QTY]]*2,0)</f>
        <v>0</v>
      </c>
    </row>
    <row r="729" spans="1:23" hidden="1">
      <c r="A729" s="258">
        <v>1</v>
      </c>
      <c r="B729" s="259"/>
      <c r="C729" s="233"/>
      <c r="D729" s="260"/>
      <c r="E729" s="260"/>
      <c r="F729" s="261"/>
      <c r="G729" s="262"/>
      <c r="H729" s="262"/>
      <c r="I729" s="260"/>
      <c r="J729" s="233"/>
      <c r="K729" s="263"/>
      <c r="L729" s="260"/>
      <c r="M729" s="263"/>
      <c r="N729" s="263"/>
      <c r="O729" s="264"/>
      <c r="P729" s="264"/>
      <c r="Q729" s="265"/>
      <c r="R729" s="30">
        <f>MBQ[[#This Row],[HEIGHT (mm)]]*MBQ[[#This Row],[QTY TOTAL]]/1000</f>
        <v>0</v>
      </c>
      <c r="S729" s="30">
        <f>MBQ[[#This Row],[WIDTH (mm)]]*MBQ[[#This Row],[QTY TOTAL]]/1000</f>
        <v>0</v>
      </c>
      <c r="T729" s="9">
        <f>(MBQ[[#This Row],[HEIGHT (mm)]]+MBQ[[#This Row],[WIDTH (mm)]])/1000*2*MBQ[[#This Row],[QTY TOTAL]]</f>
        <v>0</v>
      </c>
      <c r="U729" s="266">
        <f>MBQ[[#This Row],[MULTIPLIER]]*MBQ[[#This Row],[QTY]]</f>
        <v>0</v>
      </c>
      <c r="V729" s="9">
        <f>MBQ[[#This Row],[HEIGHT (mm)]]/1000*MBQ[[#This Row],[WIDTH (mm)]]/1000*MBQ[[#This Row],[QTY TOTAL]]</f>
        <v>0</v>
      </c>
      <c r="W729" s="287">
        <f>ROUNDUP(MBQ[[#This Row],[HEIGHT (mm)]]/450*MBQ[[#This Row],[QTY]]*2,0)+ROUNDUP(MBQ[[#This Row],[WIDTH (mm)]]/450*MBQ[[#This Row],[QTY]]*2,0)</f>
        <v>0</v>
      </c>
    </row>
    <row r="730" spans="1:23" hidden="1">
      <c r="A730" s="258">
        <v>1</v>
      </c>
      <c r="B730" s="259"/>
      <c r="C730" s="233"/>
      <c r="D730" s="260"/>
      <c r="E730" s="260"/>
      <c r="F730" s="261"/>
      <c r="G730" s="262"/>
      <c r="H730" s="262"/>
      <c r="I730" s="260"/>
      <c r="J730" s="233"/>
      <c r="K730" s="263"/>
      <c r="L730" s="260"/>
      <c r="M730" s="263"/>
      <c r="N730" s="263"/>
      <c r="O730" s="264"/>
      <c r="P730" s="264"/>
      <c r="Q730" s="265"/>
      <c r="R730" s="30">
        <f>MBQ[[#This Row],[HEIGHT (mm)]]*MBQ[[#This Row],[QTY TOTAL]]/1000</f>
        <v>0</v>
      </c>
      <c r="S730" s="30">
        <f>MBQ[[#This Row],[WIDTH (mm)]]*MBQ[[#This Row],[QTY TOTAL]]/1000</f>
        <v>0</v>
      </c>
      <c r="T730" s="9">
        <f>(MBQ[[#This Row],[HEIGHT (mm)]]+MBQ[[#This Row],[WIDTH (mm)]])/1000*2*MBQ[[#This Row],[QTY TOTAL]]</f>
        <v>0</v>
      </c>
      <c r="U730" s="266">
        <f>MBQ[[#This Row],[MULTIPLIER]]*MBQ[[#This Row],[QTY]]</f>
        <v>0</v>
      </c>
      <c r="V730" s="9">
        <f>MBQ[[#This Row],[HEIGHT (mm)]]/1000*MBQ[[#This Row],[WIDTH (mm)]]/1000*MBQ[[#This Row],[QTY TOTAL]]</f>
        <v>0</v>
      </c>
      <c r="W730" s="287">
        <f>ROUNDUP(MBQ[[#This Row],[HEIGHT (mm)]]/450*MBQ[[#This Row],[QTY]]*2,0)+ROUNDUP(MBQ[[#This Row],[WIDTH (mm)]]/450*MBQ[[#This Row],[QTY]]*2,0)</f>
        <v>0</v>
      </c>
    </row>
    <row r="731" spans="1:23" hidden="1">
      <c r="A731" s="258">
        <v>1</v>
      </c>
      <c r="B731" s="259"/>
      <c r="C731" s="233"/>
      <c r="D731" s="260"/>
      <c r="E731" s="260"/>
      <c r="F731" s="261"/>
      <c r="G731" s="262"/>
      <c r="H731" s="262"/>
      <c r="I731" s="260"/>
      <c r="J731" s="233"/>
      <c r="K731" s="263"/>
      <c r="L731" s="260"/>
      <c r="M731" s="263"/>
      <c r="N731" s="263"/>
      <c r="O731" s="264"/>
      <c r="P731" s="264"/>
      <c r="Q731" s="265"/>
      <c r="R731" s="30">
        <f>MBQ[[#This Row],[HEIGHT (mm)]]*MBQ[[#This Row],[QTY TOTAL]]/1000</f>
        <v>0</v>
      </c>
      <c r="S731" s="30">
        <f>MBQ[[#This Row],[WIDTH (mm)]]*MBQ[[#This Row],[QTY TOTAL]]/1000</f>
        <v>0</v>
      </c>
      <c r="T731" s="9">
        <f>(MBQ[[#This Row],[HEIGHT (mm)]]+MBQ[[#This Row],[WIDTH (mm)]])/1000*2*MBQ[[#This Row],[QTY TOTAL]]</f>
        <v>0</v>
      </c>
      <c r="U731" s="266">
        <f>MBQ[[#This Row],[MULTIPLIER]]*MBQ[[#This Row],[QTY]]</f>
        <v>0</v>
      </c>
      <c r="V731" s="9">
        <f>MBQ[[#This Row],[HEIGHT (mm)]]/1000*MBQ[[#This Row],[WIDTH (mm)]]/1000*MBQ[[#This Row],[QTY TOTAL]]</f>
        <v>0</v>
      </c>
      <c r="W731" s="287">
        <f>ROUNDUP(MBQ[[#This Row],[HEIGHT (mm)]]/450*MBQ[[#This Row],[QTY]]*2,0)+ROUNDUP(MBQ[[#This Row],[WIDTH (mm)]]/450*MBQ[[#This Row],[QTY]]*2,0)</f>
        <v>0</v>
      </c>
    </row>
    <row r="732" spans="1:23" hidden="1">
      <c r="A732" s="258">
        <v>1</v>
      </c>
      <c r="B732" s="259"/>
      <c r="C732" s="233"/>
      <c r="D732" s="260"/>
      <c r="E732" s="260"/>
      <c r="F732" s="261"/>
      <c r="G732" s="262"/>
      <c r="H732" s="262"/>
      <c r="I732" s="260"/>
      <c r="J732" s="233"/>
      <c r="K732" s="263"/>
      <c r="L732" s="260"/>
      <c r="M732" s="263"/>
      <c r="N732" s="263"/>
      <c r="O732" s="264"/>
      <c r="P732" s="264"/>
      <c r="Q732" s="265"/>
      <c r="R732" s="30">
        <f>MBQ[[#This Row],[HEIGHT (mm)]]*MBQ[[#This Row],[QTY TOTAL]]/1000</f>
        <v>0</v>
      </c>
      <c r="S732" s="30">
        <f>MBQ[[#This Row],[WIDTH (mm)]]*MBQ[[#This Row],[QTY TOTAL]]/1000</f>
        <v>0</v>
      </c>
      <c r="T732" s="9">
        <f>(MBQ[[#This Row],[HEIGHT (mm)]]+MBQ[[#This Row],[WIDTH (mm)]])/1000*2*MBQ[[#This Row],[QTY TOTAL]]</f>
        <v>0</v>
      </c>
      <c r="U732" s="266">
        <f>MBQ[[#This Row],[MULTIPLIER]]*MBQ[[#This Row],[QTY]]</f>
        <v>0</v>
      </c>
      <c r="V732" s="9">
        <f>MBQ[[#This Row],[HEIGHT (mm)]]/1000*MBQ[[#This Row],[WIDTH (mm)]]/1000*MBQ[[#This Row],[QTY TOTAL]]</f>
        <v>0</v>
      </c>
      <c r="W732" s="287">
        <f>ROUNDUP(MBQ[[#This Row],[HEIGHT (mm)]]/450*MBQ[[#This Row],[QTY]]*2,0)+ROUNDUP(MBQ[[#This Row],[WIDTH (mm)]]/450*MBQ[[#This Row],[QTY]]*2,0)</f>
        <v>0</v>
      </c>
    </row>
    <row r="733" spans="1:23" hidden="1">
      <c r="A733" s="258">
        <v>1</v>
      </c>
      <c r="B733" s="259"/>
      <c r="C733" s="233"/>
      <c r="D733" s="260"/>
      <c r="E733" s="260"/>
      <c r="F733" s="261"/>
      <c r="G733" s="262"/>
      <c r="H733" s="262"/>
      <c r="I733" s="260"/>
      <c r="J733" s="233"/>
      <c r="K733" s="263"/>
      <c r="L733" s="260"/>
      <c r="M733" s="263"/>
      <c r="N733" s="263"/>
      <c r="O733" s="264"/>
      <c r="P733" s="264"/>
      <c r="Q733" s="265"/>
      <c r="R733" s="30">
        <f>MBQ[[#This Row],[HEIGHT (mm)]]*MBQ[[#This Row],[QTY TOTAL]]/1000</f>
        <v>0</v>
      </c>
      <c r="S733" s="30">
        <f>MBQ[[#This Row],[WIDTH (mm)]]*MBQ[[#This Row],[QTY TOTAL]]/1000</f>
        <v>0</v>
      </c>
      <c r="T733" s="9">
        <f>(MBQ[[#This Row],[HEIGHT (mm)]]+MBQ[[#This Row],[WIDTH (mm)]])/1000*2*MBQ[[#This Row],[QTY TOTAL]]</f>
        <v>0</v>
      </c>
      <c r="U733" s="266">
        <f>MBQ[[#This Row],[MULTIPLIER]]*MBQ[[#This Row],[QTY]]</f>
        <v>0</v>
      </c>
      <c r="V733" s="9">
        <f>MBQ[[#This Row],[HEIGHT (mm)]]/1000*MBQ[[#This Row],[WIDTH (mm)]]/1000*MBQ[[#This Row],[QTY TOTAL]]</f>
        <v>0</v>
      </c>
      <c r="W733" s="287">
        <f>ROUNDUP(MBQ[[#This Row],[HEIGHT (mm)]]/450*MBQ[[#This Row],[QTY]]*2,0)+ROUNDUP(MBQ[[#This Row],[WIDTH (mm)]]/450*MBQ[[#This Row],[QTY]]*2,0)</f>
        <v>0</v>
      </c>
    </row>
    <row r="734" spans="1:23" hidden="1">
      <c r="A734" s="258">
        <v>1</v>
      </c>
      <c r="B734" s="259"/>
      <c r="C734" s="233"/>
      <c r="D734" s="260"/>
      <c r="E734" s="260"/>
      <c r="F734" s="261"/>
      <c r="G734" s="262"/>
      <c r="H734" s="262"/>
      <c r="I734" s="260"/>
      <c r="J734" s="233"/>
      <c r="K734" s="263"/>
      <c r="L734" s="260"/>
      <c r="M734" s="263"/>
      <c r="N734" s="263"/>
      <c r="O734" s="264"/>
      <c r="P734" s="264"/>
      <c r="Q734" s="265"/>
      <c r="R734" s="30">
        <f>MBQ[[#This Row],[HEIGHT (mm)]]*MBQ[[#This Row],[QTY TOTAL]]/1000</f>
        <v>0</v>
      </c>
      <c r="S734" s="30">
        <f>MBQ[[#This Row],[WIDTH (mm)]]*MBQ[[#This Row],[QTY TOTAL]]/1000</f>
        <v>0</v>
      </c>
      <c r="T734" s="9">
        <f>(MBQ[[#This Row],[HEIGHT (mm)]]+MBQ[[#This Row],[WIDTH (mm)]])/1000*2*MBQ[[#This Row],[QTY TOTAL]]</f>
        <v>0</v>
      </c>
      <c r="U734" s="266">
        <f>MBQ[[#This Row],[MULTIPLIER]]*MBQ[[#This Row],[QTY]]</f>
        <v>0</v>
      </c>
      <c r="V734" s="9">
        <f>MBQ[[#This Row],[HEIGHT (mm)]]/1000*MBQ[[#This Row],[WIDTH (mm)]]/1000*MBQ[[#This Row],[QTY TOTAL]]</f>
        <v>0</v>
      </c>
      <c r="W734" s="287">
        <f>ROUNDUP(MBQ[[#This Row],[HEIGHT (mm)]]/450*MBQ[[#This Row],[QTY]]*2,0)+ROUNDUP(MBQ[[#This Row],[WIDTH (mm)]]/450*MBQ[[#This Row],[QTY]]*2,0)</f>
        <v>0</v>
      </c>
    </row>
    <row r="735" spans="1:23" hidden="1">
      <c r="A735" s="258">
        <v>1</v>
      </c>
      <c r="B735" s="259"/>
      <c r="C735" s="233"/>
      <c r="D735" s="260"/>
      <c r="E735" s="260"/>
      <c r="F735" s="261"/>
      <c r="G735" s="262"/>
      <c r="H735" s="262"/>
      <c r="I735" s="260"/>
      <c r="J735" s="233"/>
      <c r="K735" s="263"/>
      <c r="L735" s="260"/>
      <c r="M735" s="263"/>
      <c r="N735" s="263"/>
      <c r="O735" s="264"/>
      <c r="P735" s="264"/>
      <c r="Q735" s="265"/>
      <c r="R735" s="30">
        <f>MBQ[[#This Row],[HEIGHT (mm)]]*MBQ[[#This Row],[QTY TOTAL]]/1000</f>
        <v>0</v>
      </c>
      <c r="S735" s="30">
        <f>MBQ[[#This Row],[WIDTH (mm)]]*MBQ[[#This Row],[QTY TOTAL]]/1000</f>
        <v>0</v>
      </c>
      <c r="T735" s="9">
        <f>(MBQ[[#This Row],[HEIGHT (mm)]]+MBQ[[#This Row],[WIDTH (mm)]])/1000*2*MBQ[[#This Row],[QTY TOTAL]]</f>
        <v>0</v>
      </c>
      <c r="U735" s="266">
        <f>MBQ[[#This Row],[MULTIPLIER]]*MBQ[[#This Row],[QTY]]</f>
        <v>0</v>
      </c>
      <c r="V735" s="9">
        <f>MBQ[[#This Row],[HEIGHT (mm)]]/1000*MBQ[[#This Row],[WIDTH (mm)]]/1000*MBQ[[#This Row],[QTY TOTAL]]</f>
        <v>0</v>
      </c>
      <c r="W735" s="287">
        <f>ROUNDUP(MBQ[[#This Row],[HEIGHT (mm)]]/450*MBQ[[#This Row],[QTY]]*2,0)+ROUNDUP(MBQ[[#This Row],[WIDTH (mm)]]/450*MBQ[[#This Row],[QTY]]*2,0)</f>
        <v>0</v>
      </c>
    </row>
    <row r="736" spans="1:23" hidden="1">
      <c r="A736" s="258">
        <v>1</v>
      </c>
      <c r="B736" s="259"/>
      <c r="C736" s="233"/>
      <c r="D736" s="260"/>
      <c r="E736" s="260"/>
      <c r="F736" s="261"/>
      <c r="G736" s="262"/>
      <c r="H736" s="262"/>
      <c r="I736" s="260"/>
      <c r="J736" s="233"/>
      <c r="K736" s="263"/>
      <c r="L736" s="260"/>
      <c r="M736" s="263"/>
      <c r="N736" s="263"/>
      <c r="O736" s="264"/>
      <c r="P736" s="264"/>
      <c r="Q736" s="265"/>
      <c r="R736" s="30">
        <f>MBQ[[#This Row],[HEIGHT (mm)]]*MBQ[[#This Row],[QTY TOTAL]]/1000</f>
        <v>0</v>
      </c>
      <c r="S736" s="30">
        <f>MBQ[[#This Row],[WIDTH (mm)]]*MBQ[[#This Row],[QTY TOTAL]]/1000</f>
        <v>0</v>
      </c>
      <c r="T736" s="9">
        <f>(MBQ[[#This Row],[HEIGHT (mm)]]+MBQ[[#This Row],[WIDTH (mm)]])/1000*2*MBQ[[#This Row],[QTY TOTAL]]</f>
        <v>0</v>
      </c>
      <c r="U736" s="266">
        <f>MBQ[[#This Row],[MULTIPLIER]]*MBQ[[#This Row],[QTY]]</f>
        <v>0</v>
      </c>
      <c r="V736" s="9">
        <f>MBQ[[#This Row],[HEIGHT (mm)]]/1000*MBQ[[#This Row],[WIDTH (mm)]]/1000*MBQ[[#This Row],[QTY TOTAL]]</f>
        <v>0</v>
      </c>
      <c r="W736" s="287">
        <f>ROUNDUP(MBQ[[#This Row],[HEIGHT (mm)]]/450*MBQ[[#This Row],[QTY]]*2,0)+ROUNDUP(MBQ[[#This Row],[WIDTH (mm)]]/450*MBQ[[#This Row],[QTY]]*2,0)</f>
        <v>0</v>
      </c>
    </row>
    <row r="737" spans="1:23" hidden="1">
      <c r="A737" s="258">
        <v>1</v>
      </c>
      <c r="B737" s="259"/>
      <c r="C737" s="233"/>
      <c r="D737" s="260"/>
      <c r="E737" s="260"/>
      <c r="F737" s="261"/>
      <c r="G737" s="262"/>
      <c r="H737" s="262"/>
      <c r="I737" s="260"/>
      <c r="J737" s="233"/>
      <c r="K737" s="263"/>
      <c r="L737" s="260"/>
      <c r="M737" s="263"/>
      <c r="N737" s="263"/>
      <c r="O737" s="264"/>
      <c r="P737" s="264"/>
      <c r="Q737" s="265"/>
      <c r="R737" s="30">
        <f>MBQ[[#This Row],[HEIGHT (mm)]]*MBQ[[#This Row],[QTY TOTAL]]/1000</f>
        <v>0</v>
      </c>
      <c r="S737" s="30">
        <f>MBQ[[#This Row],[WIDTH (mm)]]*MBQ[[#This Row],[QTY TOTAL]]/1000</f>
        <v>0</v>
      </c>
      <c r="T737" s="9">
        <f>(MBQ[[#This Row],[HEIGHT (mm)]]+MBQ[[#This Row],[WIDTH (mm)]])/1000*2*MBQ[[#This Row],[QTY TOTAL]]</f>
        <v>0</v>
      </c>
      <c r="U737" s="266">
        <f>MBQ[[#This Row],[MULTIPLIER]]*MBQ[[#This Row],[QTY]]</f>
        <v>0</v>
      </c>
      <c r="V737" s="9">
        <f>MBQ[[#This Row],[HEIGHT (mm)]]/1000*MBQ[[#This Row],[WIDTH (mm)]]/1000*MBQ[[#This Row],[QTY TOTAL]]</f>
        <v>0</v>
      </c>
      <c r="W737" s="287">
        <f>ROUNDUP(MBQ[[#This Row],[HEIGHT (mm)]]/450*MBQ[[#This Row],[QTY]]*2,0)+ROUNDUP(MBQ[[#This Row],[WIDTH (mm)]]/450*MBQ[[#This Row],[QTY]]*2,0)</f>
        <v>0</v>
      </c>
    </row>
    <row r="738" spans="1:23" hidden="1">
      <c r="A738" s="258">
        <v>1</v>
      </c>
      <c r="B738" s="259"/>
      <c r="C738" s="233"/>
      <c r="D738" s="260"/>
      <c r="E738" s="260"/>
      <c r="F738" s="261"/>
      <c r="G738" s="262"/>
      <c r="H738" s="262"/>
      <c r="I738" s="260"/>
      <c r="J738" s="233"/>
      <c r="K738" s="263"/>
      <c r="L738" s="260"/>
      <c r="M738" s="263"/>
      <c r="N738" s="263"/>
      <c r="O738" s="264"/>
      <c r="P738" s="264"/>
      <c r="Q738" s="265"/>
      <c r="R738" s="30">
        <f>MBQ[[#This Row],[HEIGHT (mm)]]*MBQ[[#This Row],[QTY TOTAL]]/1000</f>
        <v>0</v>
      </c>
      <c r="S738" s="30">
        <f>MBQ[[#This Row],[WIDTH (mm)]]*MBQ[[#This Row],[QTY TOTAL]]/1000</f>
        <v>0</v>
      </c>
      <c r="T738" s="9">
        <f>(MBQ[[#This Row],[HEIGHT (mm)]]+MBQ[[#This Row],[WIDTH (mm)]])/1000*2*MBQ[[#This Row],[QTY TOTAL]]</f>
        <v>0</v>
      </c>
      <c r="U738" s="266">
        <f>MBQ[[#This Row],[MULTIPLIER]]*MBQ[[#This Row],[QTY]]</f>
        <v>0</v>
      </c>
      <c r="V738" s="9">
        <f>MBQ[[#This Row],[HEIGHT (mm)]]/1000*MBQ[[#This Row],[WIDTH (mm)]]/1000*MBQ[[#This Row],[QTY TOTAL]]</f>
        <v>0</v>
      </c>
      <c r="W738" s="287">
        <f>ROUNDUP(MBQ[[#This Row],[HEIGHT (mm)]]/450*MBQ[[#This Row],[QTY]]*2,0)+ROUNDUP(MBQ[[#This Row],[WIDTH (mm)]]/450*MBQ[[#This Row],[QTY]]*2,0)</f>
        <v>0</v>
      </c>
    </row>
    <row r="739" spans="1:23" hidden="1">
      <c r="A739" s="258">
        <v>1</v>
      </c>
      <c r="B739" s="259"/>
      <c r="C739" s="233"/>
      <c r="D739" s="260"/>
      <c r="E739" s="260"/>
      <c r="F739" s="261"/>
      <c r="G739" s="262"/>
      <c r="H739" s="262"/>
      <c r="I739" s="260"/>
      <c r="J739" s="233"/>
      <c r="K739" s="263"/>
      <c r="L739" s="260"/>
      <c r="M739" s="263"/>
      <c r="N739" s="263"/>
      <c r="O739" s="264"/>
      <c r="P739" s="264"/>
      <c r="Q739" s="265"/>
      <c r="R739" s="30">
        <f>MBQ[[#This Row],[HEIGHT (mm)]]*MBQ[[#This Row],[QTY TOTAL]]/1000</f>
        <v>0</v>
      </c>
      <c r="S739" s="30">
        <f>MBQ[[#This Row],[WIDTH (mm)]]*MBQ[[#This Row],[QTY TOTAL]]/1000</f>
        <v>0</v>
      </c>
      <c r="T739" s="9">
        <f>(MBQ[[#This Row],[HEIGHT (mm)]]+MBQ[[#This Row],[WIDTH (mm)]])/1000*2*MBQ[[#This Row],[QTY TOTAL]]</f>
        <v>0</v>
      </c>
      <c r="U739" s="266">
        <f>MBQ[[#This Row],[MULTIPLIER]]*MBQ[[#This Row],[QTY]]</f>
        <v>0</v>
      </c>
      <c r="V739" s="9">
        <f>MBQ[[#This Row],[HEIGHT (mm)]]/1000*MBQ[[#This Row],[WIDTH (mm)]]/1000*MBQ[[#This Row],[QTY TOTAL]]</f>
        <v>0</v>
      </c>
      <c r="W739" s="287">
        <f>ROUNDUP(MBQ[[#This Row],[HEIGHT (mm)]]/450*MBQ[[#This Row],[QTY]]*2,0)+ROUNDUP(MBQ[[#This Row],[WIDTH (mm)]]/450*MBQ[[#This Row],[QTY]]*2,0)</f>
        <v>0</v>
      </c>
    </row>
    <row r="740" spans="1:23" hidden="1">
      <c r="A740" s="258">
        <v>1</v>
      </c>
      <c r="B740" s="259"/>
      <c r="C740" s="233"/>
      <c r="D740" s="260"/>
      <c r="E740" s="260"/>
      <c r="F740" s="261"/>
      <c r="G740" s="262"/>
      <c r="H740" s="262"/>
      <c r="I740" s="260"/>
      <c r="J740" s="233"/>
      <c r="K740" s="263"/>
      <c r="L740" s="260"/>
      <c r="M740" s="263"/>
      <c r="N740" s="263"/>
      <c r="O740" s="264"/>
      <c r="P740" s="264"/>
      <c r="Q740" s="265"/>
      <c r="R740" s="30">
        <f>MBQ[[#This Row],[HEIGHT (mm)]]*MBQ[[#This Row],[QTY TOTAL]]/1000</f>
        <v>0</v>
      </c>
      <c r="S740" s="30">
        <f>MBQ[[#This Row],[WIDTH (mm)]]*MBQ[[#This Row],[QTY TOTAL]]/1000</f>
        <v>0</v>
      </c>
      <c r="T740" s="9">
        <f>(MBQ[[#This Row],[HEIGHT (mm)]]+MBQ[[#This Row],[WIDTH (mm)]])/1000*2*MBQ[[#This Row],[QTY TOTAL]]</f>
        <v>0</v>
      </c>
      <c r="U740" s="266">
        <f>MBQ[[#This Row],[MULTIPLIER]]*MBQ[[#This Row],[QTY]]</f>
        <v>0</v>
      </c>
      <c r="V740" s="9">
        <f>MBQ[[#This Row],[HEIGHT (mm)]]/1000*MBQ[[#This Row],[WIDTH (mm)]]/1000*MBQ[[#This Row],[QTY TOTAL]]</f>
        <v>0</v>
      </c>
      <c r="W740" s="287">
        <f>ROUNDUP(MBQ[[#This Row],[HEIGHT (mm)]]/450*MBQ[[#This Row],[QTY]]*2,0)+ROUNDUP(MBQ[[#This Row],[WIDTH (mm)]]/450*MBQ[[#This Row],[QTY]]*2,0)</f>
        <v>0</v>
      </c>
    </row>
    <row r="741" spans="1:23" hidden="1">
      <c r="A741" s="258">
        <v>1</v>
      </c>
      <c r="B741" s="259"/>
      <c r="C741" s="233"/>
      <c r="D741" s="260"/>
      <c r="E741" s="260"/>
      <c r="F741" s="261"/>
      <c r="G741" s="262"/>
      <c r="H741" s="262"/>
      <c r="I741" s="260"/>
      <c r="J741" s="233"/>
      <c r="K741" s="263"/>
      <c r="L741" s="260"/>
      <c r="M741" s="263"/>
      <c r="N741" s="263"/>
      <c r="O741" s="264"/>
      <c r="P741" s="264"/>
      <c r="Q741" s="265"/>
      <c r="R741" s="30">
        <f>MBQ[[#This Row],[HEIGHT (mm)]]*MBQ[[#This Row],[QTY TOTAL]]/1000</f>
        <v>0</v>
      </c>
      <c r="S741" s="30">
        <f>MBQ[[#This Row],[WIDTH (mm)]]*MBQ[[#This Row],[QTY TOTAL]]/1000</f>
        <v>0</v>
      </c>
      <c r="T741" s="9">
        <f>(MBQ[[#This Row],[HEIGHT (mm)]]+MBQ[[#This Row],[WIDTH (mm)]])/1000*2*MBQ[[#This Row],[QTY TOTAL]]</f>
        <v>0</v>
      </c>
      <c r="U741" s="266">
        <f>MBQ[[#This Row],[MULTIPLIER]]*MBQ[[#This Row],[QTY]]</f>
        <v>0</v>
      </c>
      <c r="V741" s="9">
        <f>MBQ[[#This Row],[HEIGHT (mm)]]/1000*MBQ[[#This Row],[WIDTH (mm)]]/1000*MBQ[[#This Row],[QTY TOTAL]]</f>
        <v>0</v>
      </c>
      <c r="W741" s="287">
        <f>ROUNDUP(MBQ[[#This Row],[HEIGHT (mm)]]/450*MBQ[[#This Row],[QTY]]*2,0)+ROUNDUP(MBQ[[#This Row],[WIDTH (mm)]]/450*MBQ[[#This Row],[QTY]]*2,0)</f>
        <v>0</v>
      </c>
    </row>
    <row r="742" spans="1:23" hidden="1">
      <c r="A742" s="258">
        <v>1</v>
      </c>
      <c r="B742" s="259"/>
      <c r="C742" s="233"/>
      <c r="D742" s="260"/>
      <c r="E742" s="260"/>
      <c r="F742" s="261"/>
      <c r="G742" s="262"/>
      <c r="H742" s="262"/>
      <c r="I742" s="260"/>
      <c r="J742" s="233"/>
      <c r="K742" s="263"/>
      <c r="L742" s="260"/>
      <c r="M742" s="263"/>
      <c r="N742" s="263"/>
      <c r="O742" s="264"/>
      <c r="P742" s="264"/>
      <c r="Q742" s="265"/>
      <c r="R742" s="30">
        <f>MBQ[[#This Row],[HEIGHT (mm)]]*MBQ[[#This Row],[QTY TOTAL]]/1000</f>
        <v>0</v>
      </c>
      <c r="S742" s="30">
        <f>MBQ[[#This Row],[WIDTH (mm)]]*MBQ[[#This Row],[QTY TOTAL]]/1000</f>
        <v>0</v>
      </c>
      <c r="T742" s="9">
        <f>(MBQ[[#This Row],[HEIGHT (mm)]]+MBQ[[#This Row],[WIDTH (mm)]])/1000*2*MBQ[[#This Row],[QTY TOTAL]]</f>
        <v>0</v>
      </c>
      <c r="U742" s="266">
        <f>MBQ[[#This Row],[MULTIPLIER]]*MBQ[[#This Row],[QTY]]</f>
        <v>0</v>
      </c>
      <c r="V742" s="9">
        <f>MBQ[[#This Row],[HEIGHT (mm)]]/1000*MBQ[[#This Row],[WIDTH (mm)]]/1000*MBQ[[#This Row],[QTY TOTAL]]</f>
        <v>0</v>
      </c>
      <c r="W742" s="287">
        <f>ROUNDUP(MBQ[[#This Row],[HEIGHT (mm)]]/450*MBQ[[#This Row],[QTY]]*2,0)+ROUNDUP(MBQ[[#This Row],[WIDTH (mm)]]/450*MBQ[[#This Row],[QTY]]*2,0)</f>
        <v>0</v>
      </c>
    </row>
    <row r="743" spans="1:23" hidden="1">
      <c r="A743" s="258">
        <v>1</v>
      </c>
      <c r="B743" s="259"/>
      <c r="C743" s="233"/>
      <c r="D743" s="260"/>
      <c r="E743" s="260"/>
      <c r="F743" s="261"/>
      <c r="G743" s="262"/>
      <c r="H743" s="262"/>
      <c r="I743" s="260"/>
      <c r="J743" s="233"/>
      <c r="K743" s="263"/>
      <c r="L743" s="260"/>
      <c r="M743" s="263"/>
      <c r="N743" s="263"/>
      <c r="O743" s="264"/>
      <c r="P743" s="264"/>
      <c r="Q743" s="265"/>
      <c r="R743" s="30">
        <f>MBQ[[#This Row],[HEIGHT (mm)]]*MBQ[[#This Row],[QTY TOTAL]]/1000</f>
        <v>0</v>
      </c>
      <c r="S743" s="30">
        <f>MBQ[[#This Row],[WIDTH (mm)]]*MBQ[[#This Row],[QTY TOTAL]]/1000</f>
        <v>0</v>
      </c>
      <c r="T743" s="9">
        <f>(MBQ[[#This Row],[HEIGHT (mm)]]+MBQ[[#This Row],[WIDTH (mm)]])/1000*2*MBQ[[#This Row],[QTY TOTAL]]</f>
        <v>0</v>
      </c>
      <c r="U743" s="266">
        <f>MBQ[[#This Row],[MULTIPLIER]]*MBQ[[#This Row],[QTY]]</f>
        <v>0</v>
      </c>
      <c r="V743" s="9">
        <f>MBQ[[#This Row],[HEIGHT (mm)]]/1000*MBQ[[#This Row],[WIDTH (mm)]]/1000*MBQ[[#This Row],[QTY TOTAL]]</f>
        <v>0</v>
      </c>
      <c r="W743" s="287">
        <f>ROUNDUP(MBQ[[#This Row],[HEIGHT (mm)]]/450*MBQ[[#This Row],[QTY]]*2,0)+ROUNDUP(MBQ[[#This Row],[WIDTH (mm)]]/450*MBQ[[#This Row],[QTY]]*2,0)</f>
        <v>0</v>
      </c>
    </row>
    <row r="744" spans="1:23" hidden="1">
      <c r="A744" s="258">
        <v>1</v>
      </c>
      <c r="B744" s="259"/>
      <c r="C744" s="233"/>
      <c r="D744" s="260"/>
      <c r="E744" s="260"/>
      <c r="F744" s="261"/>
      <c r="G744" s="262"/>
      <c r="H744" s="262"/>
      <c r="I744" s="260"/>
      <c r="J744" s="233"/>
      <c r="K744" s="263"/>
      <c r="L744" s="260"/>
      <c r="M744" s="263"/>
      <c r="N744" s="263"/>
      <c r="O744" s="264"/>
      <c r="P744" s="264"/>
      <c r="Q744" s="265"/>
      <c r="R744" s="30">
        <f>MBQ[[#This Row],[HEIGHT (mm)]]*MBQ[[#This Row],[QTY TOTAL]]/1000</f>
        <v>0</v>
      </c>
      <c r="S744" s="30">
        <f>MBQ[[#This Row],[WIDTH (mm)]]*MBQ[[#This Row],[QTY TOTAL]]/1000</f>
        <v>0</v>
      </c>
      <c r="T744" s="9">
        <f>(MBQ[[#This Row],[HEIGHT (mm)]]+MBQ[[#This Row],[WIDTH (mm)]])/1000*2*MBQ[[#This Row],[QTY TOTAL]]</f>
        <v>0</v>
      </c>
      <c r="U744" s="266">
        <f>MBQ[[#This Row],[MULTIPLIER]]*MBQ[[#This Row],[QTY]]</f>
        <v>0</v>
      </c>
      <c r="V744" s="9">
        <f>MBQ[[#This Row],[HEIGHT (mm)]]/1000*MBQ[[#This Row],[WIDTH (mm)]]/1000*MBQ[[#This Row],[QTY TOTAL]]</f>
        <v>0</v>
      </c>
      <c r="W744" s="287">
        <f>ROUNDUP(MBQ[[#This Row],[HEIGHT (mm)]]/450*MBQ[[#This Row],[QTY]]*2,0)+ROUNDUP(MBQ[[#This Row],[WIDTH (mm)]]/450*MBQ[[#This Row],[QTY]]*2,0)</f>
        <v>0</v>
      </c>
    </row>
    <row r="745" spans="1:23" hidden="1">
      <c r="A745" s="258">
        <v>1</v>
      </c>
      <c r="B745" s="259"/>
      <c r="C745" s="233"/>
      <c r="D745" s="260"/>
      <c r="E745" s="260"/>
      <c r="F745" s="261"/>
      <c r="G745" s="262"/>
      <c r="H745" s="262"/>
      <c r="I745" s="260"/>
      <c r="J745" s="233"/>
      <c r="K745" s="263"/>
      <c r="L745" s="260"/>
      <c r="M745" s="263"/>
      <c r="N745" s="263"/>
      <c r="O745" s="264"/>
      <c r="P745" s="264"/>
      <c r="Q745" s="265"/>
      <c r="R745" s="30">
        <f>MBQ[[#This Row],[HEIGHT (mm)]]*MBQ[[#This Row],[QTY TOTAL]]/1000</f>
        <v>0</v>
      </c>
      <c r="S745" s="30">
        <f>MBQ[[#This Row],[WIDTH (mm)]]*MBQ[[#This Row],[QTY TOTAL]]/1000</f>
        <v>0</v>
      </c>
      <c r="T745" s="9">
        <f>(MBQ[[#This Row],[HEIGHT (mm)]]+MBQ[[#This Row],[WIDTH (mm)]])/1000*2*MBQ[[#This Row],[QTY TOTAL]]</f>
        <v>0</v>
      </c>
      <c r="U745" s="266">
        <f>MBQ[[#This Row],[MULTIPLIER]]*MBQ[[#This Row],[QTY]]</f>
        <v>0</v>
      </c>
      <c r="V745" s="9">
        <f>MBQ[[#This Row],[HEIGHT (mm)]]/1000*MBQ[[#This Row],[WIDTH (mm)]]/1000*MBQ[[#This Row],[QTY TOTAL]]</f>
        <v>0</v>
      </c>
      <c r="W745" s="287">
        <f>ROUNDUP(MBQ[[#This Row],[HEIGHT (mm)]]/450*MBQ[[#This Row],[QTY]]*2,0)+ROUNDUP(MBQ[[#This Row],[WIDTH (mm)]]/450*MBQ[[#This Row],[QTY]]*2,0)</f>
        <v>0</v>
      </c>
    </row>
    <row r="746" spans="1:23" hidden="1">
      <c r="A746" s="258">
        <v>1</v>
      </c>
      <c r="B746" s="259"/>
      <c r="C746" s="233"/>
      <c r="D746" s="260"/>
      <c r="E746" s="260"/>
      <c r="F746" s="261"/>
      <c r="G746" s="262"/>
      <c r="H746" s="262"/>
      <c r="I746" s="260"/>
      <c r="J746" s="233"/>
      <c r="K746" s="263"/>
      <c r="L746" s="260"/>
      <c r="M746" s="263"/>
      <c r="N746" s="263"/>
      <c r="O746" s="264"/>
      <c r="P746" s="264"/>
      <c r="Q746" s="265"/>
      <c r="R746" s="30">
        <f>MBQ[[#This Row],[HEIGHT (mm)]]*MBQ[[#This Row],[QTY TOTAL]]/1000</f>
        <v>0</v>
      </c>
      <c r="S746" s="30">
        <f>MBQ[[#This Row],[WIDTH (mm)]]*MBQ[[#This Row],[QTY TOTAL]]/1000</f>
        <v>0</v>
      </c>
      <c r="T746" s="9">
        <f>(MBQ[[#This Row],[HEIGHT (mm)]]+MBQ[[#This Row],[WIDTH (mm)]])/1000*2*MBQ[[#This Row],[QTY TOTAL]]</f>
        <v>0</v>
      </c>
      <c r="U746" s="266">
        <f>MBQ[[#This Row],[MULTIPLIER]]*MBQ[[#This Row],[QTY]]</f>
        <v>0</v>
      </c>
      <c r="V746" s="9">
        <f>MBQ[[#This Row],[HEIGHT (mm)]]/1000*MBQ[[#This Row],[WIDTH (mm)]]/1000*MBQ[[#This Row],[QTY TOTAL]]</f>
        <v>0</v>
      </c>
      <c r="W746" s="287">
        <f>ROUNDUP(MBQ[[#This Row],[HEIGHT (mm)]]/450*MBQ[[#This Row],[QTY]]*2,0)+ROUNDUP(MBQ[[#This Row],[WIDTH (mm)]]/450*MBQ[[#This Row],[QTY]]*2,0)</f>
        <v>0</v>
      </c>
    </row>
    <row r="747" spans="1:23" hidden="1">
      <c r="A747" s="258">
        <v>1</v>
      </c>
      <c r="B747" s="259"/>
      <c r="C747" s="233"/>
      <c r="D747" s="260"/>
      <c r="E747" s="260"/>
      <c r="F747" s="261"/>
      <c r="G747" s="262"/>
      <c r="H747" s="262"/>
      <c r="I747" s="260"/>
      <c r="J747" s="233"/>
      <c r="K747" s="263"/>
      <c r="L747" s="260"/>
      <c r="M747" s="263"/>
      <c r="N747" s="263"/>
      <c r="O747" s="264"/>
      <c r="P747" s="264"/>
      <c r="Q747" s="265"/>
      <c r="R747" s="30">
        <f>MBQ[[#This Row],[HEIGHT (mm)]]*MBQ[[#This Row],[QTY TOTAL]]/1000</f>
        <v>0</v>
      </c>
      <c r="S747" s="30">
        <f>MBQ[[#This Row],[WIDTH (mm)]]*MBQ[[#This Row],[QTY TOTAL]]/1000</f>
        <v>0</v>
      </c>
      <c r="T747" s="9">
        <f>(MBQ[[#This Row],[HEIGHT (mm)]]+MBQ[[#This Row],[WIDTH (mm)]])/1000*2*MBQ[[#This Row],[QTY TOTAL]]</f>
        <v>0</v>
      </c>
      <c r="U747" s="266">
        <f>MBQ[[#This Row],[MULTIPLIER]]*MBQ[[#This Row],[QTY]]</f>
        <v>0</v>
      </c>
      <c r="V747" s="9">
        <f>MBQ[[#This Row],[HEIGHT (mm)]]/1000*MBQ[[#This Row],[WIDTH (mm)]]/1000*MBQ[[#This Row],[QTY TOTAL]]</f>
        <v>0</v>
      </c>
      <c r="W747" s="287">
        <f>ROUNDUP(MBQ[[#This Row],[HEIGHT (mm)]]/450*MBQ[[#This Row],[QTY]]*2,0)+ROUNDUP(MBQ[[#This Row],[WIDTH (mm)]]/450*MBQ[[#This Row],[QTY]]*2,0)</f>
        <v>0</v>
      </c>
    </row>
    <row r="748" spans="1:23" hidden="1">
      <c r="A748" s="258">
        <v>1</v>
      </c>
      <c r="B748" s="259"/>
      <c r="C748" s="233"/>
      <c r="D748" s="260"/>
      <c r="E748" s="260"/>
      <c r="F748" s="261"/>
      <c r="G748" s="262"/>
      <c r="H748" s="262"/>
      <c r="I748" s="260"/>
      <c r="J748" s="233"/>
      <c r="K748" s="263"/>
      <c r="L748" s="260"/>
      <c r="M748" s="263"/>
      <c r="N748" s="263"/>
      <c r="O748" s="264"/>
      <c r="P748" s="264"/>
      <c r="Q748" s="265"/>
      <c r="R748" s="30">
        <f>MBQ[[#This Row],[HEIGHT (mm)]]*MBQ[[#This Row],[QTY TOTAL]]/1000</f>
        <v>0</v>
      </c>
      <c r="S748" s="30">
        <f>MBQ[[#This Row],[WIDTH (mm)]]*MBQ[[#This Row],[QTY TOTAL]]/1000</f>
        <v>0</v>
      </c>
      <c r="T748" s="9">
        <f>(MBQ[[#This Row],[HEIGHT (mm)]]+MBQ[[#This Row],[WIDTH (mm)]])/1000*2*MBQ[[#This Row],[QTY TOTAL]]</f>
        <v>0</v>
      </c>
      <c r="U748" s="266">
        <f>MBQ[[#This Row],[MULTIPLIER]]*MBQ[[#This Row],[QTY]]</f>
        <v>0</v>
      </c>
      <c r="V748" s="9">
        <f>MBQ[[#This Row],[HEIGHT (mm)]]/1000*MBQ[[#This Row],[WIDTH (mm)]]/1000*MBQ[[#This Row],[QTY TOTAL]]</f>
        <v>0</v>
      </c>
      <c r="W748" s="287">
        <f>ROUNDUP(MBQ[[#This Row],[HEIGHT (mm)]]/450*MBQ[[#This Row],[QTY]]*2,0)+ROUNDUP(MBQ[[#This Row],[WIDTH (mm)]]/450*MBQ[[#This Row],[QTY]]*2,0)</f>
        <v>0</v>
      </c>
    </row>
    <row r="749" spans="1:23" hidden="1">
      <c r="A749" s="258">
        <v>1</v>
      </c>
      <c r="B749" s="259"/>
      <c r="C749" s="233"/>
      <c r="D749" s="260"/>
      <c r="E749" s="260"/>
      <c r="F749" s="261"/>
      <c r="G749" s="262"/>
      <c r="H749" s="262"/>
      <c r="I749" s="260"/>
      <c r="J749" s="233"/>
      <c r="K749" s="263"/>
      <c r="L749" s="260"/>
      <c r="M749" s="263"/>
      <c r="N749" s="263"/>
      <c r="O749" s="264"/>
      <c r="P749" s="264"/>
      <c r="Q749" s="265"/>
      <c r="R749" s="30">
        <f>MBQ[[#This Row],[HEIGHT (mm)]]*MBQ[[#This Row],[QTY TOTAL]]/1000</f>
        <v>0</v>
      </c>
      <c r="S749" s="30">
        <f>MBQ[[#This Row],[WIDTH (mm)]]*MBQ[[#This Row],[QTY TOTAL]]/1000</f>
        <v>0</v>
      </c>
      <c r="T749" s="9">
        <f>(MBQ[[#This Row],[HEIGHT (mm)]]+MBQ[[#This Row],[WIDTH (mm)]])/1000*2*MBQ[[#This Row],[QTY TOTAL]]</f>
        <v>0</v>
      </c>
      <c r="U749" s="266">
        <f>MBQ[[#This Row],[MULTIPLIER]]*MBQ[[#This Row],[QTY]]</f>
        <v>0</v>
      </c>
      <c r="V749" s="9">
        <f>MBQ[[#This Row],[HEIGHT (mm)]]/1000*MBQ[[#This Row],[WIDTH (mm)]]/1000*MBQ[[#This Row],[QTY TOTAL]]</f>
        <v>0</v>
      </c>
      <c r="W749" s="287">
        <f>ROUNDUP(MBQ[[#This Row],[HEIGHT (mm)]]/450*MBQ[[#This Row],[QTY]]*2,0)+ROUNDUP(MBQ[[#This Row],[WIDTH (mm)]]/450*MBQ[[#This Row],[QTY]]*2,0)</f>
        <v>0</v>
      </c>
    </row>
    <row r="750" spans="1:23" hidden="1">
      <c r="A750" s="258">
        <v>1</v>
      </c>
      <c r="B750" s="259"/>
      <c r="C750" s="233"/>
      <c r="D750" s="260"/>
      <c r="E750" s="260"/>
      <c r="F750" s="261"/>
      <c r="G750" s="262"/>
      <c r="H750" s="262"/>
      <c r="I750" s="260"/>
      <c r="J750" s="233"/>
      <c r="K750" s="263"/>
      <c r="L750" s="260"/>
      <c r="M750" s="263"/>
      <c r="N750" s="263"/>
      <c r="O750" s="264"/>
      <c r="P750" s="264"/>
      <c r="Q750" s="265"/>
      <c r="R750" s="30">
        <f>MBQ[[#This Row],[HEIGHT (mm)]]*MBQ[[#This Row],[QTY TOTAL]]/1000</f>
        <v>0</v>
      </c>
      <c r="S750" s="30">
        <f>MBQ[[#This Row],[WIDTH (mm)]]*MBQ[[#This Row],[QTY TOTAL]]/1000</f>
        <v>0</v>
      </c>
      <c r="T750" s="9">
        <f>(MBQ[[#This Row],[HEIGHT (mm)]]+MBQ[[#This Row],[WIDTH (mm)]])/1000*2*MBQ[[#This Row],[QTY TOTAL]]</f>
        <v>0</v>
      </c>
      <c r="U750" s="266">
        <f>MBQ[[#This Row],[MULTIPLIER]]*MBQ[[#This Row],[QTY]]</f>
        <v>0</v>
      </c>
      <c r="V750" s="9">
        <f>MBQ[[#This Row],[HEIGHT (mm)]]/1000*MBQ[[#This Row],[WIDTH (mm)]]/1000*MBQ[[#This Row],[QTY TOTAL]]</f>
        <v>0</v>
      </c>
      <c r="W750" s="287">
        <f>ROUNDUP(MBQ[[#This Row],[HEIGHT (mm)]]/450*MBQ[[#This Row],[QTY]]*2,0)+ROUNDUP(MBQ[[#This Row],[WIDTH (mm)]]/450*MBQ[[#This Row],[QTY]]*2,0)</f>
        <v>0</v>
      </c>
    </row>
    <row r="751" spans="1:23" hidden="1">
      <c r="A751" s="258">
        <v>1</v>
      </c>
      <c r="B751" s="259"/>
      <c r="C751" s="233"/>
      <c r="D751" s="260"/>
      <c r="E751" s="260"/>
      <c r="F751" s="261"/>
      <c r="G751" s="262"/>
      <c r="H751" s="262"/>
      <c r="I751" s="260"/>
      <c r="J751" s="233"/>
      <c r="K751" s="263"/>
      <c r="L751" s="260"/>
      <c r="M751" s="263"/>
      <c r="N751" s="263"/>
      <c r="O751" s="264"/>
      <c r="P751" s="264"/>
      <c r="Q751" s="265"/>
      <c r="R751" s="30">
        <f>MBQ[[#This Row],[HEIGHT (mm)]]*MBQ[[#This Row],[QTY TOTAL]]/1000</f>
        <v>0</v>
      </c>
      <c r="S751" s="30">
        <f>MBQ[[#This Row],[WIDTH (mm)]]*MBQ[[#This Row],[QTY TOTAL]]/1000</f>
        <v>0</v>
      </c>
      <c r="T751" s="9">
        <f>(MBQ[[#This Row],[HEIGHT (mm)]]+MBQ[[#This Row],[WIDTH (mm)]])/1000*2*MBQ[[#This Row],[QTY TOTAL]]</f>
        <v>0</v>
      </c>
      <c r="U751" s="266">
        <f>MBQ[[#This Row],[MULTIPLIER]]*MBQ[[#This Row],[QTY]]</f>
        <v>0</v>
      </c>
      <c r="V751" s="9">
        <f>MBQ[[#This Row],[HEIGHT (mm)]]/1000*MBQ[[#This Row],[WIDTH (mm)]]/1000*MBQ[[#This Row],[QTY TOTAL]]</f>
        <v>0</v>
      </c>
      <c r="W751" s="287">
        <f>ROUNDUP(MBQ[[#This Row],[HEIGHT (mm)]]/450*MBQ[[#This Row],[QTY]]*2,0)+ROUNDUP(MBQ[[#This Row],[WIDTH (mm)]]/450*MBQ[[#This Row],[QTY]]*2,0)</f>
        <v>0</v>
      </c>
    </row>
    <row r="752" spans="1:23" hidden="1">
      <c r="A752" s="258">
        <v>1</v>
      </c>
      <c r="B752" s="259"/>
      <c r="C752" s="233"/>
      <c r="D752" s="260"/>
      <c r="E752" s="260"/>
      <c r="F752" s="261"/>
      <c r="G752" s="262"/>
      <c r="H752" s="262"/>
      <c r="I752" s="260"/>
      <c r="J752" s="233"/>
      <c r="K752" s="263"/>
      <c r="L752" s="260"/>
      <c r="M752" s="263"/>
      <c r="N752" s="263"/>
      <c r="O752" s="264"/>
      <c r="P752" s="264"/>
      <c r="Q752" s="265"/>
      <c r="R752" s="30">
        <f>MBQ[[#This Row],[HEIGHT (mm)]]*MBQ[[#This Row],[QTY TOTAL]]/1000</f>
        <v>0</v>
      </c>
      <c r="S752" s="30">
        <f>MBQ[[#This Row],[WIDTH (mm)]]*MBQ[[#This Row],[QTY TOTAL]]/1000</f>
        <v>0</v>
      </c>
      <c r="T752" s="9">
        <f>(MBQ[[#This Row],[HEIGHT (mm)]]+MBQ[[#This Row],[WIDTH (mm)]])/1000*2*MBQ[[#This Row],[QTY TOTAL]]</f>
        <v>0</v>
      </c>
      <c r="U752" s="266">
        <f>MBQ[[#This Row],[MULTIPLIER]]*MBQ[[#This Row],[QTY]]</f>
        <v>0</v>
      </c>
      <c r="V752" s="9">
        <f>MBQ[[#This Row],[HEIGHT (mm)]]/1000*MBQ[[#This Row],[WIDTH (mm)]]/1000*MBQ[[#This Row],[QTY TOTAL]]</f>
        <v>0</v>
      </c>
      <c r="W752" s="287">
        <f>ROUNDUP(MBQ[[#This Row],[HEIGHT (mm)]]/450*MBQ[[#This Row],[QTY]]*2,0)+ROUNDUP(MBQ[[#This Row],[WIDTH (mm)]]/450*MBQ[[#This Row],[QTY]]*2,0)</f>
        <v>0</v>
      </c>
    </row>
    <row r="753" spans="1:23" hidden="1">
      <c r="A753" s="258">
        <v>1</v>
      </c>
      <c r="B753" s="259"/>
      <c r="C753" s="233"/>
      <c r="D753" s="260"/>
      <c r="E753" s="260"/>
      <c r="F753" s="261"/>
      <c r="G753" s="262"/>
      <c r="H753" s="262"/>
      <c r="I753" s="260"/>
      <c r="J753" s="233"/>
      <c r="K753" s="263"/>
      <c r="L753" s="260"/>
      <c r="M753" s="263"/>
      <c r="N753" s="263"/>
      <c r="O753" s="264"/>
      <c r="P753" s="264"/>
      <c r="Q753" s="265"/>
      <c r="R753" s="30">
        <f>MBQ[[#This Row],[HEIGHT (mm)]]*MBQ[[#This Row],[QTY TOTAL]]/1000</f>
        <v>0</v>
      </c>
      <c r="S753" s="30">
        <f>MBQ[[#This Row],[WIDTH (mm)]]*MBQ[[#This Row],[QTY TOTAL]]/1000</f>
        <v>0</v>
      </c>
      <c r="T753" s="9">
        <f>(MBQ[[#This Row],[HEIGHT (mm)]]+MBQ[[#This Row],[WIDTH (mm)]])/1000*2*MBQ[[#This Row],[QTY TOTAL]]</f>
        <v>0</v>
      </c>
      <c r="U753" s="266">
        <f>MBQ[[#This Row],[MULTIPLIER]]*MBQ[[#This Row],[QTY]]</f>
        <v>0</v>
      </c>
      <c r="V753" s="9">
        <f>MBQ[[#This Row],[HEIGHT (mm)]]/1000*MBQ[[#This Row],[WIDTH (mm)]]/1000*MBQ[[#This Row],[QTY TOTAL]]</f>
        <v>0</v>
      </c>
      <c r="W753" s="287">
        <f>ROUNDUP(MBQ[[#This Row],[HEIGHT (mm)]]/450*MBQ[[#This Row],[QTY]]*2,0)+ROUNDUP(MBQ[[#This Row],[WIDTH (mm)]]/450*MBQ[[#This Row],[QTY]]*2,0)</f>
        <v>0</v>
      </c>
    </row>
    <row r="754" spans="1:23" hidden="1">
      <c r="A754" s="258">
        <v>1</v>
      </c>
      <c r="B754" s="259"/>
      <c r="C754" s="233"/>
      <c r="D754" s="260"/>
      <c r="E754" s="260"/>
      <c r="F754" s="261"/>
      <c r="G754" s="262"/>
      <c r="H754" s="262"/>
      <c r="I754" s="260"/>
      <c r="J754" s="233"/>
      <c r="K754" s="263"/>
      <c r="L754" s="260"/>
      <c r="M754" s="263"/>
      <c r="N754" s="263"/>
      <c r="O754" s="264"/>
      <c r="P754" s="264"/>
      <c r="Q754" s="265"/>
      <c r="R754" s="30">
        <f>MBQ[[#This Row],[HEIGHT (mm)]]*MBQ[[#This Row],[QTY TOTAL]]/1000</f>
        <v>0</v>
      </c>
      <c r="S754" s="30">
        <f>MBQ[[#This Row],[WIDTH (mm)]]*MBQ[[#This Row],[QTY TOTAL]]/1000</f>
        <v>0</v>
      </c>
      <c r="T754" s="9">
        <f>(MBQ[[#This Row],[HEIGHT (mm)]]+MBQ[[#This Row],[WIDTH (mm)]])/1000*2*MBQ[[#This Row],[QTY TOTAL]]</f>
        <v>0</v>
      </c>
      <c r="U754" s="266">
        <f>MBQ[[#This Row],[MULTIPLIER]]*MBQ[[#This Row],[QTY]]</f>
        <v>0</v>
      </c>
      <c r="V754" s="9">
        <f>MBQ[[#This Row],[HEIGHT (mm)]]/1000*MBQ[[#This Row],[WIDTH (mm)]]/1000*MBQ[[#This Row],[QTY TOTAL]]</f>
        <v>0</v>
      </c>
      <c r="W754" s="287">
        <f>ROUNDUP(MBQ[[#This Row],[HEIGHT (mm)]]/450*MBQ[[#This Row],[QTY]]*2,0)+ROUNDUP(MBQ[[#This Row],[WIDTH (mm)]]/450*MBQ[[#This Row],[QTY]]*2,0)</f>
        <v>0</v>
      </c>
    </row>
    <row r="755" spans="1:23" hidden="1">
      <c r="A755" s="258">
        <v>1</v>
      </c>
      <c r="B755" s="259"/>
      <c r="C755" s="233"/>
      <c r="D755" s="260"/>
      <c r="E755" s="260"/>
      <c r="F755" s="261"/>
      <c r="G755" s="262"/>
      <c r="H755" s="262"/>
      <c r="I755" s="260"/>
      <c r="J755" s="233"/>
      <c r="K755" s="263"/>
      <c r="L755" s="260"/>
      <c r="M755" s="263"/>
      <c r="N755" s="263"/>
      <c r="O755" s="264"/>
      <c r="P755" s="264"/>
      <c r="Q755" s="265"/>
      <c r="R755" s="30">
        <f>MBQ[[#This Row],[HEIGHT (mm)]]*MBQ[[#This Row],[QTY TOTAL]]/1000</f>
        <v>0</v>
      </c>
      <c r="S755" s="30">
        <f>MBQ[[#This Row],[WIDTH (mm)]]*MBQ[[#This Row],[QTY TOTAL]]/1000</f>
        <v>0</v>
      </c>
      <c r="T755" s="9">
        <f>(MBQ[[#This Row],[HEIGHT (mm)]]+MBQ[[#This Row],[WIDTH (mm)]])/1000*2*MBQ[[#This Row],[QTY TOTAL]]</f>
        <v>0</v>
      </c>
      <c r="U755" s="266">
        <f>MBQ[[#This Row],[MULTIPLIER]]*MBQ[[#This Row],[QTY]]</f>
        <v>0</v>
      </c>
      <c r="V755" s="9">
        <f>MBQ[[#This Row],[HEIGHT (mm)]]/1000*MBQ[[#This Row],[WIDTH (mm)]]/1000*MBQ[[#This Row],[QTY TOTAL]]</f>
        <v>0</v>
      </c>
      <c r="W755" s="287">
        <f>ROUNDUP(MBQ[[#This Row],[HEIGHT (mm)]]/450*MBQ[[#This Row],[QTY]]*2,0)+ROUNDUP(MBQ[[#This Row],[WIDTH (mm)]]/450*MBQ[[#This Row],[QTY]]*2,0)</f>
        <v>0</v>
      </c>
    </row>
    <row r="756" spans="1:23" hidden="1">
      <c r="A756" s="258">
        <v>1</v>
      </c>
      <c r="B756" s="259"/>
      <c r="C756" s="233"/>
      <c r="D756" s="260"/>
      <c r="E756" s="260"/>
      <c r="F756" s="261"/>
      <c r="G756" s="262"/>
      <c r="H756" s="262"/>
      <c r="I756" s="260"/>
      <c r="J756" s="233"/>
      <c r="K756" s="263"/>
      <c r="L756" s="260"/>
      <c r="M756" s="263"/>
      <c r="N756" s="263"/>
      <c r="O756" s="264"/>
      <c r="P756" s="264"/>
      <c r="Q756" s="265"/>
      <c r="R756" s="30">
        <f>MBQ[[#This Row],[HEIGHT (mm)]]*MBQ[[#This Row],[QTY TOTAL]]/1000</f>
        <v>0</v>
      </c>
      <c r="S756" s="30">
        <f>MBQ[[#This Row],[WIDTH (mm)]]*MBQ[[#This Row],[QTY TOTAL]]/1000</f>
        <v>0</v>
      </c>
      <c r="T756" s="9">
        <f>(MBQ[[#This Row],[HEIGHT (mm)]]+MBQ[[#This Row],[WIDTH (mm)]])/1000*2*MBQ[[#This Row],[QTY TOTAL]]</f>
        <v>0</v>
      </c>
      <c r="U756" s="266">
        <f>MBQ[[#This Row],[MULTIPLIER]]*MBQ[[#This Row],[QTY]]</f>
        <v>0</v>
      </c>
      <c r="V756" s="9">
        <f>MBQ[[#This Row],[HEIGHT (mm)]]/1000*MBQ[[#This Row],[WIDTH (mm)]]/1000*MBQ[[#This Row],[QTY TOTAL]]</f>
        <v>0</v>
      </c>
      <c r="W756" s="287">
        <f>ROUNDUP(MBQ[[#This Row],[HEIGHT (mm)]]/450*MBQ[[#This Row],[QTY]]*2,0)+ROUNDUP(MBQ[[#This Row],[WIDTH (mm)]]/450*MBQ[[#This Row],[QTY]]*2,0)</f>
        <v>0</v>
      </c>
    </row>
    <row r="757" spans="1:23" hidden="1">
      <c r="A757" s="258">
        <v>1</v>
      </c>
      <c r="B757" s="259"/>
      <c r="C757" s="233"/>
      <c r="D757" s="260"/>
      <c r="E757" s="260"/>
      <c r="F757" s="261"/>
      <c r="G757" s="262"/>
      <c r="H757" s="262"/>
      <c r="I757" s="260"/>
      <c r="J757" s="233"/>
      <c r="K757" s="263"/>
      <c r="L757" s="260"/>
      <c r="M757" s="263"/>
      <c r="N757" s="263"/>
      <c r="O757" s="264"/>
      <c r="P757" s="264"/>
      <c r="Q757" s="265"/>
      <c r="R757" s="30">
        <f>MBQ[[#This Row],[HEIGHT (mm)]]*MBQ[[#This Row],[QTY TOTAL]]/1000</f>
        <v>0</v>
      </c>
      <c r="S757" s="30">
        <f>MBQ[[#This Row],[WIDTH (mm)]]*MBQ[[#This Row],[QTY TOTAL]]/1000</f>
        <v>0</v>
      </c>
      <c r="T757" s="9">
        <f>(MBQ[[#This Row],[HEIGHT (mm)]]+MBQ[[#This Row],[WIDTH (mm)]])/1000*2*MBQ[[#This Row],[QTY TOTAL]]</f>
        <v>0</v>
      </c>
      <c r="U757" s="266">
        <f>MBQ[[#This Row],[MULTIPLIER]]*MBQ[[#This Row],[QTY]]</f>
        <v>0</v>
      </c>
      <c r="V757" s="9">
        <f>MBQ[[#This Row],[HEIGHT (mm)]]/1000*MBQ[[#This Row],[WIDTH (mm)]]/1000*MBQ[[#This Row],[QTY TOTAL]]</f>
        <v>0</v>
      </c>
      <c r="W757" s="287">
        <f>ROUNDUP(MBQ[[#This Row],[HEIGHT (mm)]]/450*MBQ[[#This Row],[QTY]]*2,0)+ROUNDUP(MBQ[[#This Row],[WIDTH (mm)]]/450*MBQ[[#This Row],[QTY]]*2,0)</f>
        <v>0</v>
      </c>
    </row>
    <row r="758" spans="1:23" hidden="1">
      <c r="A758" s="258">
        <v>1</v>
      </c>
      <c r="B758" s="259"/>
      <c r="C758" s="233"/>
      <c r="D758" s="260"/>
      <c r="E758" s="260"/>
      <c r="F758" s="261"/>
      <c r="G758" s="262"/>
      <c r="H758" s="262"/>
      <c r="I758" s="260"/>
      <c r="J758" s="233"/>
      <c r="K758" s="263"/>
      <c r="L758" s="260"/>
      <c r="M758" s="263"/>
      <c r="N758" s="263"/>
      <c r="O758" s="264"/>
      <c r="P758" s="264"/>
      <c r="Q758" s="265"/>
      <c r="R758" s="30">
        <f>MBQ[[#This Row],[HEIGHT (mm)]]*MBQ[[#This Row],[QTY TOTAL]]/1000</f>
        <v>0</v>
      </c>
      <c r="S758" s="30">
        <f>MBQ[[#This Row],[WIDTH (mm)]]*MBQ[[#This Row],[QTY TOTAL]]/1000</f>
        <v>0</v>
      </c>
      <c r="T758" s="9">
        <f>(MBQ[[#This Row],[HEIGHT (mm)]]+MBQ[[#This Row],[WIDTH (mm)]])/1000*2*MBQ[[#This Row],[QTY TOTAL]]</f>
        <v>0</v>
      </c>
      <c r="U758" s="266">
        <f>MBQ[[#This Row],[MULTIPLIER]]*MBQ[[#This Row],[QTY]]</f>
        <v>0</v>
      </c>
      <c r="V758" s="9">
        <f>MBQ[[#This Row],[HEIGHT (mm)]]/1000*MBQ[[#This Row],[WIDTH (mm)]]/1000*MBQ[[#This Row],[QTY TOTAL]]</f>
        <v>0</v>
      </c>
      <c r="W758" s="287">
        <f>ROUNDUP(MBQ[[#This Row],[HEIGHT (mm)]]/450*MBQ[[#This Row],[QTY]]*2,0)+ROUNDUP(MBQ[[#This Row],[WIDTH (mm)]]/450*MBQ[[#This Row],[QTY]]*2,0)</f>
        <v>0</v>
      </c>
    </row>
    <row r="759" spans="1:23" hidden="1">
      <c r="A759" s="258">
        <v>1</v>
      </c>
      <c r="B759" s="259"/>
      <c r="C759" s="233"/>
      <c r="D759" s="260"/>
      <c r="E759" s="260"/>
      <c r="F759" s="261"/>
      <c r="G759" s="262"/>
      <c r="H759" s="262"/>
      <c r="I759" s="260"/>
      <c r="J759" s="233"/>
      <c r="K759" s="263"/>
      <c r="L759" s="260"/>
      <c r="M759" s="263"/>
      <c r="N759" s="263"/>
      <c r="O759" s="264"/>
      <c r="P759" s="264"/>
      <c r="Q759" s="265"/>
      <c r="R759" s="30">
        <f>MBQ[[#This Row],[HEIGHT (mm)]]*MBQ[[#This Row],[QTY TOTAL]]/1000</f>
        <v>0</v>
      </c>
      <c r="S759" s="30">
        <f>MBQ[[#This Row],[WIDTH (mm)]]*MBQ[[#This Row],[QTY TOTAL]]/1000</f>
        <v>0</v>
      </c>
      <c r="T759" s="9">
        <f>(MBQ[[#This Row],[HEIGHT (mm)]]+MBQ[[#This Row],[WIDTH (mm)]])/1000*2*MBQ[[#This Row],[QTY TOTAL]]</f>
        <v>0</v>
      </c>
      <c r="U759" s="266">
        <f>MBQ[[#This Row],[MULTIPLIER]]*MBQ[[#This Row],[QTY]]</f>
        <v>0</v>
      </c>
      <c r="V759" s="9">
        <f>MBQ[[#This Row],[HEIGHT (mm)]]/1000*MBQ[[#This Row],[WIDTH (mm)]]/1000*MBQ[[#This Row],[QTY TOTAL]]</f>
        <v>0</v>
      </c>
      <c r="W759" s="287">
        <f>ROUNDUP(MBQ[[#This Row],[HEIGHT (mm)]]/450*MBQ[[#This Row],[QTY]]*2,0)+ROUNDUP(MBQ[[#This Row],[WIDTH (mm)]]/450*MBQ[[#This Row],[QTY]]*2,0)</f>
        <v>0</v>
      </c>
    </row>
    <row r="760" spans="1:23" hidden="1">
      <c r="A760" s="258">
        <v>1</v>
      </c>
      <c r="B760" s="259"/>
      <c r="C760" s="233"/>
      <c r="D760" s="260"/>
      <c r="E760" s="260"/>
      <c r="F760" s="261"/>
      <c r="G760" s="262"/>
      <c r="H760" s="262"/>
      <c r="I760" s="260"/>
      <c r="J760" s="233"/>
      <c r="K760" s="263"/>
      <c r="L760" s="260"/>
      <c r="M760" s="263"/>
      <c r="N760" s="263"/>
      <c r="O760" s="264"/>
      <c r="P760" s="264"/>
      <c r="Q760" s="265"/>
      <c r="R760" s="30">
        <f>MBQ[[#This Row],[HEIGHT (mm)]]*MBQ[[#This Row],[QTY TOTAL]]/1000</f>
        <v>0</v>
      </c>
      <c r="S760" s="30">
        <f>MBQ[[#This Row],[WIDTH (mm)]]*MBQ[[#This Row],[QTY TOTAL]]/1000</f>
        <v>0</v>
      </c>
      <c r="T760" s="9">
        <f>(MBQ[[#This Row],[HEIGHT (mm)]]+MBQ[[#This Row],[WIDTH (mm)]])/1000*2*MBQ[[#This Row],[QTY TOTAL]]</f>
        <v>0</v>
      </c>
      <c r="U760" s="266">
        <f>MBQ[[#This Row],[MULTIPLIER]]*MBQ[[#This Row],[QTY]]</f>
        <v>0</v>
      </c>
      <c r="V760" s="9">
        <f>MBQ[[#This Row],[HEIGHT (mm)]]/1000*MBQ[[#This Row],[WIDTH (mm)]]/1000*MBQ[[#This Row],[QTY TOTAL]]</f>
        <v>0</v>
      </c>
      <c r="W760" s="287">
        <f>ROUNDUP(MBQ[[#This Row],[HEIGHT (mm)]]/450*MBQ[[#This Row],[QTY]]*2,0)+ROUNDUP(MBQ[[#This Row],[WIDTH (mm)]]/450*MBQ[[#This Row],[QTY]]*2,0)</f>
        <v>0</v>
      </c>
    </row>
    <row r="761" spans="1:23" hidden="1">
      <c r="A761" s="258">
        <v>1</v>
      </c>
      <c r="B761" s="259"/>
      <c r="C761" s="233"/>
      <c r="D761" s="260"/>
      <c r="E761" s="260"/>
      <c r="F761" s="261"/>
      <c r="G761" s="262"/>
      <c r="H761" s="262"/>
      <c r="I761" s="260"/>
      <c r="J761" s="233"/>
      <c r="K761" s="263"/>
      <c r="L761" s="260"/>
      <c r="M761" s="263"/>
      <c r="N761" s="263"/>
      <c r="O761" s="264"/>
      <c r="P761" s="264"/>
      <c r="Q761" s="265"/>
      <c r="R761" s="30">
        <f>MBQ[[#This Row],[HEIGHT (mm)]]*MBQ[[#This Row],[QTY TOTAL]]/1000</f>
        <v>0</v>
      </c>
      <c r="S761" s="30">
        <f>MBQ[[#This Row],[WIDTH (mm)]]*MBQ[[#This Row],[QTY TOTAL]]/1000</f>
        <v>0</v>
      </c>
      <c r="T761" s="9">
        <f>(MBQ[[#This Row],[HEIGHT (mm)]]+MBQ[[#This Row],[WIDTH (mm)]])/1000*2*MBQ[[#This Row],[QTY TOTAL]]</f>
        <v>0</v>
      </c>
      <c r="U761" s="266">
        <f>MBQ[[#This Row],[MULTIPLIER]]*MBQ[[#This Row],[QTY]]</f>
        <v>0</v>
      </c>
      <c r="V761" s="9">
        <f>MBQ[[#This Row],[HEIGHT (mm)]]/1000*MBQ[[#This Row],[WIDTH (mm)]]/1000*MBQ[[#This Row],[QTY TOTAL]]</f>
        <v>0</v>
      </c>
      <c r="W761" s="287">
        <f>ROUNDUP(MBQ[[#This Row],[HEIGHT (mm)]]/450*MBQ[[#This Row],[QTY]]*2,0)+ROUNDUP(MBQ[[#This Row],[WIDTH (mm)]]/450*MBQ[[#This Row],[QTY]]*2,0)</f>
        <v>0</v>
      </c>
    </row>
    <row r="762" spans="1:23" hidden="1">
      <c r="A762" s="258">
        <v>1</v>
      </c>
      <c r="B762" s="259"/>
      <c r="C762" s="233"/>
      <c r="D762" s="260"/>
      <c r="E762" s="260"/>
      <c r="F762" s="261"/>
      <c r="G762" s="262"/>
      <c r="H762" s="262"/>
      <c r="I762" s="260"/>
      <c r="J762" s="233"/>
      <c r="K762" s="263"/>
      <c r="L762" s="260"/>
      <c r="M762" s="263"/>
      <c r="N762" s="263"/>
      <c r="O762" s="264"/>
      <c r="P762" s="264"/>
      <c r="Q762" s="265"/>
      <c r="R762" s="30">
        <f>MBQ[[#This Row],[HEIGHT (mm)]]*MBQ[[#This Row],[QTY TOTAL]]/1000</f>
        <v>0</v>
      </c>
      <c r="S762" s="30">
        <f>MBQ[[#This Row],[WIDTH (mm)]]*MBQ[[#This Row],[QTY TOTAL]]/1000</f>
        <v>0</v>
      </c>
      <c r="T762" s="9">
        <f>(MBQ[[#This Row],[HEIGHT (mm)]]+MBQ[[#This Row],[WIDTH (mm)]])/1000*2*MBQ[[#This Row],[QTY TOTAL]]</f>
        <v>0</v>
      </c>
      <c r="U762" s="266">
        <f>MBQ[[#This Row],[MULTIPLIER]]*MBQ[[#This Row],[QTY]]</f>
        <v>0</v>
      </c>
      <c r="V762" s="9">
        <f>MBQ[[#This Row],[HEIGHT (mm)]]/1000*MBQ[[#This Row],[WIDTH (mm)]]/1000*MBQ[[#This Row],[QTY TOTAL]]</f>
        <v>0</v>
      </c>
      <c r="W762" s="287">
        <f>ROUNDUP(MBQ[[#This Row],[HEIGHT (mm)]]/450*MBQ[[#This Row],[QTY]]*2,0)+ROUNDUP(MBQ[[#This Row],[WIDTH (mm)]]/450*MBQ[[#This Row],[QTY]]*2,0)</f>
        <v>0</v>
      </c>
    </row>
    <row r="763" spans="1:23" hidden="1">
      <c r="A763" s="258">
        <v>1</v>
      </c>
      <c r="B763" s="259"/>
      <c r="C763" s="233"/>
      <c r="D763" s="260"/>
      <c r="E763" s="260"/>
      <c r="F763" s="261"/>
      <c r="G763" s="262"/>
      <c r="H763" s="262"/>
      <c r="I763" s="260"/>
      <c r="J763" s="233"/>
      <c r="K763" s="263"/>
      <c r="L763" s="260"/>
      <c r="M763" s="263"/>
      <c r="N763" s="263"/>
      <c r="O763" s="264"/>
      <c r="P763" s="264"/>
      <c r="Q763" s="265"/>
      <c r="R763" s="30">
        <f>MBQ[[#This Row],[HEIGHT (mm)]]*MBQ[[#This Row],[QTY TOTAL]]/1000</f>
        <v>0</v>
      </c>
      <c r="S763" s="30">
        <f>MBQ[[#This Row],[WIDTH (mm)]]*MBQ[[#This Row],[QTY TOTAL]]/1000</f>
        <v>0</v>
      </c>
      <c r="T763" s="9">
        <f>(MBQ[[#This Row],[HEIGHT (mm)]]+MBQ[[#This Row],[WIDTH (mm)]])/1000*2*MBQ[[#This Row],[QTY TOTAL]]</f>
        <v>0</v>
      </c>
      <c r="U763" s="266">
        <f>MBQ[[#This Row],[MULTIPLIER]]*MBQ[[#This Row],[QTY]]</f>
        <v>0</v>
      </c>
      <c r="V763" s="9">
        <f>MBQ[[#This Row],[HEIGHT (mm)]]/1000*MBQ[[#This Row],[WIDTH (mm)]]/1000*MBQ[[#This Row],[QTY TOTAL]]</f>
        <v>0</v>
      </c>
      <c r="W763" s="287">
        <f>ROUNDUP(MBQ[[#This Row],[HEIGHT (mm)]]/450*MBQ[[#This Row],[QTY]]*2,0)+ROUNDUP(MBQ[[#This Row],[WIDTH (mm)]]/450*MBQ[[#This Row],[QTY]]*2,0)</f>
        <v>0</v>
      </c>
    </row>
    <row r="764" spans="1:23" hidden="1">
      <c r="A764" s="258">
        <v>1</v>
      </c>
      <c r="B764" s="259"/>
      <c r="C764" s="233"/>
      <c r="D764" s="260"/>
      <c r="E764" s="260"/>
      <c r="F764" s="261"/>
      <c r="G764" s="262"/>
      <c r="H764" s="262"/>
      <c r="I764" s="260"/>
      <c r="J764" s="233"/>
      <c r="K764" s="263"/>
      <c r="L764" s="260"/>
      <c r="M764" s="263"/>
      <c r="N764" s="263"/>
      <c r="O764" s="264"/>
      <c r="P764" s="264"/>
      <c r="Q764" s="265"/>
      <c r="R764" s="30">
        <f>MBQ[[#This Row],[HEIGHT (mm)]]*MBQ[[#This Row],[QTY TOTAL]]/1000</f>
        <v>0</v>
      </c>
      <c r="S764" s="30">
        <f>MBQ[[#This Row],[WIDTH (mm)]]*MBQ[[#This Row],[QTY TOTAL]]/1000</f>
        <v>0</v>
      </c>
      <c r="T764" s="9">
        <f>(MBQ[[#This Row],[HEIGHT (mm)]]+MBQ[[#This Row],[WIDTH (mm)]])/1000*2*MBQ[[#This Row],[QTY TOTAL]]</f>
        <v>0</v>
      </c>
      <c r="U764" s="266">
        <f>MBQ[[#This Row],[MULTIPLIER]]*MBQ[[#This Row],[QTY]]</f>
        <v>0</v>
      </c>
      <c r="V764" s="9">
        <f>MBQ[[#This Row],[HEIGHT (mm)]]/1000*MBQ[[#This Row],[WIDTH (mm)]]/1000*MBQ[[#This Row],[QTY TOTAL]]</f>
        <v>0</v>
      </c>
      <c r="W764" s="287">
        <f>ROUNDUP(MBQ[[#This Row],[HEIGHT (mm)]]/450*MBQ[[#This Row],[QTY]]*2,0)+ROUNDUP(MBQ[[#This Row],[WIDTH (mm)]]/450*MBQ[[#This Row],[QTY]]*2,0)</f>
        <v>0</v>
      </c>
    </row>
    <row r="765" spans="1:23" hidden="1">
      <c r="A765" s="258">
        <v>1</v>
      </c>
      <c r="B765" s="259"/>
      <c r="C765" s="233"/>
      <c r="D765" s="260"/>
      <c r="E765" s="260"/>
      <c r="F765" s="261"/>
      <c r="G765" s="262"/>
      <c r="H765" s="262"/>
      <c r="I765" s="260"/>
      <c r="J765" s="233"/>
      <c r="K765" s="263"/>
      <c r="L765" s="260"/>
      <c r="M765" s="263"/>
      <c r="N765" s="263"/>
      <c r="O765" s="264"/>
      <c r="P765" s="264"/>
      <c r="Q765" s="265"/>
      <c r="R765" s="30">
        <f>MBQ[[#This Row],[HEIGHT (mm)]]*MBQ[[#This Row],[QTY TOTAL]]/1000</f>
        <v>0</v>
      </c>
      <c r="S765" s="30">
        <f>MBQ[[#This Row],[WIDTH (mm)]]*MBQ[[#This Row],[QTY TOTAL]]/1000</f>
        <v>0</v>
      </c>
      <c r="T765" s="9">
        <f>(MBQ[[#This Row],[HEIGHT (mm)]]+MBQ[[#This Row],[WIDTH (mm)]])/1000*2*MBQ[[#This Row],[QTY TOTAL]]</f>
        <v>0</v>
      </c>
      <c r="U765" s="266">
        <f>MBQ[[#This Row],[MULTIPLIER]]*MBQ[[#This Row],[QTY]]</f>
        <v>0</v>
      </c>
      <c r="V765" s="9">
        <f>MBQ[[#This Row],[HEIGHT (mm)]]/1000*MBQ[[#This Row],[WIDTH (mm)]]/1000*MBQ[[#This Row],[QTY TOTAL]]</f>
        <v>0</v>
      </c>
      <c r="W765" s="287">
        <f>ROUNDUP(MBQ[[#This Row],[HEIGHT (mm)]]/450*MBQ[[#This Row],[QTY]]*2,0)+ROUNDUP(MBQ[[#This Row],[WIDTH (mm)]]/450*MBQ[[#This Row],[QTY]]*2,0)</f>
        <v>0</v>
      </c>
    </row>
    <row r="766" spans="1:23" hidden="1">
      <c r="A766" s="258">
        <v>1</v>
      </c>
      <c r="B766" s="259"/>
      <c r="C766" s="233"/>
      <c r="D766" s="260"/>
      <c r="E766" s="260"/>
      <c r="F766" s="261"/>
      <c r="G766" s="262"/>
      <c r="H766" s="262"/>
      <c r="I766" s="260"/>
      <c r="J766" s="233"/>
      <c r="K766" s="263"/>
      <c r="L766" s="260"/>
      <c r="M766" s="263"/>
      <c r="N766" s="263"/>
      <c r="O766" s="264"/>
      <c r="P766" s="264"/>
      <c r="Q766" s="265"/>
      <c r="R766" s="30">
        <f>MBQ[[#This Row],[HEIGHT (mm)]]*MBQ[[#This Row],[QTY TOTAL]]/1000</f>
        <v>0</v>
      </c>
      <c r="S766" s="30">
        <f>MBQ[[#This Row],[WIDTH (mm)]]*MBQ[[#This Row],[QTY TOTAL]]/1000</f>
        <v>0</v>
      </c>
      <c r="T766" s="9">
        <f>(MBQ[[#This Row],[HEIGHT (mm)]]+MBQ[[#This Row],[WIDTH (mm)]])/1000*2*MBQ[[#This Row],[QTY TOTAL]]</f>
        <v>0</v>
      </c>
      <c r="U766" s="266">
        <f>MBQ[[#This Row],[MULTIPLIER]]*MBQ[[#This Row],[QTY]]</f>
        <v>0</v>
      </c>
      <c r="V766" s="9">
        <f>MBQ[[#This Row],[HEIGHT (mm)]]/1000*MBQ[[#This Row],[WIDTH (mm)]]/1000*MBQ[[#This Row],[QTY TOTAL]]</f>
        <v>0</v>
      </c>
      <c r="W766" s="287">
        <f>ROUNDUP(MBQ[[#This Row],[HEIGHT (mm)]]/450*MBQ[[#This Row],[QTY]]*2,0)+ROUNDUP(MBQ[[#This Row],[WIDTH (mm)]]/450*MBQ[[#This Row],[QTY]]*2,0)</f>
        <v>0</v>
      </c>
    </row>
    <row r="767" spans="1:23" hidden="1">
      <c r="A767" s="258">
        <v>1</v>
      </c>
      <c r="B767" s="259"/>
      <c r="C767" s="233"/>
      <c r="D767" s="260"/>
      <c r="E767" s="260"/>
      <c r="F767" s="261"/>
      <c r="G767" s="262"/>
      <c r="H767" s="262"/>
      <c r="I767" s="260"/>
      <c r="J767" s="233"/>
      <c r="K767" s="263"/>
      <c r="L767" s="260"/>
      <c r="M767" s="263"/>
      <c r="N767" s="263"/>
      <c r="O767" s="264"/>
      <c r="P767" s="264"/>
      <c r="Q767" s="265"/>
      <c r="R767" s="30">
        <f>MBQ[[#This Row],[HEIGHT (mm)]]*MBQ[[#This Row],[QTY TOTAL]]/1000</f>
        <v>0</v>
      </c>
      <c r="S767" s="30">
        <f>MBQ[[#This Row],[WIDTH (mm)]]*MBQ[[#This Row],[QTY TOTAL]]/1000</f>
        <v>0</v>
      </c>
      <c r="T767" s="9">
        <f>(MBQ[[#This Row],[HEIGHT (mm)]]+MBQ[[#This Row],[WIDTH (mm)]])/1000*2*MBQ[[#This Row],[QTY TOTAL]]</f>
        <v>0</v>
      </c>
      <c r="U767" s="266">
        <f>MBQ[[#This Row],[MULTIPLIER]]*MBQ[[#This Row],[QTY]]</f>
        <v>0</v>
      </c>
      <c r="V767" s="9">
        <f>MBQ[[#This Row],[HEIGHT (mm)]]/1000*MBQ[[#This Row],[WIDTH (mm)]]/1000*MBQ[[#This Row],[QTY TOTAL]]</f>
        <v>0</v>
      </c>
      <c r="W767" s="287">
        <f>ROUNDUP(MBQ[[#This Row],[HEIGHT (mm)]]/450*MBQ[[#This Row],[QTY]]*2,0)+ROUNDUP(MBQ[[#This Row],[WIDTH (mm)]]/450*MBQ[[#This Row],[QTY]]*2,0)</f>
        <v>0</v>
      </c>
    </row>
    <row r="768" spans="1:23" hidden="1">
      <c r="A768" s="258">
        <v>1</v>
      </c>
      <c r="B768" s="259"/>
      <c r="C768" s="233"/>
      <c r="D768" s="260"/>
      <c r="E768" s="260"/>
      <c r="F768" s="261"/>
      <c r="G768" s="262"/>
      <c r="H768" s="262"/>
      <c r="I768" s="260"/>
      <c r="J768" s="233"/>
      <c r="K768" s="263"/>
      <c r="L768" s="260"/>
      <c r="M768" s="263"/>
      <c r="N768" s="263"/>
      <c r="O768" s="264"/>
      <c r="P768" s="264"/>
      <c r="Q768" s="265"/>
      <c r="R768" s="30">
        <f>MBQ[[#This Row],[HEIGHT (mm)]]*MBQ[[#This Row],[QTY TOTAL]]/1000</f>
        <v>0</v>
      </c>
      <c r="S768" s="30">
        <f>MBQ[[#This Row],[WIDTH (mm)]]*MBQ[[#This Row],[QTY TOTAL]]/1000</f>
        <v>0</v>
      </c>
      <c r="T768" s="9">
        <f>(MBQ[[#This Row],[HEIGHT (mm)]]+MBQ[[#This Row],[WIDTH (mm)]])/1000*2*MBQ[[#This Row],[QTY TOTAL]]</f>
        <v>0</v>
      </c>
      <c r="U768" s="266">
        <f>MBQ[[#This Row],[MULTIPLIER]]*MBQ[[#This Row],[QTY]]</f>
        <v>0</v>
      </c>
      <c r="V768" s="9">
        <f>MBQ[[#This Row],[HEIGHT (mm)]]/1000*MBQ[[#This Row],[WIDTH (mm)]]/1000*MBQ[[#This Row],[QTY TOTAL]]</f>
        <v>0</v>
      </c>
      <c r="W768" s="287">
        <f>ROUNDUP(MBQ[[#This Row],[HEIGHT (mm)]]/450*MBQ[[#This Row],[QTY]]*2,0)+ROUNDUP(MBQ[[#This Row],[WIDTH (mm)]]/450*MBQ[[#This Row],[QTY]]*2,0)</f>
        <v>0</v>
      </c>
    </row>
    <row r="769" spans="1:23" hidden="1">
      <c r="A769" s="258">
        <v>1</v>
      </c>
      <c r="B769" s="259"/>
      <c r="C769" s="233"/>
      <c r="D769" s="260"/>
      <c r="E769" s="260"/>
      <c r="F769" s="261"/>
      <c r="G769" s="262"/>
      <c r="H769" s="262"/>
      <c r="I769" s="260"/>
      <c r="J769" s="233"/>
      <c r="K769" s="263"/>
      <c r="L769" s="260"/>
      <c r="M769" s="263"/>
      <c r="N769" s="263"/>
      <c r="O769" s="264"/>
      <c r="P769" s="264"/>
      <c r="Q769" s="265"/>
      <c r="R769" s="30">
        <f>MBQ[[#This Row],[HEIGHT (mm)]]*MBQ[[#This Row],[QTY TOTAL]]/1000</f>
        <v>0</v>
      </c>
      <c r="S769" s="30">
        <f>MBQ[[#This Row],[WIDTH (mm)]]*MBQ[[#This Row],[QTY TOTAL]]/1000</f>
        <v>0</v>
      </c>
      <c r="T769" s="9">
        <f>(MBQ[[#This Row],[HEIGHT (mm)]]+MBQ[[#This Row],[WIDTH (mm)]])/1000*2*MBQ[[#This Row],[QTY TOTAL]]</f>
        <v>0</v>
      </c>
      <c r="U769" s="266">
        <f>MBQ[[#This Row],[MULTIPLIER]]*MBQ[[#This Row],[QTY]]</f>
        <v>0</v>
      </c>
      <c r="V769" s="9">
        <f>MBQ[[#This Row],[HEIGHT (mm)]]/1000*MBQ[[#This Row],[WIDTH (mm)]]/1000*MBQ[[#This Row],[QTY TOTAL]]</f>
        <v>0</v>
      </c>
      <c r="W769" s="287">
        <f>ROUNDUP(MBQ[[#This Row],[HEIGHT (mm)]]/450*MBQ[[#This Row],[QTY]]*2,0)+ROUNDUP(MBQ[[#This Row],[WIDTH (mm)]]/450*MBQ[[#This Row],[QTY]]*2,0)</f>
        <v>0</v>
      </c>
    </row>
    <row r="770" spans="1:23" hidden="1">
      <c r="A770" s="258">
        <v>1</v>
      </c>
      <c r="B770" s="259"/>
      <c r="C770" s="233"/>
      <c r="D770" s="260"/>
      <c r="E770" s="260"/>
      <c r="F770" s="261"/>
      <c r="G770" s="262"/>
      <c r="H770" s="262"/>
      <c r="I770" s="260"/>
      <c r="J770" s="233"/>
      <c r="K770" s="263"/>
      <c r="L770" s="260"/>
      <c r="M770" s="263"/>
      <c r="N770" s="263"/>
      <c r="O770" s="264"/>
      <c r="P770" s="264"/>
      <c r="Q770" s="265"/>
      <c r="R770" s="30">
        <f>MBQ[[#This Row],[HEIGHT (mm)]]*MBQ[[#This Row],[QTY TOTAL]]/1000</f>
        <v>0</v>
      </c>
      <c r="S770" s="30">
        <f>MBQ[[#This Row],[WIDTH (mm)]]*MBQ[[#This Row],[QTY TOTAL]]/1000</f>
        <v>0</v>
      </c>
      <c r="T770" s="9">
        <f>(MBQ[[#This Row],[HEIGHT (mm)]]+MBQ[[#This Row],[WIDTH (mm)]])/1000*2*MBQ[[#This Row],[QTY TOTAL]]</f>
        <v>0</v>
      </c>
      <c r="U770" s="266">
        <f>MBQ[[#This Row],[MULTIPLIER]]*MBQ[[#This Row],[QTY]]</f>
        <v>0</v>
      </c>
      <c r="V770" s="9">
        <f>MBQ[[#This Row],[HEIGHT (mm)]]/1000*MBQ[[#This Row],[WIDTH (mm)]]/1000*MBQ[[#This Row],[QTY TOTAL]]</f>
        <v>0</v>
      </c>
      <c r="W770" s="287">
        <f>ROUNDUP(MBQ[[#This Row],[HEIGHT (mm)]]/450*MBQ[[#This Row],[QTY]]*2,0)+ROUNDUP(MBQ[[#This Row],[WIDTH (mm)]]/450*MBQ[[#This Row],[QTY]]*2,0)</f>
        <v>0</v>
      </c>
    </row>
    <row r="771" spans="1:23" hidden="1">
      <c r="A771" s="258">
        <v>1</v>
      </c>
      <c r="B771" s="259"/>
      <c r="C771" s="233"/>
      <c r="D771" s="260"/>
      <c r="E771" s="260"/>
      <c r="F771" s="261"/>
      <c r="G771" s="262"/>
      <c r="H771" s="262"/>
      <c r="I771" s="260"/>
      <c r="J771" s="233"/>
      <c r="K771" s="263"/>
      <c r="L771" s="260"/>
      <c r="M771" s="263"/>
      <c r="N771" s="263"/>
      <c r="O771" s="264"/>
      <c r="P771" s="264"/>
      <c r="Q771" s="265"/>
      <c r="R771" s="30">
        <f>MBQ[[#This Row],[HEIGHT (mm)]]*MBQ[[#This Row],[QTY TOTAL]]/1000</f>
        <v>0</v>
      </c>
      <c r="S771" s="30">
        <f>MBQ[[#This Row],[WIDTH (mm)]]*MBQ[[#This Row],[QTY TOTAL]]/1000</f>
        <v>0</v>
      </c>
      <c r="T771" s="9">
        <f>(MBQ[[#This Row],[HEIGHT (mm)]]+MBQ[[#This Row],[WIDTH (mm)]])/1000*2*MBQ[[#This Row],[QTY TOTAL]]</f>
        <v>0</v>
      </c>
      <c r="U771" s="266">
        <f>MBQ[[#This Row],[MULTIPLIER]]*MBQ[[#This Row],[QTY]]</f>
        <v>0</v>
      </c>
      <c r="V771" s="9">
        <f>MBQ[[#This Row],[HEIGHT (mm)]]/1000*MBQ[[#This Row],[WIDTH (mm)]]/1000*MBQ[[#This Row],[QTY TOTAL]]</f>
        <v>0</v>
      </c>
      <c r="W771" s="287">
        <f>ROUNDUP(MBQ[[#This Row],[HEIGHT (mm)]]/450*MBQ[[#This Row],[QTY]]*2,0)+ROUNDUP(MBQ[[#This Row],[WIDTH (mm)]]/450*MBQ[[#This Row],[QTY]]*2,0)</f>
        <v>0</v>
      </c>
    </row>
    <row r="772" spans="1:23" hidden="1">
      <c r="A772" s="258">
        <v>1</v>
      </c>
      <c r="B772" s="259"/>
      <c r="C772" s="233"/>
      <c r="D772" s="260"/>
      <c r="E772" s="260"/>
      <c r="F772" s="261"/>
      <c r="G772" s="262"/>
      <c r="H772" s="262"/>
      <c r="I772" s="260"/>
      <c r="J772" s="233"/>
      <c r="K772" s="263"/>
      <c r="L772" s="260"/>
      <c r="M772" s="263"/>
      <c r="N772" s="263"/>
      <c r="O772" s="264"/>
      <c r="P772" s="264"/>
      <c r="Q772" s="265"/>
      <c r="R772" s="30">
        <f>MBQ[[#This Row],[HEIGHT (mm)]]*MBQ[[#This Row],[QTY TOTAL]]/1000</f>
        <v>0</v>
      </c>
      <c r="S772" s="30">
        <f>MBQ[[#This Row],[WIDTH (mm)]]*MBQ[[#This Row],[QTY TOTAL]]/1000</f>
        <v>0</v>
      </c>
      <c r="T772" s="9">
        <f>(MBQ[[#This Row],[HEIGHT (mm)]]+MBQ[[#This Row],[WIDTH (mm)]])/1000*2*MBQ[[#This Row],[QTY TOTAL]]</f>
        <v>0</v>
      </c>
      <c r="U772" s="266">
        <f>MBQ[[#This Row],[MULTIPLIER]]*MBQ[[#This Row],[QTY]]</f>
        <v>0</v>
      </c>
      <c r="V772" s="9">
        <f>MBQ[[#This Row],[HEIGHT (mm)]]/1000*MBQ[[#This Row],[WIDTH (mm)]]/1000*MBQ[[#This Row],[QTY TOTAL]]</f>
        <v>0</v>
      </c>
      <c r="W772" s="287">
        <f>ROUNDUP(MBQ[[#This Row],[HEIGHT (mm)]]/450*MBQ[[#This Row],[QTY]]*2,0)+ROUNDUP(MBQ[[#This Row],[WIDTH (mm)]]/450*MBQ[[#This Row],[QTY]]*2,0)</f>
        <v>0</v>
      </c>
    </row>
    <row r="773" spans="1:23" hidden="1">
      <c r="A773" s="258">
        <v>1</v>
      </c>
      <c r="B773" s="259"/>
      <c r="C773" s="233"/>
      <c r="D773" s="260"/>
      <c r="E773" s="260"/>
      <c r="F773" s="261"/>
      <c r="G773" s="262"/>
      <c r="H773" s="262"/>
      <c r="I773" s="260"/>
      <c r="J773" s="233"/>
      <c r="K773" s="263"/>
      <c r="L773" s="260"/>
      <c r="M773" s="263"/>
      <c r="N773" s="263"/>
      <c r="O773" s="264"/>
      <c r="P773" s="264"/>
      <c r="Q773" s="265"/>
      <c r="R773" s="30">
        <f>MBQ[[#This Row],[HEIGHT (mm)]]*MBQ[[#This Row],[QTY TOTAL]]/1000</f>
        <v>0</v>
      </c>
      <c r="S773" s="30">
        <f>MBQ[[#This Row],[WIDTH (mm)]]*MBQ[[#This Row],[QTY TOTAL]]/1000</f>
        <v>0</v>
      </c>
      <c r="T773" s="9">
        <f>(MBQ[[#This Row],[HEIGHT (mm)]]+MBQ[[#This Row],[WIDTH (mm)]])/1000*2*MBQ[[#This Row],[QTY TOTAL]]</f>
        <v>0</v>
      </c>
      <c r="U773" s="266">
        <f>MBQ[[#This Row],[MULTIPLIER]]*MBQ[[#This Row],[QTY]]</f>
        <v>0</v>
      </c>
      <c r="V773" s="9">
        <f>MBQ[[#This Row],[HEIGHT (mm)]]/1000*MBQ[[#This Row],[WIDTH (mm)]]/1000*MBQ[[#This Row],[QTY TOTAL]]</f>
        <v>0</v>
      </c>
      <c r="W773" s="287">
        <f>ROUNDUP(MBQ[[#This Row],[HEIGHT (mm)]]/450*MBQ[[#This Row],[QTY]]*2,0)+ROUNDUP(MBQ[[#This Row],[WIDTH (mm)]]/450*MBQ[[#This Row],[QTY]]*2,0)</f>
        <v>0</v>
      </c>
    </row>
    <row r="774" spans="1:23" hidden="1">
      <c r="A774" s="258">
        <v>1</v>
      </c>
      <c r="B774" s="259"/>
      <c r="C774" s="233"/>
      <c r="D774" s="260"/>
      <c r="E774" s="260"/>
      <c r="F774" s="261"/>
      <c r="G774" s="262"/>
      <c r="H774" s="262"/>
      <c r="I774" s="260"/>
      <c r="J774" s="233"/>
      <c r="K774" s="263"/>
      <c r="L774" s="260"/>
      <c r="M774" s="263"/>
      <c r="N774" s="263"/>
      <c r="O774" s="264"/>
      <c r="P774" s="264"/>
      <c r="Q774" s="265"/>
      <c r="R774" s="30">
        <f>MBQ[[#This Row],[HEIGHT (mm)]]*MBQ[[#This Row],[QTY TOTAL]]/1000</f>
        <v>0</v>
      </c>
      <c r="S774" s="30">
        <f>MBQ[[#This Row],[WIDTH (mm)]]*MBQ[[#This Row],[QTY TOTAL]]/1000</f>
        <v>0</v>
      </c>
      <c r="T774" s="9">
        <f>(MBQ[[#This Row],[HEIGHT (mm)]]+MBQ[[#This Row],[WIDTH (mm)]])/1000*2*MBQ[[#This Row],[QTY TOTAL]]</f>
        <v>0</v>
      </c>
      <c r="U774" s="266">
        <f>MBQ[[#This Row],[MULTIPLIER]]*MBQ[[#This Row],[QTY]]</f>
        <v>0</v>
      </c>
      <c r="V774" s="9">
        <f>MBQ[[#This Row],[HEIGHT (mm)]]/1000*MBQ[[#This Row],[WIDTH (mm)]]/1000*MBQ[[#This Row],[QTY TOTAL]]</f>
        <v>0</v>
      </c>
      <c r="W774" s="287">
        <f>ROUNDUP(MBQ[[#This Row],[HEIGHT (mm)]]/450*MBQ[[#This Row],[QTY]]*2,0)+ROUNDUP(MBQ[[#This Row],[WIDTH (mm)]]/450*MBQ[[#This Row],[QTY]]*2,0)</f>
        <v>0</v>
      </c>
    </row>
    <row r="775" spans="1:23" hidden="1">
      <c r="A775" s="258">
        <v>1</v>
      </c>
      <c r="B775" s="259"/>
      <c r="C775" s="233"/>
      <c r="D775" s="260"/>
      <c r="E775" s="260"/>
      <c r="F775" s="261"/>
      <c r="G775" s="262"/>
      <c r="H775" s="262"/>
      <c r="I775" s="260"/>
      <c r="J775" s="233"/>
      <c r="K775" s="263"/>
      <c r="L775" s="260"/>
      <c r="M775" s="263"/>
      <c r="N775" s="263"/>
      <c r="O775" s="264"/>
      <c r="P775" s="264"/>
      <c r="Q775" s="265"/>
      <c r="R775" s="30">
        <f>MBQ[[#This Row],[HEIGHT (mm)]]*MBQ[[#This Row],[QTY TOTAL]]/1000</f>
        <v>0</v>
      </c>
      <c r="S775" s="30">
        <f>MBQ[[#This Row],[WIDTH (mm)]]*MBQ[[#This Row],[QTY TOTAL]]/1000</f>
        <v>0</v>
      </c>
      <c r="T775" s="9">
        <f>(MBQ[[#This Row],[HEIGHT (mm)]]+MBQ[[#This Row],[WIDTH (mm)]])/1000*2*MBQ[[#This Row],[QTY TOTAL]]</f>
        <v>0</v>
      </c>
      <c r="U775" s="266">
        <f>MBQ[[#This Row],[MULTIPLIER]]*MBQ[[#This Row],[QTY]]</f>
        <v>0</v>
      </c>
      <c r="V775" s="9">
        <f>MBQ[[#This Row],[HEIGHT (mm)]]/1000*MBQ[[#This Row],[WIDTH (mm)]]/1000*MBQ[[#This Row],[QTY TOTAL]]</f>
        <v>0</v>
      </c>
      <c r="W775" s="287">
        <f>ROUNDUP(MBQ[[#This Row],[HEIGHT (mm)]]/450*MBQ[[#This Row],[QTY]]*2,0)+ROUNDUP(MBQ[[#This Row],[WIDTH (mm)]]/450*MBQ[[#This Row],[QTY]]*2,0)</f>
        <v>0</v>
      </c>
    </row>
    <row r="776" spans="1:23" hidden="1">
      <c r="A776" s="258">
        <v>1</v>
      </c>
      <c r="B776" s="259"/>
      <c r="C776" s="233"/>
      <c r="D776" s="260"/>
      <c r="E776" s="260"/>
      <c r="F776" s="261"/>
      <c r="G776" s="262"/>
      <c r="H776" s="262"/>
      <c r="I776" s="260"/>
      <c r="J776" s="233"/>
      <c r="K776" s="263"/>
      <c r="L776" s="260"/>
      <c r="M776" s="263"/>
      <c r="N776" s="263"/>
      <c r="O776" s="264"/>
      <c r="P776" s="264"/>
      <c r="Q776" s="265"/>
      <c r="R776" s="30">
        <f>MBQ[[#This Row],[HEIGHT (mm)]]*MBQ[[#This Row],[QTY TOTAL]]/1000</f>
        <v>0</v>
      </c>
      <c r="S776" s="30">
        <f>MBQ[[#This Row],[WIDTH (mm)]]*MBQ[[#This Row],[QTY TOTAL]]/1000</f>
        <v>0</v>
      </c>
      <c r="T776" s="9">
        <f>(MBQ[[#This Row],[HEIGHT (mm)]]+MBQ[[#This Row],[WIDTH (mm)]])/1000*2*MBQ[[#This Row],[QTY TOTAL]]</f>
        <v>0</v>
      </c>
      <c r="U776" s="266">
        <f>MBQ[[#This Row],[MULTIPLIER]]*MBQ[[#This Row],[QTY]]</f>
        <v>0</v>
      </c>
      <c r="V776" s="9">
        <f>MBQ[[#This Row],[HEIGHT (mm)]]/1000*MBQ[[#This Row],[WIDTH (mm)]]/1000*MBQ[[#This Row],[QTY TOTAL]]</f>
        <v>0</v>
      </c>
      <c r="W776" s="287">
        <f>ROUNDUP(MBQ[[#This Row],[HEIGHT (mm)]]/450*MBQ[[#This Row],[QTY]]*2,0)+ROUNDUP(MBQ[[#This Row],[WIDTH (mm)]]/450*MBQ[[#This Row],[QTY]]*2,0)</f>
        <v>0</v>
      </c>
    </row>
    <row r="777" spans="1:23" hidden="1">
      <c r="A777" s="258">
        <v>1</v>
      </c>
      <c r="B777" s="259"/>
      <c r="C777" s="233"/>
      <c r="D777" s="260"/>
      <c r="E777" s="260"/>
      <c r="F777" s="261"/>
      <c r="G777" s="262"/>
      <c r="H777" s="262"/>
      <c r="I777" s="260"/>
      <c r="J777" s="233"/>
      <c r="K777" s="263"/>
      <c r="L777" s="260"/>
      <c r="M777" s="263"/>
      <c r="N777" s="263"/>
      <c r="O777" s="264"/>
      <c r="P777" s="264"/>
      <c r="Q777" s="265"/>
      <c r="R777" s="30">
        <f>MBQ[[#This Row],[HEIGHT (mm)]]*MBQ[[#This Row],[QTY TOTAL]]/1000</f>
        <v>0</v>
      </c>
      <c r="S777" s="30">
        <f>MBQ[[#This Row],[WIDTH (mm)]]*MBQ[[#This Row],[QTY TOTAL]]/1000</f>
        <v>0</v>
      </c>
      <c r="T777" s="9">
        <f>(MBQ[[#This Row],[HEIGHT (mm)]]+MBQ[[#This Row],[WIDTH (mm)]])/1000*2*MBQ[[#This Row],[QTY TOTAL]]</f>
        <v>0</v>
      </c>
      <c r="U777" s="266">
        <f>MBQ[[#This Row],[MULTIPLIER]]*MBQ[[#This Row],[QTY]]</f>
        <v>0</v>
      </c>
      <c r="V777" s="9">
        <f>MBQ[[#This Row],[HEIGHT (mm)]]/1000*MBQ[[#This Row],[WIDTH (mm)]]/1000*MBQ[[#This Row],[QTY TOTAL]]</f>
        <v>0</v>
      </c>
      <c r="W777" s="287">
        <f>ROUNDUP(MBQ[[#This Row],[HEIGHT (mm)]]/450*MBQ[[#This Row],[QTY]]*2,0)+ROUNDUP(MBQ[[#This Row],[WIDTH (mm)]]/450*MBQ[[#This Row],[QTY]]*2,0)</f>
        <v>0</v>
      </c>
    </row>
    <row r="778" spans="1:23" hidden="1">
      <c r="A778" s="258">
        <v>1</v>
      </c>
      <c r="B778" s="259"/>
      <c r="C778" s="233"/>
      <c r="D778" s="260"/>
      <c r="E778" s="260"/>
      <c r="F778" s="261"/>
      <c r="G778" s="262"/>
      <c r="H778" s="262"/>
      <c r="I778" s="260"/>
      <c r="J778" s="233"/>
      <c r="K778" s="263"/>
      <c r="L778" s="260"/>
      <c r="M778" s="263"/>
      <c r="N778" s="263"/>
      <c r="O778" s="264"/>
      <c r="P778" s="264"/>
      <c r="Q778" s="265"/>
      <c r="R778" s="30">
        <f>MBQ[[#This Row],[HEIGHT (mm)]]*MBQ[[#This Row],[QTY TOTAL]]/1000</f>
        <v>0</v>
      </c>
      <c r="S778" s="30">
        <f>MBQ[[#This Row],[WIDTH (mm)]]*MBQ[[#This Row],[QTY TOTAL]]/1000</f>
        <v>0</v>
      </c>
      <c r="T778" s="9">
        <f>(MBQ[[#This Row],[HEIGHT (mm)]]+MBQ[[#This Row],[WIDTH (mm)]])/1000*2*MBQ[[#This Row],[QTY TOTAL]]</f>
        <v>0</v>
      </c>
      <c r="U778" s="266">
        <f>MBQ[[#This Row],[MULTIPLIER]]*MBQ[[#This Row],[QTY]]</f>
        <v>0</v>
      </c>
      <c r="V778" s="9">
        <f>MBQ[[#This Row],[HEIGHT (mm)]]/1000*MBQ[[#This Row],[WIDTH (mm)]]/1000*MBQ[[#This Row],[QTY TOTAL]]</f>
        <v>0</v>
      </c>
      <c r="W778" s="287">
        <f>ROUNDUP(MBQ[[#This Row],[HEIGHT (mm)]]/450*MBQ[[#This Row],[QTY]]*2,0)+ROUNDUP(MBQ[[#This Row],[WIDTH (mm)]]/450*MBQ[[#This Row],[QTY]]*2,0)</f>
        <v>0</v>
      </c>
    </row>
    <row r="779" spans="1:23" hidden="1">
      <c r="A779" s="258">
        <v>1</v>
      </c>
      <c r="B779" s="259"/>
      <c r="C779" s="233"/>
      <c r="D779" s="260"/>
      <c r="E779" s="260"/>
      <c r="F779" s="261"/>
      <c r="G779" s="262"/>
      <c r="H779" s="262"/>
      <c r="I779" s="260"/>
      <c r="J779" s="233"/>
      <c r="K779" s="263"/>
      <c r="L779" s="260"/>
      <c r="M779" s="263"/>
      <c r="N779" s="263"/>
      <c r="O779" s="264"/>
      <c r="P779" s="264"/>
      <c r="Q779" s="265"/>
      <c r="R779" s="30">
        <f>MBQ[[#This Row],[HEIGHT (mm)]]*MBQ[[#This Row],[QTY TOTAL]]/1000</f>
        <v>0</v>
      </c>
      <c r="S779" s="30">
        <f>MBQ[[#This Row],[WIDTH (mm)]]*MBQ[[#This Row],[QTY TOTAL]]/1000</f>
        <v>0</v>
      </c>
      <c r="T779" s="9">
        <f>(MBQ[[#This Row],[HEIGHT (mm)]]+MBQ[[#This Row],[WIDTH (mm)]])/1000*2*MBQ[[#This Row],[QTY TOTAL]]</f>
        <v>0</v>
      </c>
      <c r="U779" s="266">
        <f>MBQ[[#This Row],[MULTIPLIER]]*MBQ[[#This Row],[QTY]]</f>
        <v>0</v>
      </c>
      <c r="V779" s="9">
        <f>MBQ[[#This Row],[HEIGHT (mm)]]/1000*MBQ[[#This Row],[WIDTH (mm)]]/1000*MBQ[[#This Row],[QTY TOTAL]]</f>
        <v>0</v>
      </c>
      <c r="W779" s="287">
        <f>ROUNDUP(MBQ[[#This Row],[HEIGHT (mm)]]/450*MBQ[[#This Row],[QTY]]*2,0)+ROUNDUP(MBQ[[#This Row],[WIDTH (mm)]]/450*MBQ[[#This Row],[QTY]]*2,0)</f>
        <v>0</v>
      </c>
    </row>
    <row r="780" spans="1:23" hidden="1">
      <c r="A780" s="258">
        <v>1</v>
      </c>
      <c r="B780" s="259"/>
      <c r="C780" s="233"/>
      <c r="D780" s="260"/>
      <c r="E780" s="260"/>
      <c r="F780" s="261"/>
      <c r="G780" s="262"/>
      <c r="H780" s="262"/>
      <c r="I780" s="260"/>
      <c r="J780" s="233"/>
      <c r="K780" s="263"/>
      <c r="L780" s="260"/>
      <c r="M780" s="263"/>
      <c r="N780" s="263"/>
      <c r="O780" s="264"/>
      <c r="P780" s="264"/>
      <c r="Q780" s="265"/>
      <c r="R780" s="30">
        <f>MBQ[[#This Row],[HEIGHT (mm)]]*MBQ[[#This Row],[QTY TOTAL]]/1000</f>
        <v>0</v>
      </c>
      <c r="S780" s="30">
        <f>MBQ[[#This Row],[WIDTH (mm)]]*MBQ[[#This Row],[QTY TOTAL]]/1000</f>
        <v>0</v>
      </c>
      <c r="T780" s="9">
        <f>(MBQ[[#This Row],[HEIGHT (mm)]]+MBQ[[#This Row],[WIDTH (mm)]])/1000*2*MBQ[[#This Row],[QTY TOTAL]]</f>
        <v>0</v>
      </c>
      <c r="U780" s="266">
        <f>MBQ[[#This Row],[MULTIPLIER]]*MBQ[[#This Row],[QTY]]</f>
        <v>0</v>
      </c>
      <c r="V780" s="9">
        <f>MBQ[[#This Row],[HEIGHT (mm)]]/1000*MBQ[[#This Row],[WIDTH (mm)]]/1000*MBQ[[#This Row],[QTY TOTAL]]</f>
        <v>0</v>
      </c>
      <c r="W780" s="287">
        <f>ROUNDUP(MBQ[[#This Row],[HEIGHT (mm)]]/450*MBQ[[#This Row],[QTY]]*2,0)+ROUNDUP(MBQ[[#This Row],[WIDTH (mm)]]/450*MBQ[[#This Row],[QTY]]*2,0)</f>
        <v>0</v>
      </c>
    </row>
    <row r="781" spans="1:23" hidden="1">
      <c r="A781" s="258">
        <v>1</v>
      </c>
      <c r="B781" s="259"/>
      <c r="C781" s="233"/>
      <c r="D781" s="260"/>
      <c r="E781" s="260"/>
      <c r="F781" s="261"/>
      <c r="G781" s="262"/>
      <c r="H781" s="262"/>
      <c r="I781" s="260"/>
      <c r="J781" s="233"/>
      <c r="K781" s="263"/>
      <c r="L781" s="260"/>
      <c r="M781" s="263"/>
      <c r="N781" s="263"/>
      <c r="O781" s="264"/>
      <c r="P781" s="264"/>
      <c r="Q781" s="265"/>
      <c r="R781" s="30">
        <f>MBQ[[#This Row],[HEIGHT (mm)]]*MBQ[[#This Row],[QTY TOTAL]]/1000</f>
        <v>0</v>
      </c>
      <c r="S781" s="30">
        <f>MBQ[[#This Row],[WIDTH (mm)]]*MBQ[[#This Row],[QTY TOTAL]]/1000</f>
        <v>0</v>
      </c>
      <c r="T781" s="9">
        <f>(MBQ[[#This Row],[HEIGHT (mm)]]+MBQ[[#This Row],[WIDTH (mm)]])/1000*2*MBQ[[#This Row],[QTY TOTAL]]</f>
        <v>0</v>
      </c>
      <c r="U781" s="266">
        <f>MBQ[[#This Row],[MULTIPLIER]]*MBQ[[#This Row],[QTY]]</f>
        <v>0</v>
      </c>
      <c r="V781" s="9">
        <f>MBQ[[#This Row],[HEIGHT (mm)]]/1000*MBQ[[#This Row],[WIDTH (mm)]]/1000*MBQ[[#This Row],[QTY TOTAL]]</f>
        <v>0</v>
      </c>
      <c r="W781" s="287">
        <f>ROUNDUP(MBQ[[#This Row],[HEIGHT (mm)]]/450*MBQ[[#This Row],[QTY]]*2,0)+ROUNDUP(MBQ[[#This Row],[WIDTH (mm)]]/450*MBQ[[#This Row],[QTY]]*2,0)</f>
        <v>0</v>
      </c>
    </row>
    <row r="782" spans="1:23" hidden="1">
      <c r="A782" s="258">
        <v>1</v>
      </c>
      <c r="B782" s="259"/>
      <c r="C782" s="233"/>
      <c r="D782" s="260"/>
      <c r="E782" s="260"/>
      <c r="F782" s="261"/>
      <c r="G782" s="262"/>
      <c r="H782" s="262"/>
      <c r="I782" s="260"/>
      <c r="J782" s="233"/>
      <c r="K782" s="263"/>
      <c r="L782" s="260"/>
      <c r="M782" s="263"/>
      <c r="N782" s="263"/>
      <c r="O782" s="264"/>
      <c r="P782" s="264"/>
      <c r="Q782" s="265"/>
      <c r="R782" s="30">
        <f>MBQ[[#This Row],[HEIGHT (mm)]]*MBQ[[#This Row],[QTY TOTAL]]/1000</f>
        <v>0</v>
      </c>
      <c r="S782" s="30">
        <f>MBQ[[#This Row],[WIDTH (mm)]]*MBQ[[#This Row],[QTY TOTAL]]/1000</f>
        <v>0</v>
      </c>
      <c r="T782" s="9">
        <f>(MBQ[[#This Row],[HEIGHT (mm)]]+MBQ[[#This Row],[WIDTH (mm)]])/1000*2*MBQ[[#This Row],[QTY TOTAL]]</f>
        <v>0</v>
      </c>
      <c r="U782" s="266">
        <f>MBQ[[#This Row],[MULTIPLIER]]*MBQ[[#This Row],[QTY]]</f>
        <v>0</v>
      </c>
      <c r="V782" s="9">
        <f>MBQ[[#This Row],[HEIGHT (mm)]]/1000*MBQ[[#This Row],[WIDTH (mm)]]/1000*MBQ[[#This Row],[QTY TOTAL]]</f>
        <v>0</v>
      </c>
      <c r="W782" s="287">
        <f>ROUNDUP(MBQ[[#This Row],[HEIGHT (mm)]]/450*MBQ[[#This Row],[QTY]]*2,0)+ROUNDUP(MBQ[[#This Row],[WIDTH (mm)]]/450*MBQ[[#This Row],[QTY]]*2,0)</f>
        <v>0</v>
      </c>
    </row>
    <row r="783" spans="1:23" hidden="1">
      <c r="A783" s="258">
        <v>1</v>
      </c>
      <c r="B783" s="259"/>
      <c r="C783" s="233"/>
      <c r="D783" s="260"/>
      <c r="E783" s="260"/>
      <c r="F783" s="261"/>
      <c r="G783" s="262"/>
      <c r="H783" s="262"/>
      <c r="I783" s="260"/>
      <c r="J783" s="233"/>
      <c r="K783" s="263"/>
      <c r="L783" s="260"/>
      <c r="M783" s="263"/>
      <c r="N783" s="263"/>
      <c r="O783" s="264"/>
      <c r="P783" s="264"/>
      <c r="Q783" s="265"/>
      <c r="R783" s="30">
        <f>MBQ[[#This Row],[HEIGHT (mm)]]*MBQ[[#This Row],[QTY TOTAL]]/1000</f>
        <v>0</v>
      </c>
      <c r="S783" s="30">
        <f>MBQ[[#This Row],[WIDTH (mm)]]*MBQ[[#This Row],[QTY TOTAL]]/1000</f>
        <v>0</v>
      </c>
      <c r="T783" s="9">
        <f>(MBQ[[#This Row],[HEIGHT (mm)]]+MBQ[[#This Row],[WIDTH (mm)]])/1000*2*MBQ[[#This Row],[QTY TOTAL]]</f>
        <v>0</v>
      </c>
      <c r="U783" s="266">
        <f>MBQ[[#This Row],[MULTIPLIER]]*MBQ[[#This Row],[QTY]]</f>
        <v>0</v>
      </c>
      <c r="V783" s="9">
        <f>MBQ[[#This Row],[HEIGHT (mm)]]/1000*MBQ[[#This Row],[WIDTH (mm)]]/1000*MBQ[[#This Row],[QTY TOTAL]]</f>
        <v>0</v>
      </c>
      <c r="W783" s="287">
        <f>ROUNDUP(MBQ[[#This Row],[HEIGHT (mm)]]/450*MBQ[[#This Row],[QTY]]*2,0)+ROUNDUP(MBQ[[#This Row],[WIDTH (mm)]]/450*MBQ[[#This Row],[QTY]]*2,0)</f>
        <v>0</v>
      </c>
    </row>
    <row r="784" spans="1:23" hidden="1">
      <c r="A784" s="258">
        <v>1</v>
      </c>
      <c r="B784" s="259"/>
      <c r="C784" s="233"/>
      <c r="D784" s="260"/>
      <c r="E784" s="260"/>
      <c r="F784" s="261"/>
      <c r="G784" s="262"/>
      <c r="H784" s="262"/>
      <c r="I784" s="260"/>
      <c r="J784" s="233"/>
      <c r="K784" s="263"/>
      <c r="L784" s="260"/>
      <c r="M784" s="263"/>
      <c r="N784" s="263"/>
      <c r="O784" s="264"/>
      <c r="P784" s="264"/>
      <c r="Q784" s="265"/>
      <c r="R784" s="30">
        <f>MBQ[[#This Row],[HEIGHT (mm)]]*MBQ[[#This Row],[QTY TOTAL]]/1000</f>
        <v>0</v>
      </c>
      <c r="S784" s="30">
        <f>MBQ[[#This Row],[WIDTH (mm)]]*MBQ[[#This Row],[QTY TOTAL]]/1000</f>
        <v>0</v>
      </c>
      <c r="T784" s="9">
        <f>(MBQ[[#This Row],[HEIGHT (mm)]]+MBQ[[#This Row],[WIDTH (mm)]])/1000*2*MBQ[[#This Row],[QTY TOTAL]]</f>
        <v>0</v>
      </c>
      <c r="U784" s="266">
        <f>MBQ[[#This Row],[MULTIPLIER]]*MBQ[[#This Row],[QTY]]</f>
        <v>0</v>
      </c>
      <c r="V784" s="9">
        <f>MBQ[[#This Row],[HEIGHT (mm)]]/1000*MBQ[[#This Row],[WIDTH (mm)]]/1000*MBQ[[#This Row],[QTY TOTAL]]</f>
        <v>0</v>
      </c>
      <c r="W784" s="287">
        <f>ROUNDUP(MBQ[[#This Row],[HEIGHT (mm)]]/450*MBQ[[#This Row],[QTY]]*2,0)+ROUNDUP(MBQ[[#This Row],[WIDTH (mm)]]/450*MBQ[[#This Row],[QTY]]*2,0)</f>
        <v>0</v>
      </c>
    </row>
    <row r="785" spans="1:23" hidden="1">
      <c r="A785" s="258">
        <v>1</v>
      </c>
      <c r="B785" s="259"/>
      <c r="C785" s="233"/>
      <c r="D785" s="260"/>
      <c r="E785" s="260"/>
      <c r="F785" s="261"/>
      <c r="G785" s="262"/>
      <c r="H785" s="262"/>
      <c r="I785" s="260"/>
      <c r="J785" s="233"/>
      <c r="K785" s="263"/>
      <c r="L785" s="260"/>
      <c r="M785" s="263"/>
      <c r="N785" s="263"/>
      <c r="O785" s="264"/>
      <c r="P785" s="264"/>
      <c r="Q785" s="265"/>
      <c r="R785" s="30">
        <f>MBQ[[#This Row],[HEIGHT (mm)]]*MBQ[[#This Row],[QTY TOTAL]]/1000</f>
        <v>0</v>
      </c>
      <c r="S785" s="30">
        <f>MBQ[[#This Row],[WIDTH (mm)]]*MBQ[[#This Row],[QTY TOTAL]]/1000</f>
        <v>0</v>
      </c>
      <c r="T785" s="9">
        <f>(MBQ[[#This Row],[HEIGHT (mm)]]+MBQ[[#This Row],[WIDTH (mm)]])/1000*2*MBQ[[#This Row],[QTY TOTAL]]</f>
        <v>0</v>
      </c>
      <c r="U785" s="266">
        <f>MBQ[[#This Row],[MULTIPLIER]]*MBQ[[#This Row],[QTY]]</f>
        <v>0</v>
      </c>
      <c r="V785" s="9">
        <f>MBQ[[#This Row],[HEIGHT (mm)]]/1000*MBQ[[#This Row],[WIDTH (mm)]]/1000*MBQ[[#This Row],[QTY TOTAL]]</f>
        <v>0</v>
      </c>
      <c r="W785" s="287">
        <f>ROUNDUP(MBQ[[#This Row],[HEIGHT (mm)]]/450*MBQ[[#This Row],[QTY]]*2,0)+ROUNDUP(MBQ[[#This Row],[WIDTH (mm)]]/450*MBQ[[#This Row],[QTY]]*2,0)</f>
        <v>0</v>
      </c>
    </row>
    <row r="786" spans="1:23" hidden="1">
      <c r="A786" s="258">
        <v>1</v>
      </c>
      <c r="B786" s="259"/>
      <c r="C786" s="233"/>
      <c r="D786" s="260"/>
      <c r="E786" s="260"/>
      <c r="F786" s="261"/>
      <c r="G786" s="262"/>
      <c r="H786" s="262"/>
      <c r="I786" s="260"/>
      <c r="J786" s="233"/>
      <c r="K786" s="263"/>
      <c r="L786" s="260"/>
      <c r="M786" s="263"/>
      <c r="N786" s="263"/>
      <c r="O786" s="264"/>
      <c r="P786" s="264"/>
      <c r="Q786" s="265"/>
      <c r="R786" s="30">
        <f>MBQ[[#This Row],[HEIGHT (mm)]]*MBQ[[#This Row],[QTY TOTAL]]/1000</f>
        <v>0</v>
      </c>
      <c r="S786" s="30">
        <f>MBQ[[#This Row],[WIDTH (mm)]]*MBQ[[#This Row],[QTY TOTAL]]/1000</f>
        <v>0</v>
      </c>
      <c r="T786" s="9">
        <f>(MBQ[[#This Row],[HEIGHT (mm)]]+MBQ[[#This Row],[WIDTH (mm)]])/1000*2*MBQ[[#This Row],[QTY TOTAL]]</f>
        <v>0</v>
      </c>
      <c r="U786" s="266">
        <f>MBQ[[#This Row],[MULTIPLIER]]*MBQ[[#This Row],[QTY]]</f>
        <v>0</v>
      </c>
      <c r="V786" s="9">
        <f>MBQ[[#This Row],[HEIGHT (mm)]]/1000*MBQ[[#This Row],[WIDTH (mm)]]/1000*MBQ[[#This Row],[QTY TOTAL]]</f>
        <v>0</v>
      </c>
      <c r="W786" s="287">
        <f>ROUNDUP(MBQ[[#This Row],[HEIGHT (mm)]]/450*MBQ[[#This Row],[QTY]]*2,0)+ROUNDUP(MBQ[[#This Row],[WIDTH (mm)]]/450*MBQ[[#This Row],[QTY]]*2,0)</f>
        <v>0</v>
      </c>
    </row>
    <row r="787" spans="1:23" hidden="1">
      <c r="A787" s="258">
        <v>1</v>
      </c>
      <c r="B787" s="259"/>
      <c r="C787" s="233"/>
      <c r="D787" s="260"/>
      <c r="E787" s="260"/>
      <c r="F787" s="261"/>
      <c r="G787" s="262"/>
      <c r="H787" s="262"/>
      <c r="I787" s="260"/>
      <c r="J787" s="233"/>
      <c r="K787" s="263"/>
      <c r="L787" s="260"/>
      <c r="M787" s="263"/>
      <c r="N787" s="263"/>
      <c r="O787" s="264"/>
      <c r="P787" s="264"/>
      <c r="Q787" s="265"/>
      <c r="R787" s="30">
        <f>MBQ[[#This Row],[HEIGHT (mm)]]*MBQ[[#This Row],[QTY TOTAL]]/1000</f>
        <v>0</v>
      </c>
      <c r="S787" s="30">
        <f>MBQ[[#This Row],[WIDTH (mm)]]*MBQ[[#This Row],[QTY TOTAL]]/1000</f>
        <v>0</v>
      </c>
      <c r="T787" s="9">
        <f>(MBQ[[#This Row],[HEIGHT (mm)]]+MBQ[[#This Row],[WIDTH (mm)]])/1000*2*MBQ[[#This Row],[QTY TOTAL]]</f>
        <v>0</v>
      </c>
      <c r="U787" s="266">
        <f>MBQ[[#This Row],[MULTIPLIER]]*MBQ[[#This Row],[QTY]]</f>
        <v>0</v>
      </c>
      <c r="V787" s="9">
        <f>MBQ[[#This Row],[HEIGHT (mm)]]/1000*MBQ[[#This Row],[WIDTH (mm)]]/1000*MBQ[[#This Row],[QTY TOTAL]]</f>
        <v>0</v>
      </c>
      <c r="W787" s="287">
        <f>ROUNDUP(MBQ[[#This Row],[HEIGHT (mm)]]/450*MBQ[[#This Row],[QTY]]*2,0)+ROUNDUP(MBQ[[#This Row],[WIDTH (mm)]]/450*MBQ[[#This Row],[QTY]]*2,0)</f>
        <v>0</v>
      </c>
    </row>
    <row r="788" spans="1:23" hidden="1">
      <c r="A788" s="258">
        <v>1</v>
      </c>
      <c r="B788" s="259"/>
      <c r="C788" s="233"/>
      <c r="D788" s="260"/>
      <c r="E788" s="260"/>
      <c r="F788" s="261"/>
      <c r="G788" s="262"/>
      <c r="H788" s="262"/>
      <c r="I788" s="260"/>
      <c r="J788" s="233"/>
      <c r="K788" s="263"/>
      <c r="L788" s="260"/>
      <c r="M788" s="263"/>
      <c r="N788" s="263"/>
      <c r="O788" s="264"/>
      <c r="P788" s="264"/>
      <c r="Q788" s="265"/>
      <c r="R788" s="30">
        <f>MBQ[[#This Row],[HEIGHT (mm)]]*MBQ[[#This Row],[QTY TOTAL]]/1000</f>
        <v>0</v>
      </c>
      <c r="S788" s="30">
        <f>MBQ[[#This Row],[WIDTH (mm)]]*MBQ[[#This Row],[QTY TOTAL]]/1000</f>
        <v>0</v>
      </c>
      <c r="T788" s="9">
        <f>(MBQ[[#This Row],[HEIGHT (mm)]]+MBQ[[#This Row],[WIDTH (mm)]])/1000*2*MBQ[[#This Row],[QTY TOTAL]]</f>
        <v>0</v>
      </c>
      <c r="U788" s="266">
        <f>MBQ[[#This Row],[MULTIPLIER]]*MBQ[[#This Row],[QTY]]</f>
        <v>0</v>
      </c>
      <c r="V788" s="9">
        <f>MBQ[[#This Row],[HEIGHT (mm)]]/1000*MBQ[[#This Row],[WIDTH (mm)]]/1000*MBQ[[#This Row],[QTY TOTAL]]</f>
        <v>0</v>
      </c>
      <c r="W788" s="287">
        <f>ROUNDUP(MBQ[[#This Row],[HEIGHT (mm)]]/450*MBQ[[#This Row],[QTY]]*2,0)+ROUNDUP(MBQ[[#This Row],[WIDTH (mm)]]/450*MBQ[[#This Row],[QTY]]*2,0)</f>
        <v>0</v>
      </c>
    </row>
    <row r="789" spans="1:23" hidden="1">
      <c r="A789" s="258">
        <v>1</v>
      </c>
      <c r="B789" s="259"/>
      <c r="C789" s="233"/>
      <c r="D789" s="260"/>
      <c r="E789" s="260"/>
      <c r="F789" s="261"/>
      <c r="G789" s="262"/>
      <c r="H789" s="262"/>
      <c r="I789" s="260"/>
      <c r="J789" s="233"/>
      <c r="K789" s="263"/>
      <c r="L789" s="260"/>
      <c r="M789" s="263"/>
      <c r="N789" s="263"/>
      <c r="O789" s="264"/>
      <c r="P789" s="264"/>
      <c r="Q789" s="265"/>
      <c r="R789" s="30">
        <f>MBQ[[#This Row],[HEIGHT (mm)]]*MBQ[[#This Row],[QTY TOTAL]]/1000</f>
        <v>0</v>
      </c>
      <c r="S789" s="30">
        <f>MBQ[[#This Row],[WIDTH (mm)]]*MBQ[[#This Row],[QTY TOTAL]]/1000</f>
        <v>0</v>
      </c>
      <c r="T789" s="9">
        <f>(MBQ[[#This Row],[HEIGHT (mm)]]+MBQ[[#This Row],[WIDTH (mm)]])/1000*2*MBQ[[#This Row],[QTY TOTAL]]</f>
        <v>0</v>
      </c>
      <c r="U789" s="266">
        <f>MBQ[[#This Row],[MULTIPLIER]]*MBQ[[#This Row],[QTY]]</f>
        <v>0</v>
      </c>
      <c r="V789" s="9">
        <f>MBQ[[#This Row],[HEIGHT (mm)]]/1000*MBQ[[#This Row],[WIDTH (mm)]]/1000*MBQ[[#This Row],[QTY TOTAL]]</f>
        <v>0</v>
      </c>
      <c r="W789" s="287">
        <f>ROUNDUP(MBQ[[#This Row],[HEIGHT (mm)]]/450*MBQ[[#This Row],[QTY]]*2,0)+ROUNDUP(MBQ[[#This Row],[WIDTH (mm)]]/450*MBQ[[#This Row],[QTY]]*2,0)</f>
        <v>0</v>
      </c>
    </row>
    <row r="790" spans="1:23" hidden="1">
      <c r="A790" s="258">
        <v>1</v>
      </c>
      <c r="B790" s="259"/>
      <c r="C790" s="233"/>
      <c r="D790" s="260"/>
      <c r="E790" s="260"/>
      <c r="F790" s="261"/>
      <c r="G790" s="262"/>
      <c r="H790" s="262"/>
      <c r="I790" s="260"/>
      <c r="J790" s="233"/>
      <c r="K790" s="263"/>
      <c r="L790" s="260"/>
      <c r="M790" s="263"/>
      <c r="N790" s="263"/>
      <c r="O790" s="264"/>
      <c r="P790" s="264"/>
      <c r="Q790" s="265"/>
      <c r="R790" s="30">
        <f>MBQ[[#This Row],[HEIGHT (mm)]]*MBQ[[#This Row],[QTY TOTAL]]/1000</f>
        <v>0</v>
      </c>
      <c r="S790" s="30">
        <f>MBQ[[#This Row],[WIDTH (mm)]]*MBQ[[#This Row],[QTY TOTAL]]/1000</f>
        <v>0</v>
      </c>
      <c r="T790" s="9">
        <f>(MBQ[[#This Row],[HEIGHT (mm)]]+MBQ[[#This Row],[WIDTH (mm)]])/1000*2*MBQ[[#This Row],[QTY TOTAL]]</f>
        <v>0</v>
      </c>
      <c r="U790" s="266">
        <f>MBQ[[#This Row],[MULTIPLIER]]*MBQ[[#This Row],[QTY]]</f>
        <v>0</v>
      </c>
      <c r="V790" s="9">
        <f>MBQ[[#This Row],[HEIGHT (mm)]]/1000*MBQ[[#This Row],[WIDTH (mm)]]/1000*MBQ[[#This Row],[QTY TOTAL]]</f>
        <v>0</v>
      </c>
      <c r="W790" s="287">
        <f>ROUNDUP(MBQ[[#This Row],[HEIGHT (mm)]]/450*MBQ[[#This Row],[QTY]]*2,0)+ROUNDUP(MBQ[[#This Row],[WIDTH (mm)]]/450*MBQ[[#This Row],[QTY]]*2,0)</f>
        <v>0</v>
      </c>
    </row>
    <row r="791" spans="1:23" hidden="1">
      <c r="A791" s="258">
        <v>1</v>
      </c>
      <c r="B791" s="259"/>
      <c r="C791" s="233"/>
      <c r="D791" s="260"/>
      <c r="E791" s="260"/>
      <c r="F791" s="261"/>
      <c r="G791" s="262"/>
      <c r="H791" s="262"/>
      <c r="I791" s="260"/>
      <c r="J791" s="233"/>
      <c r="K791" s="263"/>
      <c r="L791" s="260"/>
      <c r="M791" s="263"/>
      <c r="N791" s="263"/>
      <c r="O791" s="264"/>
      <c r="P791" s="264"/>
      <c r="Q791" s="265"/>
      <c r="R791" s="30">
        <f>MBQ[[#This Row],[HEIGHT (mm)]]*MBQ[[#This Row],[QTY TOTAL]]/1000</f>
        <v>0</v>
      </c>
      <c r="S791" s="30">
        <f>MBQ[[#This Row],[WIDTH (mm)]]*MBQ[[#This Row],[QTY TOTAL]]/1000</f>
        <v>0</v>
      </c>
      <c r="T791" s="9">
        <f>(MBQ[[#This Row],[HEIGHT (mm)]]+MBQ[[#This Row],[WIDTH (mm)]])/1000*2*MBQ[[#This Row],[QTY TOTAL]]</f>
        <v>0</v>
      </c>
      <c r="U791" s="266">
        <f>MBQ[[#This Row],[MULTIPLIER]]*MBQ[[#This Row],[QTY]]</f>
        <v>0</v>
      </c>
      <c r="V791" s="9">
        <f>MBQ[[#This Row],[HEIGHT (mm)]]/1000*MBQ[[#This Row],[WIDTH (mm)]]/1000*MBQ[[#This Row],[QTY TOTAL]]</f>
        <v>0</v>
      </c>
      <c r="W791" s="287">
        <f>ROUNDUP(MBQ[[#This Row],[HEIGHT (mm)]]/450*MBQ[[#This Row],[QTY]]*2,0)+ROUNDUP(MBQ[[#This Row],[WIDTH (mm)]]/450*MBQ[[#This Row],[QTY]]*2,0)</f>
        <v>0</v>
      </c>
    </row>
    <row r="792" spans="1:23" hidden="1">
      <c r="A792" s="258">
        <v>1</v>
      </c>
      <c r="B792" s="259"/>
      <c r="C792" s="233"/>
      <c r="D792" s="260"/>
      <c r="E792" s="260"/>
      <c r="F792" s="261"/>
      <c r="G792" s="262"/>
      <c r="H792" s="262"/>
      <c r="I792" s="260"/>
      <c r="J792" s="233"/>
      <c r="K792" s="263"/>
      <c r="L792" s="260"/>
      <c r="M792" s="263"/>
      <c r="N792" s="263"/>
      <c r="O792" s="264"/>
      <c r="P792" s="264"/>
      <c r="Q792" s="265"/>
      <c r="R792" s="30">
        <f>MBQ[[#This Row],[HEIGHT (mm)]]*MBQ[[#This Row],[QTY TOTAL]]/1000</f>
        <v>0</v>
      </c>
      <c r="S792" s="30">
        <f>MBQ[[#This Row],[WIDTH (mm)]]*MBQ[[#This Row],[QTY TOTAL]]/1000</f>
        <v>0</v>
      </c>
      <c r="T792" s="9">
        <f>(MBQ[[#This Row],[HEIGHT (mm)]]+MBQ[[#This Row],[WIDTH (mm)]])/1000*2*MBQ[[#This Row],[QTY TOTAL]]</f>
        <v>0</v>
      </c>
      <c r="U792" s="266">
        <f>MBQ[[#This Row],[MULTIPLIER]]*MBQ[[#This Row],[QTY]]</f>
        <v>0</v>
      </c>
      <c r="V792" s="9">
        <f>MBQ[[#This Row],[HEIGHT (mm)]]/1000*MBQ[[#This Row],[WIDTH (mm)]]/1000*MBQ[[#This Row],[QTY TOTAL]]</f>
        <v>0</v>
      </c>
      <c r="W792" s="287">
        <f>ROUNDUP(MBQ[[#This Row],[HEIGHT (mm)]]/450*MBQ[[#This Row],[QTY]]*2,0)+ROUNDUP(MBQ[[#This Row],[WIDTH (mm)]]/450*MBQ[[#This Row],[QTY]]*2,0)</f>
        <v>0</v>
      </c>
    </row>
    <row r="793" spans="1:23" hidden="1">
      <c r="A793" s="258">
        <v>1</v>
      </c>
      <c r="B793" s="259"/>
      <c r="C793" s="233"/>
      <c r="D793" s="260"/>
      <c r="E793" s="260"/>
      <c r="F793" s="261"/>
      <c r="G793" s="262"/>
      <c r="H793" s="262"/>
      <c r="I793" s="260"/>
      <c r="J793" s="233"/>
      <c r="K793" s="263"/>
      <c r="L793" s="260"/>
      <c r="M793" s="263"/>
      <c r="N793" s="263"/>
      <c r="O793" s="264"/>
      <c r="P793" s="264"/>
      <c r="Q793" s="265"/>
      <c r="R793" s="30">
        <f>MBQ[[#This Row],[HEIGHT (mm)]]*MBQ[[#This Row],[QTY TOTAL]]/1000</f>
        <v>0</v>
      </c>
      <c r="S793" s="30">
        <f>MBQ[[#This Row],[WIDTH (mm)]]*MBQ[[#This Row],[QTY TOTAL]]/1000</f>
        <v>0</v>
      </c>
      <c r="T793" s="9">
        <f>(MBQ[[#This Row],[HEIGHT (mm)]]+MBQ[[#This Row],[WIDTH (mm)]])/1000*2*MBQ[[#This Row],[QTY TOTAL]]</f>
        <v>0</v>
      </c>
      <c r="U793" s="266">
        <f>MBQ[[#This Row],[MULTIPLIER]]*MBQ[[#This Row],[QTY]]</f>
        <v>0</v>
      </c>
      <c r="V793" s="9">
        <f>MBQ[[#This Row],[HEIGHT (mm)]]/1000*MBQ[[#This Row],[WIDTH (mm)]]/1000*MBQ[[#This Row],[QTY TOTAL]]</f>
        <v>0</v>
      </c>
      <c r="W793" s="287">
        <f>ROUNDUP(MBQ[[#This Row],[HEIGHT (mm)]]/450*MBQ[[#This Row],[QTY]]*2,0)+ROUNDUP(MBQ[[#This Row],[WIDTH (mm)]]/450*MBQ[[#This Row],[QTY]]*2,0)</f>
        <v>0</v>
      </c>
    </row>
    <row r="794" spans="1:23" hidden="1">
      <c r="A794" s="258">
        <v>1</v>
      </c>
      <c r="B794" s="259"/>
      <c r="C794" s="233"/>
      <c r="D794" s="260"/>
      <c r="E794" s="260"/>
      <c r="F794" s="261"/>
      <c r="G794" s="262"/>
      <c r="H794" s="262"/>
      <c r="I794" s="260"/>
      <c r="J794" s="233"/>
      <c r="K794" s="263"/>
      <c r="L794" s="260"/>
      <c r="M794" s="263"/>
      <c r="N794" s="263"/>
      <c r="O794" s="264"/>
      <c r="P794" s="264"/>
      <c r="Q794" s="265"/>
      <c r="R794" s="30">
        <f>MBQ[[#This Row],[HEIGHT (mm)]]*MBQ[[#This Row],[QTY TOTAL]]/1000</f>
        <v>0</v>
      </c>
      <c r="S794" s="30">
        <f>MBQ[[#This Row],[WIDTH (mm)]]*MBQ[[#This Row],[QTY TOTAL]]/1000</f>
        <v>0</v>
      </c>
      <c r="T794" s="9">
        <f>(MBQ[[#This Row],[HEIGHT (mm)]]+MBQ[[#This Row],[WIDTH (mm)]])/1000*2*MBQ[[#This Row],[QTY TOTAL]]</f>
        <v>0</v>
      </c>
      <c r="U794" s="266">
        <f>MBQ[[#This Row],[MULTIPLIER]]*MBQ[[#This Row],[QTY]]</f>
        <v>0</v>
      </c>
      <c r="V794" s="9">
        <f>MBQ[[#This Row],[HEIGHT (mm)]]/1000*MBQ[[#This Row],[WIDTH (mm)]]/1000*MBQ[[#This Row],[QTY TOTAL]]</f>
        <v>0</v>
      </c>
      <c r="W794" s="287">
        <f>ROUNDUP(MBQ[[#This Row],[HEIGHT (mm)]]/450*MBQ[[#This Row],[QTY]]*2,0)+ROUNDUP(MBQ[[#This Row],[WIDTH (mm)]]/450*MBQ[[#This Row],[QTY]]*2,0)</f>
        <v>0</v>
      </c>
    </row>
    <row r="795" spans="1:23" hidden="1">
      <c r="A795" s="258">
        <v>1</v>
      </c>
      <c r="B795" s="259"/>
      <c r="C795" s="233"/>
      <c r="D795" s="260"/>
      <c r="E795" s="260"/>
      <c r="F795" s="261"/>
      <c r="G795" s="262"/>
      <c r="H795" s="262"/>
      <c r="I795" s="260"/>
      <c r="J795" s="233"/>
      <c r="K795" s="263"/>
      <c r="L795" s="260"/>
      <c r="M795" s="263"/>
      <c r="N795" s="263"/>
      <c r="O795" s="264"/>
      <c r="P795" s="264"/>
      <c r="Q795" s="265"/>
      <c r="R795" s="30">
        <f>MBQ[[#This Row],[HEIGHT (mm)]]*MBQ[[#This Row],[QTY TOTAL]]/1000</f>
        <v>0</v>
      </c>
      <c r="S795" s="30">
        <f>MBQ[[#This Row],[WIDTH (mm)]]*MBQ[[#This Row],[QTY TOTAL]]/1000</f>
        <v>0</v>
      </c>
      <c r="T795" s="9">
        <f>(MBQ[[#This Row],[HEIGHT (mm)]]+MBQ[[#This Row],[WIDTH (mm)]])/1000*2*MBQ[[#This Row],[QTY TOTAL]]</f>
        <v>0</v>
      </c>
      <c r="U795" s="266">
        <f>MBQ[[#This Row],[MULTIPLIER]]*MBQ[[#This Row],[QTY]]</f>
        <v>0</v>
      </c>
      <c r="V795" s="9">
        <f>MBQ[[#This Row],[HEIGHT (mm)]]/1000*MBQ[[#This Row],[WIDTH (mm)]]/1000*MBQ[[#This Row],[QTY TOTAL]]</f>
        <v>0</v>
      </c>
      <c r="W795" s="287">
        <f>ROUNDUP(MBQ[[#This Row],[HEIGHT (mm)]]/450*MBQ[[#This Row],[QTY]]*2,0)+ROUNDUP(MBQ[[#This Row],[WIDTH (mm)]]/450*MBQ[[#This Row],[QTY]]*2,0)</f>
        <v>0</v>
      </c>
    </row>
    <row r="796" spans="1:23" hidden="1">
      <c r="A796" s="258">
        <v>1</v>
      </c>
      <c r="B796" s="259"/>
      <c r="C796" s="233"/>
      <c r="D796" s="260"/>
      <c r="E796" s="260"/>
      <c r="F796" s="261"/>
      <c r="G796" s="262"/>
      <c r="H796" s="262"/>
      <c r="I796" s="260"/>
      <c r="J796" s="233"/>
      <c r="K796" s="263"/>
      <c r="L796" s="260"/>
      <c r="M796" s="263"/>
      <c r="N796" s="263"/>
      <c r="O796" s="264"/>
      <c r="P796" s="264"/>
      <c r="Q796" s="265"/>
      <c r="R796" s="30">
        <f>MBQ[[#This Row],[HEIGHT (mm)]]*MBQ[[#This Row],[QTY TOTAL]]/1000</f>
        <v>0</v>
      </c>
      <c r="S796" s="30">
        <f>MBQ[[#This Row],[WIDTH (mm)]]*MBQ[[#This Row],[QTY TOTAL]]/1000</f>
        <v>0</v>
      </c>
      <c r="T796" s="9">
        <f>(MBQ[[#This Row],[HEIGHT (mm)]]+MBQ[[#This Row],[WIDTH (mm)]])/1000*2*MBQ[[#This Row],[QTY TOTAL]]</f>
        <v>0</v>
      </c>
      <c r="U796" s="266">
        <f>MBQ[[#This Row],[MULTIPLIER]]*MBQ[[#This Row],[QTY]]</f>
        <v>0</v>
      </c>
      <c r="V796" s="9">
        <f>MBQ[[#This Row],[HEIGHT (mm)]]/1000*MBQ[[#This Row],[WIDTH (mm)]]/1000*MBQ[[#This Row],[QTY TOTAL]]</f>
        <v>0</v>
      </c>
      <c r="W796" s="287">
        <f>ROUNDUP(MBQ[[#This Row],[HEIGHT (mm)]]/450*MBQ[[#This Row],[QTY]]*2,0)+ROUNDUP(MBQ[[#This Row],[WIDTH (mm)]]/450*MBQ[[#This Row],[QTY]]*2,0)</f>
        <v>0</v>
      </c>
    </row>
    <row r="797" spans="1:23" hidden="1">
      <c r="A797" s="258">
        <v>1</v>
      </c>
      <c r="B797" s="259"/>
      <c r="C797" s="233"/>
      <c r="D797" s="260"/>
      <c r="E797" s="260"/>
      <c r="F797" s="261"/>
      <c r="G797" s="262"/>
      <c r="H797" s="262"/>
      <c r="I797" s="260"/>
      <c r="J797" s="233"/>
      <c r="K797" s="263"/>
      <c r="L797" s="260"/>
      <c r="M797" s="263"/>
      <c r="N797" s="263"/>
      <c r="O797" s="264"/>
      <c r="P797" s="264"/>
      <c r="Q797" s="265"/>
      <c r="R797" s="30">
        <f>MBQ[[#This Row],[HEIGHT (mm)]]*MBQ[[#This Row],[QTY TOTAL]]/1000</f>
        <v>0</v>
      </c>
      <c r="S797" s="30">
        <f>MBQ[[#This Row],[WIDTH (mm)]]*MBQ[[#This Row],[QTY TOTAL]]/1000</f>
        <v>0</v>
      </c>
      <c r="T797" s="9">
        <f>(MBQ[[#This Row],[HEIGHT (mm)]]+MBQ[[#This Row],[WIDTH (mm)]])/1000*2*MBQ[[#This Row],[QTY TOTAL]]</f>
        <v>0</v>
      </c>
      <c r="U797" s="266">
        <f>MBQ[[#This Row],[MULTIPLIER]]*MBQ[[#This Row],[QTY]]</f>
        <v>0</v>
      </c>
      <c r="V797" s="9">
        <f>MBQ[[#This Row],[HEIGHT (mm)]]/1000*MBQ[[#This Row],[WIDTH (mm)]]/1000*MBQ[[#This Row],[QTY TOTAL]]</f>
        <v>0</v>
      </c>
      <c r="W797" s="287">
        <f>ROUNDUP(MBQ[[#This Row],[HEIGHT (mm)]]/450*MBQ[[#This Row],[QTY]]*2,0)+ROUNDUP(MBQ[[#This Row],[WIDTH (mm)]]/450*MBQ[[#This Row],[QTY]]*2,0)</f>
        <v>0</v>
      </c>
    </row>
    <row r="798" spans="1:23" hidden="1">
      <c r="A798" s="258">
        <v>1</v>
      </c>
      <c r="B798" s="259"/>
      <c r="C798" s="233"/>
      <c r="D798" s="260"/>
      <c r="E798" s="260"/>
      <c r="F798" s="261"/>
      <c r="G798" s="262"/>
      <c r="H798" s="262"/>
      <c r="I798" s="260"/>
      <c r="J798" s="233"/>
      <c r="K798" s="263"/>
      <c r="L798" s="260"/>
      <c r="M798" s="263"/>
      <c r="N798" s="263"/>
      <c r="O798" s="264"/>
      <c r="P798" s="264"/>
      <c r="Q798" s="265"/>
      <c r="R798" s="30">
        <f>MBQ[[#This Row],[HEIGHT (mm)]]*MBQ[[#This Row],[QTY TOTAL]]/1000</f>
        <v>0</v>
      </c>
      <c r="S798" s="30">
        <f>MBQ[[#This Row],[WIDTH (mm)]]*MBQ[[#This Row],[QTY TOTAL]]/1000</f>
        <v>0</v>
      </c>
      <c r="T798" s="9">
        <f>(MBQ[[#This Row],[HEIGHT (mm)]]+MBQ[[#This Row],[WIDTH (mm)]])/1000*2*MBQ[[#This Row],[QTY TOTAL]]</f>
        <v>0</v>
      </c>
      <c r="U798" s="266">
        <f>MBQ[[#This Row],[MULTIPLIER]]*MBQ[[#This Row],[QTY]]</f>
        <v>0</v>
      </c>
      <c r="V798" s="9">
        <f>MBQ[[#This Row],[HEIGHT (mm)]]/1000*MBQ[[#This Row],[WIDTH (mm)]]/1000*MBQ[[#This Row],[QTY TOTAL]]</f>
        <v>0</v>
      </c>
      <c r="W798" s="287">
        <f>ROUNDUP(MBQ[[#This Row],[HEIGHT (mm)]]/450*MBQ[[#This Row],[QTY]]*2,0)+ROUNDUP(MBQ[[#This Row],[WIDTH (mm)]]/450*MBQ[[#This Row],[QTY]]*2,0)</f>
        <v>0</v>
      </c>
    </row>
    <row r="799" spans="1:23" hidden="1">
      <c r="A799" s="258">
        <v>1</v>
      </c>
      <c r="B799" s="259"/>
      <c r="C799" s="233"/>
      <c r="D799" s="260"/>
      <c r="E799" s="260"/>
      <c r="F799" s="261"/>
      <c r="G799" s="262"/>
      <c r="H799" s="262"/>
      <c r="I799" s="260"/>
      <c r="J799" s="233"/>
      <c r="K799" s="263"/>
      <c r="L799" s="260"/>
      <c r="M799" s="263"/>
      <c r="N799" s="263"/>
      <c r="O799" s="264"/>
      <c r="P799" s="264"/>
      <c r="Q799" s="265"/>
      <c r="R799" s="30">
        <f>MBQ[[#This Row],[HEIGHT (mm)]]*MBQ[[#This Row],[QTY TOTAL]]/1000</f>
        <v>0</v>
      </c>
      <c r="S799" s="30">
        <f>MBQ[[#This Row],[WIDTH (mm)]]*MBQ[[#This Row],[QTY TOTAL]]/1000</f>
        <v>0</v>
      </c>
      <c r="T799" s="9">
        <f>(MBQ[[#This Row],[HEIGHT (mm)]]+MBQ[[#This Row],[WIDTH (mm)]])/1000*2*MBQ[[#This Row],[QTY TOTAL]]</f>
        <v>0</v>
      </c>
      <c r="U799" s="266">
        <f>MBQ[[#This Row],[MULTIPLIER]]*MBQ[[#This Row],[QTY]]</f>
        <v>0</v>
      </c>
      <c r="V799" s="9">
        <f>MBQ[[#This Row],[HEIGHT (mm)]]/1000*MBQ[[#This Row],[WIDTH (mm)]]/1000*MBQ[[#This Row],[QTY TOTAL]]</f>
        <v>0</v>
      </c>
      <c r="W799" s="287">
        <f>ROUNDUP(MBQ[[#This Row],[HEIGHT (mm)]]/450*MBQ[[#This Row],[QTY]]*2,0)+ROUNDUP(MBQ[[#This Row],[WIDTH (mm)]]/450*MBQ[[#This Row],[QTY]]*2,0)</f>
        <v>0</v>
      </c>
    </row>
    <row r="800" spans="1:23" hidden="1">
      <c r="A800" s="258">
        <v>1</v>
      </c>
      <c r="B800" s="259"/>
      <c r="C800" s="233"/>
      <c r="D800" s="260"/>
      <c r="E800" s="260"/>
      <c r="F800" s="261"/>
      <c r="G800" s="262"/>
      <c r="H800" s="262"/>
      <c r="I800" s="260"/>
      <c r="J800" s="233"/>
      <c r="K800" s="263"/>
      <c r="L800" s="260"/>
      <c r="M800" s="263"/>
      <c r="N800" s="263"/>
      <c r="O800" s="264"/>
      <c r="P800" s="264"/>
      <c r="Q800" s="265"/>
      <c r="R800" s="30">
        <f>MBQ[[#This Row],[HEIGHT (mm)]]*MBQ[[#This Row],[QTY TOTAL]]/1000</f>
        <v>0</v>
      </c>
      <c r="S800" s="30">
        <f>MBQ[[#This Row],[WIDTH (mm)]]*MBQ[[#This Row],[QTY TOTAL]]/1000</f>
        <v>0</v>
      </c>
      <c r="T800" s="9">
        <f>(MBQ[[#This Row],[HEIGHT (mm)]]+MBQ[[#This Row],[WIDTH (mm)]])/1000*2*MBQ[[#This Row],[QTY TOTAL]]</f>
        <v>0</v>
      </c>
      <c r="U800" s="266">
        <f>MBQ[[#This Row],[MULTIPLIER]]*MBQ[[#This Row],[QTY]]</f>
        <v>0</v>
      </c>
      <c r="V800" s="9">
        <f>MBQ[[#This Row],[HEIGHT (mm)]]/1000*MBQ[[#This Row],[WIDTH (mm)]]/1000*MBQ[[#This Row],[QTY TOTAL]]</f>
        <v>0</v>
      </c>
      <c r="W800" s="287">
        <f>ROUNDUP(MBQ[[#This Row],[HEIGHT (mm)]]/450*MBQ[[#This Row],[QTY]]*2,0)+ROUNDUP(MBQ[[#This Row],[WIDTH (mm)]]/450*MBQ[[#This Row],[QTY]]*2,0)</f>
        <v>0</v>
      </c>
    </row>
    <row r="801" spans="1:23" hidden="1">
      <c r="A801" s="258">
        <v>1</v>
      </c>
      <c r="B801" s="259"/>
      <c r="C801" s="233"/>
      <c r="D801" s="260"/>
      <c r="E801" s="260"/>
      <c r="F801" s="261"/>
      <c r="G801" s="262"/>
      <c r="H801" s="262"/>
      <c r="I801" s="260"/>
      <c r="J801" s="233"/>
      <c r="K801" s="263"/>
      <c r="L801" s="260"/>
      <c r="M801" s="263"/>
      <c r="N801" s="263"/>
      <c r="O801" s="264"/>
      <c r="P801" s="264"/>
      <c r="Q801" s="265"/>
      <c r="R801" s="30">
        <f>MBQ[[#This Row],[HEIGHT (mm)]]*MBQ[[#This Row],[QTY TOTAL]]/1000</f>
        <v>0</v>
      </c>
      <c r="S801" s="30">
        <f>MBQ[[#This Row],[WIDTH (mm)]]*MBQ[[#This Row],[QTY TOTAL]]/1000</f>
        <v>0</v>
      </c>
      <c r="T801" s="9">
        <f>(MBQ[[#This Row],[HEIGHT (mm)]]+MBQ[[#This Row],[WIDTH (mm)]])/1000*2*MBQ[[#This Row],[QTY TOTAL]]</f>
        <v>0</v>
      </c>
      <c r="U801" s="266">
        <f>MBQ[[#This Row],[MULTIPLIER]]*MBQ[[#This Row],[QTY]]</f>
        <v>0</v>
      </c>
      <c r="V801" s="9">
        <f>MBQ[[#This Row],[HEIGHT (mm)]]/1000*MBQ[[#This Row],[WIDTH (mm)]]/1000*MBQ[[#This Row],[QTY TOTAL]]</f>
        <v>0</v>
      </c>
      <c r="W801" s="287">
        <f>ROUNDUP(MBQ[[#This Row],[HEIGHT (mm)]]/450*MBQ[[#This Row],[QTY]]*2,0)+ROUNDUP(MBQ[[#This Row],[WIDTH (mm)]]/450*MBQ[[#This Row],[QTY]]*2,0)</f>
        <v>0</v>
      </c>
    </row>
    <row r="802" spans="1:23" hidden="1">
      <c r="A802" s="258">
        <v>1</v>
      </c>
      <c r="B802" s="259"/>
      <c r="C802" s="233"/>
      <c r="D802" s="260"/>
      <c r="E802" s="260"/>
      <c r="F802" s="261"/>
      <c r="G802" s="262"/>
      <c r="H802" s="262"/>
      <c r="I802" s="260"/>
      <c r="J802" s="233"/>
      <c r="K802" s="263"/>
      <c r="L802" s="260"/>
      <c r="M802" s="263"/>
      <c r="N802" s="263"/>
      <c r="O802" s="264"/>
      <c r="P802" s="264"/>
      <c r="Q802" s="265"/>
      <c r="R802" s="30">
        <f>MBQ[[#This Row],[HEIGHT (mm)]]*MBQ[[#This Row],[QTY TOTAL]]/1000</f>
        <v>0</v>
      </c>
      <c r="S802" s="30">
        <f>MBQ[[#This Row],[WIDTH (mm)]]*MBQ[[#This Row],[QTY TOTAL]]/1000</f>
        <v>0</v>
      </c>
      <c r="T802" s="9">
        <f>(MBQ[[#This Row],[HEIGHT (mm)]]+MBQ[[#This Row],[WIDTH (mm)]])/1000*2*MBQ[[#This Row],[QTY TOTAL]]</f>
        <v>0</v>
      </c>
      <c r="U802" s="266">
        <f>MBQ[[#This Row],[MULTIPLIER]]*MBQ[[#This Row],[QTY]]</f>
        <v>0</v>
      </c>
      <c r="V802" s="9">
        <f>MBQ[[#This Row],[HEIGHT (mm)]]/1000*MBQ[[#This Row],[WIDTH (mm)]]/1000*MBQ[[#This Row],[QTY TOTAL]]</f>
        <v>0</v>
      </c>
      <c r="W802" s="287">
        <f>ROUNDUP(MBQ[[#This Row],[HEIGHT (mm)]]/450*MBQ[[#This Row],[QTY]]*2,0)+ROUNDUP(MBQ[[#This Row],[WIDTH (mm)]]/450*MBQ[[#This Row],[QTY]]*2,0)</f>
        <v>0</v>
      </c>
    </row>
    <row r="803" spans="1:23" hidden="1">
      <c r="A803" s="258">
        <v>1</v>
      </c>
      <c r="B803" s="259"/>
      <c r="C803" s="233"/>
      <c r="D803" s="260"/>
      <c r="E803" s="260"/>
      <c r="F803" s="261"/>
      <c r="G803" s="262"/>
      <c r="H803" s="262"/>
      <c r="I803" s="260"/>
      <c r="J803" s="233"/>
      <c r="K803" s="263"/>
      <c r="L803" s="260"/>
      <c r="M803" s="263"/>
      <c r="N803" s="263"/>
      <c r="O803" s="264"/>
      <c r="P803" s="264"/>
      <c r="Q803" s="265"/>
      <c r="R803" s="30">
        <f>MBQ[[#This Row],[HEIGHT (mm)]]*MBQ[[#This Row],[QTY TOTAL]]/1000</f>
        <v>0</v>
      </c>
      <c r="S803" s="30">
        <f>MBQ[[#This Row],[WIDTH (mm)]]*MBQ[[#This Row],[QTY TOTAL]]/1000</f>
        <v>0</v>
      </c>
      <c r="T803" s="9">
        <f>(MBQ[[#This Row],[HEIGHT (mm)]]+MBQ[[#This Row],[WIDTH (mm)]])/1000*2*MBQ[[#This Row],[QTY TOTAL]]</f>
        <v>0</v>
      </c>
      <c r="U803" s="266">
        <f>MBQ[[#This Row],[MULTIPLIER]]*MBQ[[#This Row],[QTY]]</f>
        <v>0</v>
      </c>
      <c r="V803" s="9">
        <f>MBQ[[#This Row],[HEIGHT (mm)]]/1000*MBQ[[#This Row],[WIDTH (mm)]]/1000*MBQ[[#This Row],[QTY TOTAL]]</f>
        <v>0</v>
      </c>
      <c r="W803" s="287">
        <f>ROUNDUP(MBQ[[#This Row],[HEIGHT (mm)]]/450*MBQ[[#This Row],[QTY]]*2,0)+ROUNDUP(MBQ[[#This Row],[WIDTH (mm)]]/450*MBQ[[#This Row],[QTY]]*2,0)</f>
        <v>0</v>
      </c>
    </row>
    <row r="804" spans="1:23" hidden="1">
      <c r="A804" s="258">
        <v>1</v>
      </c>
      <c r="B804" s="259"/>
      <c r="C804" s="233"/>
      <c r="D804" s="260"/>
      <c r="E804" s="260"/>
      <c r="F804" s="261"/>
      <c r="G804" s="262"/>
      <c r="H804" s="262"/>
      <c r="I804" s="260"/>
      <c r="J804" s="233"/>
      <c r="K804" s="263"/>
      <c r="L804" s="260"/>
      <c r="M804" s="263"/>
      <c r="N804" s="263"/>
      <c r="O804" s="264"/>
      <c r="P804" s="264"/>
      <c r="Q804" s="265"/>
      <c r="R804" s="30">
        <f>MBQ[[#This Row],[HEIGHT (mm)]]*MBQ[[#This Row],[QTY TOTAL]]/1000</f>
        <v>0</v>
      </c>
      <c r="S804" s="30">
        <f>MBQ[[#This Row],[WIDTH (mm)]]*MBQ[[#This Row],[QTY TOTAL]]/1000</f>
        <v>0</v>
      </c>
      <c r="T804" s="9">
        <f>(MBQ[[#This Row],[HEIGHT (mm)]]+MBQ[[#This Row],[WIDTH (mm)]])/1000*2*MBQ[[#This Row],[QTY TOTAL]]</f>
        <v>0</v>
      </c>
      <c r="U804" s="266">
        <f>MBQ[[#This Row],[MULTIPLIER]]*MBQ[[#This Row],[QTY]]</f>
        <v>0</v>
      </c>
      <c r="V804" s="9">
        <f>MBQ[[#This Row],[HEIGHT (mm)]]/1000*MBQ[[#This Row],[WIDTH (mm)]]/1000*MBQ[[#This Row],[QTY TOTAL]]</f>
        <v>0</v>
      </c>
      <c r="W804" s="287">
        <f>ROUNDUP(MBQ[[#This Row],[HEIGHT (mm)]]/450*MBQ[[#This Row],[QTY]]*2,0)+ROUNDUP(MBQ[[#This Row],[WIDTH (mm)]]/450*MBQ[[#This Row],[QTY]]*2,0)</f>
        <v>0</v>
      </c>
    </row>
    <row r="805" spans="1:23" hidden="1">
      <c r="A805" s="258">
        <v>1</v>
      </c>
      <c r="B805" s="259"/>
      <c r="C805" s="233"/>
      <c r="D805" s="260"/>
      <c r="E805" s="260"/>
      <c r="F805" s="261"/>
      <c r="G805" s="262"/>
      <c r="H805" s="262"/>
      <c r="I805" s="260"/>
      <c r="J805" s="233"/>
      <c r="K805" s="263"/>
      <c r="L805" s="260"/>
      <c r="M805" s="263"/>
      <c r="N805" s="263"/>
      <c r="O805" s="264"/>
      <c r="P805" s="264"/>
      <c r="Q805" s="265"/>
      <c r="R805" s="30">
        <f>MBQ[[#This Row],[HEIGHT (mm)]]*MBQ[[#This Row],[QTY TOTAL]]/1000</f>
        <v>0</v>
      </c>
      <c r="S805" s="30">
        <f>MBQ[[#This Row],[WIDTH (mm)]]*MBQ[[#This Row],[QTY TOTAL]]/1000</f>
        <v>0</v>
      </c>
      <c r="T805" s="9">
        <f>(MBQ[[#This Row],[HEIGHT (mm)]]+MBQ[[#This Row],[WIDTH (mm)]])/1000*2*MBQ[[#This Row],[QTY TOTAL]]</f>
        <v>0</v>
      </c>
      <c r="U805" s="266">
        <f>MBQ[[#This Row],[MULTIPLIER]]*MBQ[[#This Row],[QTY]]</f>
        <v>0</v>
      </c>
      <c r="V805" s="9">
        <f>MBQ[[#This Row],[HEIGHT (mm)]]/1000*MBQ[[#This Row],[WIDTH (mm)]]/1000*MBQ[[#This Row],[QTY TOTAL]]</f>
        <v>0</v>
      </c>
      <c r="W805" s="287">
        <f>ROUNDUP(MBQ[[#This Row],[HEIGHT (mm)]]/450*MBQ[[#This Row],[QTY]]*2,0)+ROUNDUP(MBQ[[#This Row],[WIDTH (mm)]]/450*MBQ[[#This Row],[QTY]]*2,0)</f>
        <v>0</v>
      </c>
    </row>
    <row r="806" spans="1:23" hidden="1">
      <c r="A806" s="258">
        <v>1</v>
      </c>
      <c r="B806" s="259"/>
      <c r="C806" s="233"/>
      <c r="D806" s="260"/>
      <c r="E806" s="260"/>
      <c r="F806" s="261"/>
      <c r="G806" s="262"/>
      <c r="H806" s="262"/>
      <c r="I806" s="260"/>
      <c r="J806" s="233"/>
      <c r="K806" s="263"/>
      <c r="L806" s="260"/>
      <c r="M806" s="263"/>
      <c r="N806" s="263"/>
      <c r="O806" s="264"/>
      <c r="P806" s="264"/>
      <c r="Q806" s="265"/>
      <c r="R806" s="30">
        <f>MBQ[[#This Row],[HEIGHT (mm)]]*MBQ[[#This Row],[QTY TOTAL]]/1000</f>
        <v>0</v>
      </c>
      <c r="S806" s="30">
        <f>MBQ[[#This Row],[WIDTH (mm)]]*MBQ[[#This Row],[QTY TOTAL]]/1000</f>
        <v>0</v>
      </c>
      <c r="T806" s="9">
        <f>(MBQ[[#This Row],[HEIGHT (mm)]]+MBQ[[#This Row],[WIDTH (mm)]])/1000*2*MBQ[[#This Row],[QTY TOTAL]]</f>
        <v>0</v>
      </c>
      <c r="U806" s="266">
        <f>MBQ[[#This Row],[MULTIPLIER]]*MBQ[[#This Row],[QTY]]</f>
        <v>0</v>
      </c>
      <c r="V806" s="9">
        <f>MBQ[[#This Row],[HEIGHT (mm)]]/1000*MBQ[[#This Row],[WIDTH (mm)]]/1000*MBQ[[#This Row],[QTY TOTAL]]</f>
        <v>0</v>
      </c>
      <c r="W806" s="287">
        <f>ROUNDUP(MBQ[[#This Row],[HEIGHT (mm)]]/450*MBQ[[#This Row],[QTY]]*2,0)+ROUNDUP(MBQ[[#This Row],[WIDTH (mm)]]/450*MBQ[[#This Row],[QTY]]*2,0)</f>
        <v>0</v>
      </c>
    </row>
    <row r="807" spans="1:23" hidden="1">
      <c r="A807" s="258">
        <v>1</v>
      </c>
      <c r="B807" s="259"/>
      <c r="C807" s="233"/>
      <c r="D807" s="260"/>
      <c r="E807" s="260"/>
      <c r="F807" s="261"/>
      <c r="G807" s="262"/>
      <c r="H807" s="262"/>
      <c r="I807" s="260"/>
      <c r="J807" s="233"/>
      <c r="K807" s="263"/>
      <c r="L807" s="260"/>
      <c r="M807" s="263"/>
      <c r="N807" s="263"/>
      <c r="O807" s="264"/>
      <c r="P807" s="264"/>
      <c r="Q807" s="265"/>
      <c r="R807" s="30">
        <f>MBQ[[#This Row],[HEIGHT (mm)]]*MBQ[[#This Row],[QTY TOTAL]]/1000</f>
        <v>0</v>
      </c>
      <c r="S807" s="30">
        <f>MBQ[[#This Row],[WIDTH (mm)]]*MBQ[[#This Row],[QTY TOTAL]]/1000</f>
        <v>0</v>
      </c>
      <c r="T807" s="9">
        <f>(MBQ[[#This Row],[HEIGHT (mm)]]+MBQ[[#This Row],[WIDTH (mm)]])/1000*2*MBQ[[#This Row],[QTY TOTAL]]</f>
        <v>0</v>
      </c>
      <c r="U807" s="266">
        <f>MBQ[[#This Row],[MULTIPLIER]]*MBQ[[#This Row],[QTY]]</f>
        <v>0</v>
      </c>
      <c r="V807" s="9">
        <f>MBQ[[#This Row],[HEIGHT (mm)]]/1000*MBQ[[#This Row],[WIDTH (mm)]]/1000*MBQ[[#This Row],[QTY TOTAL]]</f>
        <v>0</v>
      </c>
      <c r="W807" s="287">
        <f>ROUNDUP(MBQ[[#This Row],[HEIGHT (mm)]]/450*MBQ[[#This Row],[QTY]]*2,0)+ROUNDUP(MBQ[[#This Row],[WIDTH (mm)]]/450*MBQ[[#This Row],[QTY]]*2,0)</f>
        <v>0</v>
      </c>
    </row>
    <row r="808" spans="1:23" hidden="1">
      <c r="A808" s="258">
        <v>1</v>
      </c>
      <c r="B808" s="259"/>
      <c r="C808" s="233"/>
      <c r="D808" s="260"/>
      <c r="E808" s="260"/>
      <c r="F808" s="261"/>
      <c r="G808" s="262"/>
      <c r="H808" s="262"/>
      <c r="I808" s="260"/>
      <c r="J808" s="233"/>
      <c r="K808" s="263"/>
      <c r="L808" s="260"/>
      <c r="M808" s="263"/>
      <c r="N808" s="263"/>
      <c r="O808" s="264"/>
      <c r="P808" s="264"/>
      <c r="Q808" s="265"/>
      <c r="R808" s="30">
        <f>MBQ[[#This Row],[HEIGHT (mm)]]*MBQ[[#This Row],[QTY TOTAL]]/1000</f>
        <v>0</v>
      </c>
      <c r="S808" s="30">
        <f>MBQ[[#This Row],[WIDTH (mm)]]*MBQ[[#This Row],[QTY TOTAL]]/1000</f>
        <v>0</v>
      </c>
      <c r="T808" s="9">
        <f>(MBQ[[#This Row],[HEIGHT (mm)]]+MBQ[[#This Row],[WIDTH (mm)]])/1000*2*MBQ[[#This Row],[QTY TOTAL]]</f>
        <v>0</v>
      </c>
      <c r="U808" s="266">
        <f>MBQ[[#This Row],[MULTIPLIER]]*MBQ[[#This Row],[QTY]]</f>
        <v>0</v>
      </c>
      <c r="V808" s="9">
        <f>MBQ[[#This Row],[HEIGHT (mm)]]/1000*MBQ[[#This Row],[WIDTH (mm)]]/1000*MBQ[[#This Row],[QTY TOTAL]]</f>
        <v>0</v>
      </c>
      <c r="W808" s="287">
        <f>ROUNDUP(MBQ[[#This Row],[HEIGHT (mm)]]/450*MBQ[[#This Row],[QTY]]*2,0)+ROUNDUP(MBQ[[#This Row],[WIDTH (mm)]]/450*MBQ[[#This Row],[QTY]]*2,0)</f>
        <v>0</v>
      </c>
    </row>
    <row r="809" spans="1:23" hidden="1">
      <c r="A809" s="258">
        <v>1</v>
      </c>
      <c r="B809" s="259"/>
      <c r="C809" s="233"/>
      <c r="D809" s="260"/>
      <c r="E809" s="260"/>
      <c r="F809" s="261"/>
      <c r="G809" s="262"/>
      <c r="H809" s="262"/>
      <c r="I809" s="260"/>
      <c r="J809" s="233"/>
      <c r="K809" s="263"/>
      <c r="L809" s="260"/>
      <c r="M809" s="263"/>
      <c r="N809" s="263"/>
      <c r="O809" s="264"/>
      <c r="P809" s="264"/>
      <c r="Q809" s="265"/>
      <c r="R809" s="30">
        <f>MBQ[[#This Row],[HEIGHT (mm)]]*MBQ[[#This Row],[QTY TOTAL]]/1000</f>
        <v>0</v>
      </c>
      <c r="S809" s="30">
        <f>MBQ[[#This Row],[WIDTH (mm)]]*MBQ[[#This Row],[QTY TOTAL]]/1000</f>
        <v>0</v>
      </c>
      <c r="T809" s="9">
        <f>(MBQ[[#This Row],[HEIGHT (mm)]]+MBQ[[#This Row],[WIDTH (mm)]])/1000*2*MBQ[[#This Row],[QTY TOTAL]]</f>
        <v>0</v>
      </c>
      <c r="U809" s="266">
        <f>MBQ[[#This Row],[MULTIPLIER]]*MBQ[[#This Row],[QTY]]</f>
        <v>0</v>
      </c>
      <c r="V809" s="9">
        <f>MBQ[[#This Row],[HEIGHT (mm)]]/1000*MBQ[[#This Row],[WIDTH (mm)]]/1000*MBQ[[#This Row],[QTY TOTAL]]</f>
        <v>0</v>
      </c>
      <c r="W809" s="287">
        <f>ROUNDUP(MBQ[[#This Row],[HEIGHT (mm)]]/450*MBQ[[#This Row],[QTY]]*2,0)+ROUNDUP(MBQ[[#This Row],[WIDTH (mm)]]/450*MBQ[[#This Row],[QTY]]*2,0)</f>
        <v>0</v>
      </c>
    </row>
    <row r="810" spans="1:23" hidden="1">
      <c r="A810" s="258">
        <v>1</v>
      </c>
      <c r="B810" s="259"/>
      <c r="C810" s="233"/>
      <c r="D810" s="260"/>
      <c r="E810" s="260"/>
      <c r="F810" s="261"/>
      <c r="G810" s="262"/>
      <c r="H810" s="262"/>
      <c r="I810" s="260"/>
      <c r="J810" s="233"/>
      <c r="K810" s="263"/>
      <c r="L810" s="260"/>
      <c r="M810" s="263"/>
      <c r="N810" s="263"/>
      <c r="O810" s="264"/>
      <c r="P810" s="264"/>
      <c r="Q810" s="265"/>
      <c r="R810" s="30">
        <f>MBQ[[#This Row],[HEIGHT (mm)]]*MBQ[[#This Row],[QTY TOTAL]]/1000</f>
        <v>0</v>
      </c>
      <c r="S810" s="30">
        <f>MBQ[[#This Row],[WIDTH (mm)]]*MBQ[[#This Row],[QTY TOTAL]]/1000</f>
        <v>0</v>
      </c>
      <c r="T810" s="9">
        <f>(MBQ[[#This Row],[HEIGHT (mm)]]+MBQ[[#This Row],[WIDTH (mm)]])/1000*2*MBQ[[#This Row],[QTY TOTAL]]</f>
        <v>0</v>
      </c>
      <c r="U810" s="266">
        <f>MBQ[[#This Row],[MULTIPLIER]]*MBQ[[#This Row],[QTY]]</f>
        <v>0</v>
      </c>
      <c r="V810" s="9">
        <f>MBQ[[#This Row],[HEIGHT (mm)]]/1000*MBQ[[#This Row],[WIDTH (mm)]]/1000*MBQ[[#This Row],[QTY TOTAL]]</f>
        <v>0</v>
      </c>
      <c r="W810" s="287">
        <f>ROUNDUP(MBQ[[#This Row],[HEIGHT (mm)]]/450*MBQ[[#This Row],[QTY]]*2,0)+ROUNDUP(MBQ[[#This Row],[WIDTH (mm)]]/450*MBQ[[#This Row],[QTY]]*2,0)</f>
        <v>0</v>
      </c>
    </row>
    <row r="811" spans="1:23" hidden="1">
      <c r="A811" s="258">
        <v>1</v>
      </c>
      <c r="B811" s="259"/>
      <c r="C811" s="233"/>
      <c r="D811" s="260"/>
      <c r="E811" s="260"/>
      <c r="F811" s="261"/>
      <c r="G811" s="262"/>
      <c r="H811" s="262"/>
      <c r="I811" s="260"/>
      <c r="J811" s="233"/>
      <c r="K811" s="263"/>
      <c r="L811" s="260"/>
      <c r="M811" s="263"/>
      <c r="N811" s="263"/>
      <c r="O811" s="264"/>
      <c r="P811" s="264"/>
      <c r="Q811" s="265"/>
      <c r="R811" s="30">
        <f>MBQ[[#This Row],[HEIGHT (mm)]]*MBQ[[#This Row],[QTY TOTAL]]/1000</f>
        <v>0</v>
      </c>
      <c r="S811" s="30">
        <f>MBQ[[#This Row],[WIDTH (mm)]]*MBQ[[#This Row],[QTY TOTAL]]/1000</f>
        <v>0</v>
      </c>
      <c r="T811" s="9">
        <f>(MBQ[[#This Row],[HEIGHT (mm)]]+MBQ[[#This Row],[WIDTH (mm)]])/1000*2*MBQ[[#This Row],[QTY TOTAL]]</f>
        <v>0</v>
      </c>
      <c r="U811" s="266">
        <f>MBQ[[#This Row],[MULTIPLIER]]*MBQ[[#This Row],[QTY]]</f>
        <v>0</v>
      </c>
      <c r="V811" s="9">
        <f>MBQ[[#This Row],[HEIGHT (mm)]]/1000*MBQ[[#This Row],[WIDTH (mm)]]/1000*MBQ[[#This Row],[QTY TOTAL]]</f>
        <v>0</v>
      </c>
      <c r="W811" s="287">
        <f>ROUNDUP(MBQ[[#This Row],[HEIGHT (mm)]]/450*MBQ[[#This Row],[QTY]]*2,0)+ROUNDUP(MBQ[[#This Row],[WIDTH (mm)]]/450*MBQ[[#This Row],[QTY]]*2,0)</f>
        <v>0</v>
      </c>
    </row>
    <row r="812" spans="1:23" hidden="1">
      <c r="A812" s="258">
        <v>1</v>
      </c>
      <c r="B812" s="259"/>
      <c r="C812" s="233"/>
      <c r="D812" s="260"/>
      <c r="E812" s="260"/>
      <c r="F812" s="261"/>
      <c r="G812" s="262"/>
      <c r="H812" s="262"/>
      <c r="I812" s="260"/>
      <c r="J812" s="233"/>
      <c r="K812" s="263"/>
      <c r="L812" s="260"/>
      <c r="M812" s="263"/>
      <c r="N812" s="263"/>
      <c r="O812" s="264"/>
      <c r="P812" s="264"/>
      <c r="Q812" s="265"/>
      <c r="R812" s="30">
        <f>MBQ[[#This Row],[HEIGHT (mm)]]*MBQ[[#This Row],[QTY TOTAL]]/1000</f>
        <v>0</v>
      </c>
      <c r="S812" s="30">
        <f>MBQ[[#This Row],[WIDTH (mm)]]*MBQ[[#This Row],[QTY TOTAL]]/1000</f>
        <v>0</v>
      </c>
      <c r="T812" s="9">
        <f>(MBQ[[#This Row],[HEIGHT (mm)]]+MBQ[[#This Row],[WIDTH (mm)]])/1000*2*MBQ[[#This Row],[QTY TOTAL]]</f>
        <v>0</v>
      </c>
      <c r="U812" s="266">
        <f>MBQ[[#This Row],[MULTIPLIER]]*MBQ[[#This Row],[QTY]]</f>
        <v>0</v>
      </c>
      <c r="V812" s="9">
        <f>MBQ[[#This Row],[HEIGHT (mm)]]/1000*MBQ[[#This Row],[WIDTH (mm)]]/1000*MBQ[[#This Row],[QTY TOTAL]]</f>
        <v>0</v>
      </c>
      <c r="W812" s="287">
        <f>ROUNDUP(MBQ[[#This Row],[HEIGHT (mm)]]/450*MBQ[[#This Row],[QTY]]*2,0)+ROUNDUP(MBQ[[#This Row],[WIDTH (mm)]]/450*MBQ[[#This Row],[QTY]]*2,0)</f>
        <v>0</v>
      </c>
    </row>
    <row r="813" spans="1:23" hidden="1">
      <c r="A813" s="258">
        <v>1</v>
      </c>
      <c r="B813" s="259"/>
      <c r="C813" s="233"/>
      <c r="D813" s="260"/>
      <c r="E813" s="260"/>
      <c r="F813" s="261"/>
      <c r="G813" s="262"/>
      <c r="H813" s="262"/>
      <c r="I813" s="260"/>
      <c r="J813" s="233"/>
      <c r="K813" s="263"/>
      <c r="L813" s="260"/>
      <c r="M813" s="263"/>
      <c r="N813" s="263"/>
      <c r="O813" s="264"/>
      <c r="P813" s="264"/>
      <c r="Q813" s="265"/>
      <c r="R813" s="30">
        <f>MBQ[[#This Row],[HEIGHT (mm)]]*MBQ[[#This Row],[QTY TOTAL]]/1000</f>
        <v>0</v>
      </c>
      <c r="S813" s="30">
        <f>MBQ[[#This Row],[WIDTH (mm)]]*MBQ[[#This Row],[QTY TOTAL]]/1000</f>
        <v>0</v>
      </c>
      <c r="T813" s="9">
        <f>(MBQ[[#This Row],[HEIGHT (mm)]]+MBQ[[#This Row],[WIDTH (mm)]])/1000*2*MBQ[[#This Row],[QTY TOTAL]]</f>
        <v>0</v>
      </c>
      <c r="U813" s="266">
        <f>MBQ[[#This Row],[MULTIPLIER]]*MBQ[[#This Row],[QTY]]</f>
        <v>0</v>
      </c>
      <c r="V813" s="9">
        <f>MBQ[[#This Row],[HEIGHT (mm)]]/1000*MBQ[[#This Row],[WIDTH (mm)]]/1000*MBQ[[#This Row],[QTY TOTAL]]</f>
        <v>0</v>
      </c>
      <c r="W813" s="287">
        <f>ROUNDUP(MBQ[[#This Row],[HEIGHT (mm)]]/450*MBQ[[#This Row],[QTY]]*2,0)+ROUNDUP(MBQ[[#This Row],[WIDTH (mm)]]/450*MBQ[[#This Row],[QTY]]*2,0)</f>
        <v>0</v>
      </c>
    </row>
    <row r="814" spans="1:23" hidden="1">
      <c r="A814" s="258">
        <v>1</v>
      </c>
      <c r="B814" s="259"/>
      <c r="C814" s="233"/>
      <c r="D814" s="260"/>
      <c r="E814" s="260"/>
      <c r="F814" s="261"/>
      <c r="G814" s="262"/>
      <c r="H814" s="262"/>
      <c r="I814" s="260"/>
      <c r="J814" s="233"/>
      <c r="K814" s="263"/>
      <c r="L814" s="260"/>
      <c r="M814" s="263"/>
      <c r="N814" s="263"/>
      <c r="O814" s="264"/>
      <c r="P814" s="264"/>
      <c r="Q814" s="265"/>
      <c r="R814" s="30">
        <f>MBQ[[#This Row],[HEIGHT (mm)]]*MBQ[[#This Row],[QTY TOTAL]]/1000</f>
        <v>0</v>
      </c>
      <c r="S814" s="30">
        <f>MBQ[[#This Row],[WIDTH (mm)]]*MBQ[[#This Row],[QTY TOTAL]]/1000</f>
        <v>0</v>
      </c>
      <c r="T814" s="9">
        <f>(MBQ[[#This Row],[HEIGHT (mm)]]+MBQ[[#This Row],[WIDTH (mm)]])/1000*2*MBQ[[#This Row],[QTY TOTAL]]</f>
        <v>0</v>
      </c>
      <c r="U814" s="266">
        <f>MBQ[[#This Row],[MULTIPLIER]]*MBQ[[#This Row],[QTY]]</f>
        <v>0</v>
      </c>
      <c r="V814" s="9">
        <f>MBQ[[#This Row],[HEIGHT (mm)]]/1000*MBQ[[#This Row],[WIDTH (mm)]]/1000*MBQ[[#This Row],[QTY TOTAL]]</f>
        <v>0</v>
      </c>
      <c r="W814" s="287">
        <f>ROUNDUP(MBQ[[#This Row],[HEIGHT (mm)]]/450*MBQ[[#This Row],[QTY]]*2,0)+ROUNDUP(MBQ[[#This Row],[WIDTH (mm)]]/450*MBQ[[#This Row],[QTY]]*2,0)</f>
        <v>0</v>
      </c>
    </row>
    <row r="815" spans="1:23" hidden="1">
      <c r="A815" s="258">
        <v>1</v>
      </c>
      <c r="B815" s="259"/>
      <c r="C815" s="233"/>
      <c r="D815" s="260"/>
      <c r="E815" s="260"/>
      <c r="F815" s="261"/>
      <c r="G815" s="262"/>
      <c r="H815" s="262"/>
      <c r="I815" s="260"/>
      <c r="J815" s="233"/>
      <c r="K815" s="263"/>
      <c r="L815" s="260"/>
      <c r="M815" s="263"/>
      <c r="N815" s="263"/>
      <c r="O815" s="264"/>
      <c r="P815" s="264"/>
      <c r="Q815" s="265"/>
      <c r="R815" s="30">
        <f>MBQ[[#This Row],[HEIGHT (mm)]]*MBQ[[#This Row],[QTY TOTAL]]/1000</f>
        <v>0</v>
      </c>
      <c r="S815" s="30">
        <f>MBQ[[#This Row],[WIDTH (mm)]]*MBQ[[#This Row],[QTY TOTAL]]/1000</f>
        <v>0</v>
      </c>
      <c r="T815" s="9">
        <f>(MBQ[[#This Row],[HEIGHT (mm)]]+MBQ[[#This Row],[WIDTH (mm)]])/1000*2*MBQ[[#This Row],[QTY TOTAL]]</f>
        <v>0</v>
      </c>
      <c r="U815" s="266">
        <f>MBQ[[#This Row],[MULTIPLIER]]*MBQ[[#This Row],[QTY]]</f>
        <v>0</v>
      </c>
      <c r="V815" s="9">
        <f>MBQ[[#This Row],[HEIGHT (mm)]]/1000*MBQ[[#This Row],[WIDTH (mm)]]/1000*MBQ[[#This Row],[QTY TOTAL]]</f>
        <v>0</v>
      </c>
      <c r="W815" s="287">
        <f>ROUNDUP(MBQ[[#This Row],[HEIGHT (mm)]]/450*MBQ[[#This Row],[QTY]]*2,0)+ROUNDUP(MBQ[[#This Row],[WIDTH (mm)]]/450*MBQ[[#This Row],[QTY]]*2,0)</f>
        <v>0</v>
      </c>
    </row>
    <row r="816" spans="1:23" hidden="1">
      <c r="A816" s="258">
        <v>1</v>
      </c>
      <c r="B816" s="259"/>
      <c r="C816" s="233"/>
      <c r="D816" s="260"/>
      <c r="E816" s="260"/>
      <c r="F816" s="261"/>
      <c r="G816" s="262"/>
      <c r="H816" s="262"/>
      <c r="I816" s="260"/>
      <c r="J816" s="233"/>
      <c r="K816" s="263"/>
      <c r="L816" s="260"/>
      <c r="M816" s="263"/>
      <c r="N816" s="263"/>
      <c r="O816" s="264"/>
      <c r="P816" s="264"/>
      <c r="Q816" s="265"/>
      <c r="R816" s="30">
        <f>MBQ[[#This Row],[HEIGHT (mm)]]*MBQ[[#This Row],[QTY TOTAL]]/1000</f>
        <v>0</v>
      </c>
      <c r="S816" s="30">
        <f>MBQ[[#This Row],[WIDTH (mm)]]*MBQ[[#This Row],[QTY TOTAL]]/1000</f>
        <v>0</v>
      </c>
      <c r="T816" s="9">
        <f>(MBQ[[#This Row],[HEIGHT (mm)]]+MBQ[[#This Row],[WIDTH (mm)]])/1000*2*MBQ[[#This Row],[QTY TOTAL]]</f>
        <v>0</v>
      </c>
      <c r="U816" s="266">
        <f>MBQ[[#This Row],[MULTIPLIER]]*MBQ[[#This Row],[QTY]]</f>
        <v>0</v>
      </c>
      <c r="V816" s="9">
        <f>MBQ[[#This Row],[HEIGHT (mm)]]/1000*MBQ[[#This Row],[WIDTH (mm)]]/1000*MBQ[[#This Row],[QTY TOTAL]]</f>
        <v>0</v>
      </c>
      <c r="W816" s="287">
        <f>ROUNDUP(MBQ[[#This Row],[HEIGHT (mm)]]/450*MBQ[[#This Row],[QTY]]*2,0)+ROUNDUP(MBQ[[#This Row],[WIDTH (mm)]]/450*MBQ[[#This Row],[QTY]]*2,0)</f>
        <v>0</v>
      </c>
    </row>
    <row r="817" spans="1:23" hidden="1">
      <c r="A817" s="258">
        <v>1</v>
      </c>
      <c r="B817" s="259"/>
      <c r="C817" s="233"/>
      <c r="D817" s="260"/>
      <c r="E817" s="260"/>
      <c r="F817" s="261"/>
      <c r="G817" s="262"/>
      <c r="H817" s="262"/>
      <c r="I817" s="260"/>
      <c r="J817" s="233"/>
      <c r="K817" s="263"/>
      <c r="L817" s="260"/>
      <c r="M817" s="263"/>
      <c r="N817" s="263"/>
      <c r="O817" s="264"/>
      <c r="P817" s="264"/>
      <c r="Q817" s="265"/>
      <c r="R817" s="30">
        <f>MBQ[[#This Row],[HEIGHT (mm)]]*MBQ[[#This Row],[QTY TOTAL]]/1000</f>
        <v>0</v>
      </c>
      <c r="S817" s="30">
        <f>MBQ[[#This Row],[WIDTH (mm)]]*MBQ[[#This Row],[QTY TOTAL]]/1000</f>
        <v>0</v>
      </c>
      <c r="T817" s="9">
        <f>(MBQ[[#This Row],[HEIGHT (mm)]]+MBQ[[#This Row],[WIDTH (mm)]])/1000*2*MBQ[[#This Row],[QTY TOTAL]]</f>
        <v>0</v>
      </c>
      <c r="U817" s="266">
        <f>MBQ[[#This Row],[MULTIPLIER]]*MBQ[[#This Row],[QTY]]</f>
        <v>0</v>
      </c>
      <c r="V817" s="9">
        <f>MBQ[[#This Row],[HEIGHT (mm)]]/1000*MBQ[[#This Row],[WIDTH (mm)]]/1000*MBQ[[#This Row],[QTY TOTAL]]</f>
        <v>0</v>
      </c>
      <c r="W817" s="287">
        <f>ROUNDUP(MBQ[[#This Row],[HEIGHT (mm)]]/450*MBQ[[#This Row],[QTY]]*2,0)+ROUNDUP(MBQ[[#This Row],[WIDTH (mm)]]/450*MBQ[[#This Row],[QTY]]*2,0)</f>
        <v>0</v>
      </c>
    </row>
    <row r="818" spans="1:23" hidden="1">
      <c r="A818" s="258">
        <v>1</v>
      </c>
      <c r="B818" s="259"/>
      <c r="C818" s="233"/>
      <c r="D818" s="260"/>
      <c r="E818" s="260"/>
      <c r="F818" s="261"/>
      <c r="G818" s="262"/>
      <c r="H818" s="262"/>
      <c r="I818" s="260"/>
      <c r="J818" s="233"/>
      <c r="K818" s="263"/>
      <c r="L818" s="260"/>
      <c r="M818" s="263"/>
      <c r="N818" s="263"/>
      <c r="O818" s="264"/>
      <c r="P818" s="264"/>
      <c r="Q818" s="265"/>
      <c r="R818" s="30">
        <f>MBQ[[#This Row],[HEIGHT (mm)]]*MBQ[[#This Row],[QTY TOTAL]]/1000</f>
        <v>0</v>
      </c>
      <c r="S818" s="30">
        <f>MBQ[[#This Row],[WIDTH (mm)]]*MBQ[[#This Row],[QTY TOTAL]]/1000</f>
        <v>0</v>
      </c>
      <c r="T818" s="9">
        <f>(MBQ[[#This Row],[HEIGHT (mm)]]+MBQ[[#This Row],[WIDTH (mm)]])/1000*2*MBQ[[#This Row],[QTY TOTAL]]</f>
        <v>0</v>
      </c>
      <c r="U818" s="266">
        <f>MBQ[[#This Row],[MULTIPLIER]]*MBQ[[#This Row],[QTY]]</f>
        <v>0</v>
      </c>
      <c r="V818" s="9">
        <f>MBQ[[#This Row],[HEIGHT (mm)]]/1000*MBQ[[#This Row],[WIDTH (mm)]]/1000*MBQ[[#This Row],[QTY TOTAL]]</f>
        <v>0</v>
      </c>
      <c r="W818" s="287">
        <f>ROUNDUP(MBQ[[#This Row],[HEIGHT (mm)]]/450*MBQ[[#This Row],[QTY]]*2,0)+ROUNDUP(MBQ[[#This Row],[WIDTH (mm)]]/450*MBQ[[#This Row],[QTY]]*2,0)</f>
        <v>0</v>
      </c>
    </row>
    <row r="819" spans="1:23" hidden="1">
      <c r="A819" s="258">
        <v>1</v>
      </c>
      <c r="B819" s="259"/>
      <c r="C819" s="233"/>
      <c r="D819" s="260"/>
      <c r="E819" s="260"/>
      <c r="F819" s="261"/>
      <c r="G819" s="262"/>
      <c r="H819" s="262"/>
      <c r="I819" s="260"/>
      <c r="J819" s="233"/>
      <c r="K819" s="263"/>
      <c r="L819" s="260"/>
      <c r="M819" s="263"/>
      <c r="N819" s="263"/>
      <c r="O819" s="264"/>
      <c r="P819" s="264"/>
      <c r="Q819" s="265"/>
      <c r="R819" s="30">
        <f>MBQ[[#This Row],[HEIGHT (mm)]]*MBQ[[#This Row],[QTY TOTAL]]/1000</f>
        <v>0</v>
      </c>
      <c r="S819" s="30">
        <f>MBQ[[#This Row],[WIDTH (mm)]]*MBQ[[#This Row],[QTY TOTAL]]/1000</f>
        <v>0</v>
      </c>
      <c r="T819" s="9">
        <f>(MBQ[[#This Row],[HEIGHT (mm)]]+MBQ[[#This Row],[WIDTH (mm)]])/1000*2*MBQ[[#This Row],[QTY TOTAL]]</f>
        <v>0</v>
      </c>
      <c r="U819" s="266">
        <f>MBQ[[#This Row],[MULTIPLIER]]*MBQ[[#This Row],[QTY]]</f>
        <v>0</v>
      </c>
      <c r="V819" s="9">
        <f>MBQ[[#This Row],[HEIGHT (mm)]]/1000*MBQ[[#This Row],[WIDTH (mm)]]/1000*MBQ[[#This Row],[QTY TOTAL]]</f>
        <v>0</v>
      </c>
      <c r="W819" s="287">
        <f>ROUNDUP(MBQ[[#This Row],[HEIGHT (mm)]]/450*MBQ[[#This Row],[QTY]]*2,0)+ROUNDUP(MBQ[[#This Row],[WIDTH (mm)]]/450*MBQ[[#This Row],[QTY]]*2,0)</f>
        <v>0</v>
      </c>
    </row>
    <row r="820" spans="1:23" hidden="1">
      <c r="A820" s="258">
        <v>1</v>
      </c>
      <c r="B820" s="259"/>
      <c r="C820" s="233"/>
      <c r="D820" s="260"/>
      <c r="E820" s="260"/>
      <c r="F820" s="261"/>
      <c r="G820" s="262"/>
      <c r="H820" s="262"/>
      <c r="I820" s="260"/>
      <c r="J820" s="233"/>
      <c r="K820" s="263"/>
      <c r="L820" s="260"/>
      <c r="M820" s="263"/>
      <c r="N820" s="263"/>
      <c r="O820" s="264"/>
      <c r="P820" s="264"/>
      <c r="Q820" s="265"/>
      <c r="R820" s="30">
        <f>MBQ[[#This Row],[HEIGHT (mm)]]*MBQ[[#This Row],[QTY TOTAL]]/1000</f>
        <v>0</v>
      </c>
      <c r="S820" s="30">
        <f>MBQ[[#This Row],[WIDTH (mm)]]*MBQ[[#This Row],[QTY TOTAL]]/1000</f>
        <v>0</v>
      </c>
      <c r="T820" s="9">
        <f>(MBQ[[#This Row],[HEIGHT (mm)]]+MBQ[[#This Row],[WIDTH (mm)]])/1000*2*MBQ[[#This Row],[QTY TOTAL]]</f>
        <v>0</v>
      </c>
      <c r="U820" s="266">
        <f>MBQ[[#This Row],[MULTIPLIER]]*MBQ[[#This Row],[QTY]]</f>
        <v>0</v>
      </c>
      <c r="V820" s="9">
        <f>MBQ[[#This Row],[HEIGHT (mm)]]/1000*MBQ[[#This Row],[WIDTH (mm)]]/1000*MBQ[[#This Row],[QTY TOTAL]]</f>
        <v>0</v>
      </c>
      <c r="W820" s="287">
        <f>ROUNDUP(MBQ[[#This Row],[HEIGHT (mm)]]/450*MBQ[[#This Row],[QTY]]*2,0)+ROUNDUP(MBQ[[#This Row],[WIDTH (mm)]]/450*MBQ[[#This Row],[QTY]]*2,0)</f>
        <v>0</v>
      </c>
    </row>
    <row r="821" spans="1:23" hidden="1">
      <c r="A821" s="258">
        <v>1</v>
      </c>
      <c r="B821" s="259"/>
      <c r="C821" s="233"/>
      <c r="D821" s="260"/>
      <c r="E821" s="260"/>
      <c r="F821" s="261"/>
      <c r="G821" s="262"/>
      <c r="H821" s="262"/>
      <c r="I821" s="260"/>
      <c r="J821" s="233"/>
      <c r="K821" s="263"/>
      <c r="L821" s="260"/>
      <c r="M821" s="263"/>
      <c r="N821" s="263"/>
      <c r="O821" s="264"/>
      <c r="P821" s="264"/>
      <c r="Q821" s="265"/>
      <c r="R821" s="30">
        <f>MBQ[[#This Row],[HEIGHT (mm)]]*MBQ[[#This Row],[QTY TOTAL]]/1000</f>
        <v>0</v>
      </c>
      <c r="S821" s="30">
        <f>MBQ[[#This Row],[WIDTH (mm)]]*MBQ[[#This Row],[QTY TOTAL]]/1000</f>
        <v>0</v>
      </c>
      <c r="T821" s="9">
        <f>(MBQ[[#This Row],[HEIGHT (mm)]]+MBQ[[#This Row],[WIDTH (mm)]])/1000*2*MBQ[[#This Row],[QTY TOTAL]]</f>
        <v>0</v>
      </c>
      <c r="U821" s="266">
        <f>MBQ[[#This Row],[MULTIPLIER]]*MBQ[[#This Row],[QTY]]</f>
        <v>0</v>
      </c>
      <c r="V821" s="9">
        <f>MBQ[[#This Row],[HEIGHT (mm)]]/1000*MBQ[[#This Row],[WIDTH (mm)]]/1000*MBQ[[#This Row],[QTY TOTAL]]</f>
        <v>0</v>
      </c>
      <c r="W821" s="287">
        <f>ROUNDUP(MBQ[[#This Row],[HEIGHT (mm)]]/450*MBQ[[#This Row],[QTY]]*2,0)+ROUNDUP(MBQ[[#This Row],[WIDTH (mm)]]/450*MBQ[[#This Row],[QTY]]*2,0)</f>
        <v>0</v>
      </c>
    </row>
    <row r="822" spans="1:23" hidden="1">
      <c r="A822" s="258">
        <v>1</v>
      </c>
      <c r="B822" s="259"/>
      <c r="C822" s="233"/>
      <c r="D822" s="260"/>
      <c r="E822" s="260"/>
      <c r="F822" s="261"/>
      <c r="G822" s="262"/>
      <c r="H822" s="262"/>
      <c r="I822" s="260"/>
      <c r="J822" s="233"/>
      <c r="K822" s="263"/>
      <c r="L822" s="260"/>
      <c r="M822" s="263"/>
      <c r="N822" s="263"/>
      <c r="O822" s="264"/>
      <c r="P822" s="264"/>
      <c r="Q822" s="265"/>
      <c r="R822" s="30">
        <f>MBQ[[#This Row],[HEIGHT (mm)]]*MBQ[[#This Row],[QTY TOTAL]]/1000</f>
        <v>0</v>
      </c>
      <c r="S822" s="30">
        <f>MBQ[[#This Row],[WIDTH (mm)]]*MBQ[[#This Row],[QTY TOTAL]]/1000</f>
        <v>0</v>
      </c>
      <c r="T822" s="9">
        <f>(MBQ[[#This Row],[HEIGHT (mm)]]+MBQ[[#This Row],[WIDTH (mm)]])/1000*2*MBQ[[#This Row],[QTY TOTAL]]</f>
        <v>0</v>
      </c>
      <c r="U822" s="266">
        <f>MBQ[[#This Row],[MULTIPLIER]]*MBQ[[#This Row],[QTY]]</f>
        <v>0</v>
      </c>
      <c r="V822" s="9">
        <f>MBQ[[#This Row],[HEIGHT (mm)]]/1000*MBQ[[#This Row],[WIDTH (mm)]]/1000*MBQ[[#This Row],[QTY TOTAL]]</f>
        <v>0</v>
      </c>
      <c r="W822" s="287">
        <f>ROUNDUP(MBQ[[#This Row],[HEIGHT (mm)]]/450*MBQ[[#This Row],[QTY]]*2,0)+ROUNDUP(MBQ[[#This Row],[WIDTH (mm)]]/450*MBQ[[#This Row],[QTY]]*2,0)</f>
        <v>0</v>
      </c>
    </row>
    <row r="823" spans="1:23" hidden="1">
      <c r="A823" s="258">
        <v>1</v>
      </c>
      <c r="B823" s="259"/>
      <c r="C823" s="233"/>
      <c r="D823" s="260"/>
      <c r="E823" s="260"/>
      <c r="F823" s="261"/>
      <c r="G823" s="262"/>
      <c r="H823" s="262"/>
      <c r="I823" s="260"/>
      <c r="J823" s="233"/>
      <c r="K823" s="263"/>
      <c r="L823" s="260"/>
      <c r="M823" s="263"/>
      <c r="N823" s="263"/>
      <c r="O823" s="264"/>
      <c r="P823" s="264"/>
      <c r="Q823" s="265"/>
      <c r="R823" s="30">
        <f>MBQ[[#This Row],[HEIGHT (mm)]]*MBQ[[#This Row],[QTY TOTAL]]/1000</f>
        <v>0</v>
      </c>
      <c r="S823" s="30">
        <f>MBQ[[#This Row],[WIDTH (mm)]]*MBQ[[#This Row],[QTY TOTAL]]/1000</f>
        <v>0</v>
      </c>
      <c r="T823" s="9">
        <f>(MBQ[[#This Row],[HEIGHT (mm)]]+MBQ[[#This Row],[WIDTH (mm)]])/1000*2*MBQ[[#This Row],[QTY TOTAL]]</f>
        <v>0</v>
      </c>
      <c r="U823" s="266">
        <f>MBQ[[#This Row],[MULTIPLIER]]*MBQ[[#This Row],[QTY]]</f>
        <v>0</v>
      </c>
      <c r="V823" s="9">
        <f>MBQ[[#This Row],[HEIGHT (mm)]]/1000*MBQ[[#This Row],[WIDTH (mm)]]/1000*MBQ[[#This Row],[QTY TOTAL]]</f>
        <v>0</v>
      </c>
      <c r="W823" s="287">
        <f>ROUNDUP(MBQ[[#This Row],[HEIGHT (mm)]]/450*MBQ[[#This Row],[QTY]]*2,0)+ROUNDUP(MBQ[[#This Row],[WIDTH (mm)]]/450*MBQ[[#This Row],[QTY]]*2,0)</f>
        <v>0</v>
      </c>
    </row>
    <row r="824" spans="1:23" hidden="1">
      <c r="A824" s="258">
        <v>1</v>
      </c>
      <c r="B824" s="259"/>
      <c r="C824" s="233"/>
      <c r="D824" s="260"/>
      <c r="E824" s="260"/>
      <c r="F824" s="261"/>
      <c r="G824" s="262"/>
      <c r="H824" s="262"/>
      <c r="I824" s="260"/>
      <c r="J824" s="233"/>
      <c r="K824" s="263"/>
      <c r="L824" s="260"/>
      <c r="M824" s="263"/>
      <c r="N824" s="263"/>
      <c r="O824" s="264"/>
      <c r="P824" s="264"/>
      <c r="Q824" s="265"/>
      <c r="R824" s="30">
        <f>MBQ[[#This Row],[HEIGHT (mm)]]*MBQ[[#This Row],[QTY TOTAL]]/1000</f>
        <v>0</v>
      </c>
      <c r="S824" s="30">
        <f>MBQ[[#This Row],[WIDTH (mm)]]*MBQ[[#This Row],[QTY TOTAL]]/1000</f>
        <v>0</v>
      </c>
      <c r="T824" s="9">
        <f>(MBQ[[#This Row],[HEIGHT (mm)]]+MBQ[[#This Row],[WIDTH (mm)]])/1000*2*MBQ[[#This Row],[QTY TOTAL]]</f>
        <v>0</v>
      </c>
      <c r="U824" s="266">
        <f>MBQ[[#This Row],[MULTIPLIER]]*MBQ[[#This Row],[QTY]]</f>
        <v>0</v>
      </c>
      <c r="V824" s="9">
        <f>MBQ[[#This Row],[HEIGHT (mm)]]/1000*MBQ[[#This Row],[WIDTH (mm)]]/1000*MBQ[[#This Row],[QTY TOTAL]]</f>
        <v>0</v>
      </c>
      <c r="W824" s="287">
        <f>ROUNDUP(MBQ[[#This Row],[HEIGHT (mm)]]/450*MBQ[[#This Row],[QTY]]*2,0)+ROUNDUP(MBQ[[#This Row],[WIDTH (mm)]]/450*MBQ[[#This Row],[QTY]]*2,0)</f>
        <v>0</v>
      </c>
    </row>
    <row r="825" spans="1:23" hidden="1">
      <c r="A825" s="258">
        <v>1</v>
      </c>
      <c r="B825" s="259"/>
      <c r="C825" s="233"/>
      <c r="D825" s="260"/>
      <c r="E825" s="260"/>
      <c r="F825" s="261"/>
      <c r="G825" s="262"/>
      <c r="H825" s="262"/>
      <c r="I825" s="260"/>
      <c r="J825" s="233"/>
      <c r="K825" s="263"/>
      <c r="L825" s="260"/>
      <c r="M825" s="263"/>
      <c r="N825" s="263"/>
      <c r="O825" s="264"/>
      <c r="P825" s="264"/>
      <c r="Q825" s="265"/>
      <c r="R825" s="30">
        <f>MBQ[[#This Row],[HEIGHT (mm)]]*MBQ[[#This Row],[QTY TOTAL]]/1000</f>
        <v>0</v>
      </c>
      <c r="S825" s="30">
        <f>MBQ[[#This Row],[WIDTH (mm)]]*MBQ[[#This Row],[QTY TOTAL]]/1000</f>
        <v>0</v>
      </c>
      <c r="T825" s="9">
        <f>(MBQ[[#This Row],[HEIGHT (mm)]]+MBQ[[#This Row],[WIDTH (mm)]])/1000*2*MBQ[[#This Row],[QTY TOTAL]]</f>
        <v>0</v>
      </c>
      <c r="U825" s="266">
        <f>MBQ[[#This Row],[MULTIPLIER]]*MBQ[[#This Row],[QTY]]</f>
        <v>0</v>
      </c>
      <c r="V825" s="9">
        <f>MBQ[[#This Row],[HEIGHT (mm)]]/1000*MBQ[[#This Row],[WIDTH (mm)]]/1000*MBQ[[#This Row],[QTY TOTAL]]</f>
        <v>0</v>
      </c>
      <c r="W825" s="287">
        <f>ROUNDUP(MBQ[[#This Row],[HEIGHT (mm)]]/450*MBQ[[#This Row],[QTY]]*2,0)+ROUNDUP(MBQ[[#This Row],[WIDTH (mm)]]/450*MBQ[[#This Row],[QTY]]*2,0)</f>
        <v>0</v>
      </c>
    </row>
    <row r="826" spans="1:23" hidden="1">
      <c r="A826" s="258">
        <v>1</v>
      </c>
      <c r="B826" s="259"/>
      <c r="C826" s="233"/>
      <c r="D826" s="260"/>
      <c r="E826" s="260"/>
      <c r="F826" s="261"/>
      <c r="G826" s="262"/>
      <c r="H826" s="262"/>
      <c r="I826" s="260"/>
      <c r="J826" s="233"/>
      <c r="K826" s="263"/>
      <c r="L826" s="260"/>
      <c r="M826" s="263"/>
      <c r="N826" s="263"/>
      <c r="O826" s="264"/>
      <c r="P826" s="264"/>
      <c r="Q826" s="265"/>
      <c r="R826" s="30">
        <f>MBQ[[#This Row],[HEIGHT (mm)]]*MBQ[[#This Row],[QTY TOTAL]]/1000</f>
        <v>0</v>
      </c>
      <c r="S826" s="30">
        <f>MBQ[[#This Row],[WIDTH (mm)]]*MBQ[[#This Row],[QTY TOTAL]]/1000</f>
        <v>0</v>
      </c>
      <c r="T826" s="9">
        <f>(MBQ[[#This Row],[HEIGHT (mm)]]+MBQ[[#This Row],[WIDTH (mm)]])/1000*2*MBQ[[#This Row],[QTY TOTAL]]</f>
        <v>0</v>
      </c>
      <c r="U826" s="266">
        <f>MBQ[[#This Row],[MULTIPLIER]]*MBQ[[#This Row],[QTY]]</f>
        <v>0</v>
      </c>
      <c r="V826" s="9">
        <f>MBQ[[#This Row],[HEIGHT (mm)]]/1000*MBQ[[#This Row],[WIDTH (mm)]]/1000*MBQ[[#This Row],[QTY TOTAL]]</f>
        <v>0</v>
      </c>
      <c r="W826" s="287">
        <f>ROUNDUP(MBQ[[#This Row],[HEIGHT (mm)]]/450*MBQ[[#This Row],[QTY]]*2,0)+ROUNDUP(MBQ[[#This Row],[WIDTH (mm)]]/450*MBQ[[#This Row],[QTY]]*2,0)</f>
        <v>0</v>
      </c>
    </row>
    <row r="827" spans="1:23" hidden="1">
      <c r="A827" s="258">
        <v>1</v>
      </c>
      <c r="B827" s="259"/>
      <c r="C827" s="233"/>
      <c r="D827" s="260"/>
      <c r="E827" s="260"/>
      <c r="F827" s="261"/>
      <c r="G827" s="262"/>
      <c r="H827" s="262"/>
      <c r="I827" s="260"/>
      <c r="J827" s="233"/>
      <c r="K827" s="263"/>
      <c r="L827" s="260"/>
      <c r="M827" s="263"/>
      <c r="N827" s="263"/>
      <c r="O827" s="264"/>
      <c r="P827" s="264"/>
      <c r="Q827" s="265"/>
      <c r="R827" s="30">
        <f>MBQ[[#This Row],[HEIGHT (mm)]]*MBQ[[#This Row],[QTY TOTAL]]/1000</f>
        <v>0</v>
      </c>
      <c r="S827" s="30">
        <f>MBQ[[#This Row],[WIDTH (mm)]]*MBQ[[#This Row],[QTY TOTAL]]/1000</f>
        <v>0</v>
      </c>
      <c r="T827" s="9">
        <f>(MBQ[[#This Row],[HEIGHT (mm)]]+MBQ[[#This Row],[WIDTH (mm)]])/1000*2*MBQ[[#This Row],[QTY TOTAL]]</f>
        <v>0</v>
      </c>
      <c r="U827" s="266">
        <f>MBQ[[#This Row],[MULTIPLIER]]*MBQ[[#This Row],[QTY]]</f>
        <v>0</v>
      </c>
      <c r="V827" s="9">
        <f>MBQ[[#This Row],[HEIGHT (mm)]]/1000*MBQ[[#This Row],[WIDTH (mm)]]/1000*MBQ[[#This Row],[QTY TOTAL]]</f>
        <v>0</v>
      </c>
      <c r="W827" s="287">
        <f>ROUNDUP(MBQ[[#This Row],[HEIGHT (mm)]]/450*MBQ[[#This Row],[QTY]]*2,0)+ROUNDUP(MBQ[[#This Row],[WIDTH (mm)]]/450*MBQ[[#This Row],[QTY]]*2,0)</f>
        <v>0</v>
      </c>
    </row>
    <row r="828" spans="1:23" hidden="1">
      <c r="A828" s="258">
        <v>1</v>
      </c>
      <c r="B828" s="259"/>
      <c r="C828" s="233"/>
      <c r="D828" s="260"/>
      <c r="E828" s="260"/>
      <c r="F828" s="261"/>
      <c r="G828" s="262"/>
      <c r="H828" s="262"/>
      <c r="I828" s="260"/>
      <c r="J828" s="233"/>
      <c r="K828" s="263"/>
      <c r="L828" s="260"/>
      <c r="M828" s="263"/>
      <c r="N828" s="263"/>
      <c r="O828" s="264"/>
      <c r="P828" s="264"/>
      <c r="Q828" s="265"/>
      <c r="R828" s="30">
        <f>MBQ[[#This Row],[HEIGHT (mm)]]*MBQ[[#This Row],[QTY TOTAL]]/1000</f>
        <v>0</v>
      </c>
      <c r="S828" s="30">
        <f>MBQ[[#This Row],[WIDTH (mm)]]*MBQ[[#This Row],[QTY TOTAL]]/1000</f>
        <v>0</v>
      </c>
      <c r="T828" s="9">
        <f>(MBQ[[#This Row],[HEIGHT (mm)]]+MBQ[[#This Row],[WIDTH (mm)]])/1000*2*MBQ[[#This Row],[QTY TOTAL]]</f>
        <v>0</v>
      </c>
      <c r="U828" s="266">
        <f>MBQ[[#This Row],[MULTIPLIER]]*MBQ[[#This Row],[QTY]]</f>
        <v>0</v>
      </c>
      <c r="V828" s="9">
        <f>MBQ[[#This Row],[HEIGHT (mm)]]/1000*MBQ[[#This Row],[WIDTH (mm)]]/1000*MBQ[[#This Row],[QTY TOTAL]]</f>
        <v>0</v>
      </c>
      <c r="W828" s="287">
        <f>ROUNDUP(MBQ[[#This Row],[HEIGHT (mm)]]/450*MBQ[[#This Row],[QTY]]*2,0)+ROUNDUP(MBQ[[#This Row],[WIDTH (mm)]]/450*MBQ[[#This Row],[QTY]]*2,0)</f>
        <v>0</v>
      </c>
    </row>
    <row r="829" spans="1:23" hidden="1">
      <c r="A829" s="258">
        <v>1</v>
      </c>
      <c r="B829" s="259"/>
      <c r="C829" s="233"/>
      <c r="D829" s="260"/>
      <c r="E829" s="260"/>
      <c r="F829" s="261"/>
      <c r="G829" s="262"/>
      <c r="H829" s="262"/>
      <c r="I829" s="260"/>
      <c r="J829" s="233"/>
      <c r="K829" s="263"/>
      <c r="L829" s="260"/>
      <c r="M829" s="263"/>
      <c r="N829" s="263"/>
      <c r="O829" s="264"/>
      <c r="P829" s="264"/>
      <c r="Q829" s="265"/>
      <c r="R829" s="30">
        <f>MBQ[[#This Row],[HEIGHT (mm)]]*MBQ[[#This Row],[QTY TOTAL]]/1000</f>
        <v>0</v>
      </c>
      <c r="S829" s="30">
        <f>MBQ[[#This Row],[WIDTH (mm)]]*MBQ[[#This Row],[QTY TOTAL]]/1000</f>
        <v>0</v>
      </c>
      <c r="T829" s="9">
        <f>(MBQ[[#This Row],[HEIGHT (mm)]]+MBQ[[#This Row],[WIDTH (mm)]])/1000*2*MBQ[[#This Row],[QTY TOTAL]]</f>
        <v>0</v>
      </c>
      <c r="U829" s="266">
        <f>MBQ[[#This Row],[MULTIPLIER]]*MBQ[[#This Row],[QTY]]</f>
        <v>0</v>
      </c>
      <c r="V829" s="9">
        <f>MBQ[[#This Row],[HEIGHT (mm)]]/1000*MBQ[[#This Row],[WIDTH (mm)]]/1000*MBQ[[#This Row],[QTY TOTAL]]</f>
        <v>0</v>
      </c>
      <c r="W829" s="287">
        <f>ROUNDUP(MBQ[[#This Row],[HEIGHT (mm)]]/450*MBQ[[#This Row],[QTY]]*2,0)+ROUNDUP(MBQ[[#This Row],[WIDTH (mm)]]/450*MBQ[[#This Row],[QTY]]*2,0)</f>
        <v>0</v>
      </c>
    </row>
    <row r="830" spans="1:23" hidden="1">
      <c r="A830" s="258">
        <v>1</v>
      </c>
      <c r="B830" s="259"/>
      <c r="C830" s="233"/>
      <c r="D830" s="260"/>
      <c r="E830" s="260"/>
      <c r="F830" s="261"/>
      <c r="G830" s="262"/>
      <c r="H830" s="262"/>
      <c r="I830" s="260"/>
      <c r="J830" s="233"/>
      <c r="K830" s="263"/>
      <c r="L830" s="260"/>
      <c r="M830" s="263"/>
      <c r="N830" s="263"/>
      <c r="O830" s="264"/>
      <c r="P830" s="264"/>
      <c r="Q830" s="265"/>
      <c r="R830" s="30">
        <f>MBQ[[#This Row],[HEIGHT (mm)]]*MBQ[[#This Row],[QTY TOTAL]]/1000</f>
        <v>0</v>
      </c>
      <c r="S830" s="30">
        <f>MBQ[[#This Row],[WIDTH (mm)]]*MBQ[[#This Row],[QTY TOTAL]]/1000</f>
        <v>0</v>
      </c>
      <c r="T830" s="9">
        <f>(MBQ[[#This Row],[HEIGHT (mm)]]+MBQ[[#This Row],[WIDTH (mm)]])/1000*2*MBQ[[#This Row],[QTY TOTAL]]</f>
        <v>0</v>
      </c>
      <c r="U830" s="266">
        <f>MBQ[[#This Row],[MULTIPLIER]]*MBQ[[#This Row],[QTY]]</f>
        <v>0</v>
      </c>
      <c r="V830" s="9">
        <f>MBQ[[#This Row],[HEIGHT (mm)]]/1000*MBQ[[#This Row],[WIDTH (mm)]]/1000*MBQ[[#This Row],[QTY TOTAL]]</f>
        <v>0</v>
      </c>
      <c r="W830" s="287">
        <f>ROUNDUP(MBQ[[#This Row],[HEIGHT (mm)]]/450*MBQ[[#This Row],[QTY]]*2,0)+ROUNDUP(MBQ[[#This Row],[WIDTH (mm)]]/450*MBQ[[#This Row],[QTY]]*2,0)</f>
        <v>0</v>
      </c>
    </row>
    <row r="831" spans="1:23" hidden="1">
      <c r="A831" s="258">
        <v>1</v>
      </c>
      <c r="B831" s="259"/>
      <c r="C831" s="233"/>
      <c r="D831" s="260"/>
      <c r="E831" s="260"/>
      <c r="F831" s="261"/>
      <c r="G831" s="262"/>
      <c r="H831" s="262"/>
      <c r="I831" s="260"/>
      <c r="J831" s="233"/>
      <c r="K831" s="263"/>
      <c r="L831" s="260"/>
      <c r="M831" s="263"/>
      <c r="N831" s="263"/>
      <c r="O831" s="264"/>
      <c r="P831" s="264"/>
      <c r="Q831" s="265"/>
      <c r="R831" s="30">
        <f>MBQ[[#This Row],[HEIGHT (mm)]]*MBQ[[#This Row],[QTY TOTAL]]/1000</f>
        <v>0</v>
      </c>
      <c r="S831" s="30">
        <f>MBQ[[#This Row],[WIDTH (mm)]]*MBQ[[#This Row],[QTY TOTAL]]/1000</f>
        <v>0</v>
      </c>
      <c r="T831" s="9">
        <f>(MBQ[[#This Row],[HEIGHT (mm)]]+MBQ[[#This Row],[WIDTH (mm)]])/1000*2*MBQ[[#This Row],[QTY TOTAL]]</f>
        <v>0</v>
      </c>
      <c r="U831" s="266">
        <f>MBQ[[#This Row],[MULTIPLIER]]*MBQ[[#This Row],[QTY]]</f>
        <v>0</v>
      </c>
      <c r="V831" s="9">
        <f>MBQ[[#This Row],[HEIGHT (mm)]]/1000*MBQ[[#This Row],[WIDTH (mm)]]/1000*MBQ[[#This Row],[QTY TOTAL]]</f>
        <v>0</v>
      </c>
      <c r="W831" s="287">
        <f>ROUNDUP(MBQ[[#This Row],[HEIGHT (mm)]]/450*MBQ[[#This Row],[QTY]]*2,0)+ROUNDUP(MBQ[[#This Row],[WIDTH (mm)]]/450*MBQ[[#This Row],[QTY]]*2,0)</f>
        <v>0</v>
      </c>
    </row>
    <row r="832" spans="1:23" hidden="1">
      <c r="A832" s="258">
        <v>1</v>
      </c>
      <c r="B832" s="259"/>
      <c r="C832" s="233"/>
      <c r="D832" s="260"/>
      <c r="E832" s="260"/>
      <c r="F832" s="261"/>
      <c r="G832" s="262"/>
      <c r="H832" s="262"/>
      <c r="I832" s="260"/>
      <c r="J832" s="233"/>
      <c r="K832" s="263"/>
      <c r="L832" s="260"/>
      <c r="M832" s="263"/>
      <c r="N832" s="263"/>
      <c r="O832" s="264"/>
      <c r="P832" s="264"/>
      <c r="Q832" s="265"/>
      <c r="R832" s="30">
        <f>MBQ[[#This Row],[HEIGHT (mm)]]*MBQ[[#This Row],[QTY TOTAL]]/1000</f>
        <v>0</v>
      </c>
      <c r="S832" s="30">
        <f>MBQ[[#This Row],[WIDTH (mm)]]*MBQ[[#This Row],[QTY TOTAL]]/1000</f>
        <v>0</v>
      </c>
      <c r="T832" s="9">
        <f>(MBQ[[#This Row],[HEIGHT (mm)]]+MBQ[[#This Row],[WIDTH (mm)]])/1000*2*MBQ[[#This Row],[QTY TOTAL]]</f>
        <v>0</v>
      </c>
      <c r="U832" s="266">
        <f>MBQ[[#This Row],[MULTIPLIER]]*MBQ[[#This Row],[QTY]]</f>
        <v>0</v>
      </c>
      <c r="V832" s="9">
        <f>MBQ[[#This Row],[HEIGHT (mm)]]/1000*MBQ[[#This Row],[WIDTH (mm)]]/1000*MBQ[[#This Row],[QTY TOTAL]]</f>
        <v>0</v>
      </c>
      <c r="W832" s="287">
        <f>ROUNDUP(MBQ[[#This Row],[HEIGHT (mm)]]/450*MBQ[[#This Row],[QTY]]*2,0)+ROUNDUP(MBQ[[#This Row],[WIDTH (mm)]]/450*MBQ[[#This Row],[QTY]]*2,0)</f>
        <v>0</v>
      </c>
    </row>
    <row r="833" spans="1:23" hidden="1">
      <c r="A833" s="258">
        <v>1</v>
      </c>
      <c r="B833" s="259"/>
      <c r="C833" s="233"/>
      <c r="D833" s="260"/>
      <c r="E833" s="260"/>
      <c r="F833" s="261"/>
      <c r="G833" s="262"/>
      <c r="H833" s="262"/>
      <c r="I833" s="260"/>
      <c r="J833" s="233"/>
      <c r="K833" s="263"/>
      <c r="L833" s="260"/>
      <c r="M833" s="263"/>
      <c r="N833" s="263"/>
      <c r="O833" s="264"/>
      <c r="P833" s="264"/>
      <c r="Q833" s="265"/>
      <c r="R833" s="30">
        <f>MBQ[[#This Row],[HEIGHT (mm)]]*MBQ[[#This Row],[QTY TOTAL]]/1000</f>
        <v>0</v>
      </c>
      <c r="S833" s="30">
        <f>MBQ[[#This Row],[WIDTH (mm)]]*MBQ[[#This Row],[QTY TOTAL]]/1000</f>
        <v>0</v>
      </c>
      <c r="T833" s="9">
        <f>(MBQ[[#This Row],[HEIGHT (mm)]]+MBQ[[#This Row],[WIDTH (mm)]])/1000*2*MBQ[[#This Row],[QTY TOTAL]]</f>
        <v>0</v>
      </c>
      <c r="U833" s="266">
        <f>MBQ[[#This Row],[MULTIPLIER]]*MBQ[[#This Row],[QTY]]</f>
        <v>0</v>
      </c>
      <c r="V833" s="9">
        <f>MBQ[[#This Row],[HEIGHT (mm)]]/1000*MBQ[[#This Row],[WIDTH (mm)]]/1000*MBQ[[#This Row],[QTY TOTAL]]</f>
        <v>0</v>
      </c>
      <c r="W833" s="287">
        <f>ROUNDUP(MBQ[[#This Row],[HEIGHT (mm)]]/450*MBQ[[#This Row],[QTY]]*2,0)+ROUNDUP(MBQ[[#This Row],[WIDTH (mm)]]/450*MBQ[[#This Row],[QTY]]*2,0)</f>
        <v>0</v>
      </c>
    </row>
    <row r="834" spans="1:23" hidden="1">
      <c r="A834" s="258">
        <v>1</v>
      </c>
      <c r="B834" s="259"/>
      <c r="C834" s="233"/>
      <c r="D834" s="260"/>
      <c r="E834" s="260"/>
      <c r="F834" s="261"/>
      <c r="G834" s="262"/>
      <c r="H834" s="262"/>
      <c r="I834" s="260"/>
      <c r="J834" s="233"/>
      <c r="K834" s="263"/>
      <c r="L834" s="260"/>
      <c r="M834" s="263"/>
      <c r="N834" s="263"/>
      <c r="O834" s="264"/>
      <c r="P834" s="264"/>
      <c r="Q834" s="265"/>
      <c r="R834" s="30">
        <f>MBQ[[#This Row],[HEIGHT (mm)]]*MBQ[[#This Row],[QTY TOTAL]]/1000</f>
        <v>0</v>
      </c>
      <c r="S834" s="30">
        <f>MBQ[[#This Row],[WIDTH (mm)]]*MBQ[[#This Row],[QTY TOTAL]]/1000</f>
        <v>0</v>
      </c>
      <c r="T834" s="9">
        <f>(MBQ[[#This Row],[HEIGHT (mm)]]+MBQ[[#This Row],[WIDTH (mm)]])/1000*2*MBQ[[#This Row],[QTY TOTAL]]</f>
        <v>0</v>
      </c>
      <c r="U834" s="266">
        <f>MBQ[[#This Row],[MULTIPLIER]]*MBQ[[#This Row],[QTY]]</f>
        <v>0</v>
      </c>
      <c r="V834" s="9">
        <f>MBQ[[#This Row],[HEIGHT (mm)]]/1000*MBQ[[#This Row],[WIDTH (mm)]]/1000*MBQ[[#This Row],[QTY TOTAL]]</f>
        <v>0</v>
      </c>
      <c r="W834" s="287">
        <f>ROUNDUP(MBQ[[#This Row],[HEIGHT (mm)]]/450*MBQ[[#This Row],[QTY]]*2,0)+ROUNDUP(MBQ[[#This Row],[WIDTH (mm)]]/450*MBQ[[#This Row],[QTY]]*2,0)</f>
        <v>0</v>
      </c>
    </row>
    <row r="835" spans="1:23" hidden="1">
      <c r="A835" s="258">
        <v>1</v>
      </c>
      <c r="B835" s="259"/>
      <c r="C835" s="233"/>
      <c r="D835" s="260"/>
      <c r="E835" s="260"/>
      <c r="F835" s="261"/>
      <c r="G835" s="262"/>
      <c r="H835" s="262"/>
      <c r="I835" s="260"/>
      <c r="J835" s="233"/>
      <c r="K835" s="263"/>
      <c r="L835" s="260"/>
      <c r="M835" s="263"/>
      <c r="N835" s="263"/>
      <c r="O835" s="264"/>
      <c r="P835" s="264"/>
      <c r="Q835" s="265"/>
      <c r="R835" s="30">
        <f>MBQ[[#This Row],[HEIGHT (mm)]]*MBQ[[#This Row],[QTY TOTAL]]/1000</f>
        <v>0</v>
      </c>
      <c r="S835" s="30">
        <f>MBQ[[#This Row],[WIDTH (mm)]]*MBQ[[#This Row],[QTY TOTAL]]/1000</f>
        <v>0</v>
      </c>
      <c r="T835" s="9">
        <f>(MBQ[[#This Row],[HEIGHT (mm)]]+MBQ[[#This Row],[WIDTH (mm)]])/1000*2*MBQ[[#This Row],[QTY TOTAL]]</f>
        <v>0</v>
      </c>
      <c r="U835" s="266">
        <f>MBQ[[#This Row],[MULTIPLIER]]*MBQ[[#This Row],[QTY]]</f>
        <v>0</v>
      </c>
      <c r="V835" s="9">
        <f>MBQ[[#This Row],[HEIGHT (mm)]]/1000*MBQ[[#This Row],[WIDTH (mm)]]/1000*MBQ[[#This Row],[QTY TOTAL]]</f>
        <v>0</v>
      </c>
      <c r="W835" s="287">
        <f>ROUNDUP(MBQ[[#This Row],[HEIGHT (mm)]]/450*MBQ[[#This Row],[QTY]]*2,0)+ROUNDUP(MBQ[[#This Row],[WIDTH (mm)]]/450*MBQ[[#This Row],[QTY]]*2,0)</f>
        <v>0</v>
      </c>
    </row>
    <row r="836" spans="1:23" hidden="1">
      <c r="A836" s="258">
        <v>1</v>
      </c>
      <c r="B836" s="259"/>
      <c r="C836" s="233"/>
      <c r="D836" s="260"/>
      <c r="E836" s="260"/>
      <c r="F836" s="261"/>
      <c r="G836" s="262"/>
      <c r="H836" s="262"/>
      <c r="I836" s="260"/>
      <c r="J836" s="233"/>
      <c r="K836" s="263"/>
      <c r="L836" s="260"/>
      <c r="M836" s="263"/>
      <c r="N836" s="263"/>
      <c r="O836" s="264"/>
      <c r="P836" s="264"/>
      <c r="Q836" s="265"/>
      <c r="R836" s="30">
        <f>MBQ[[#This Row],[HEIGHT (mm)]]*MBQ[[#This Row],[QTY TOTAL]]/1000</f>
        <v>0</v>
      </c>
      <c r="S836" s="30">
        <f>MBQ[[#This Row],[WIDTH (mm)]]*MBQ[[#This Row],[QTY TOTAL]]/1000</f>
        <v>0</v>
      </c>
      <c r="T836" s="9">
        <f>(MBQ[[#This Row],[HEIGHT (mm)]]+MBQ[[#This Row],[WIDTH (mm)]])/1000*2*MBQ[[#This Row],[QTY TOTAL]]</f>
        <v>0</v>
      </c>
      <c r="U836" s="266">
        <f>MBQ[[#This Row],[MULTIPLIER]]*MBQ[[#This Row],[QTY]]</f>
        <v>0</v>
      </c>
      <c r="V836" s="9">
        <f>MBQ[[#This Row],[HEIGHT (mm)]]/1000*MBQ[[#This Row],[WIDTH (mm)]]/1000*MBQ[[#This Row],[QTY TOTAL]]</f>
        <v>0</v>
      </c>
      <c r="W836" s="287">
        <f>ROUNDUP(MBQ[[#This Row],[HEIGHT (mm)]]/450*MBQ[[#This Row],[QTY]]*2,0)+ROUNDUP(MBQ[[#This Row],[WIDTH (mm)]]/450*MBQ[[#This Row],[QTY]]*2,0)</f>
        <v>0</v>
      </c>
    </row>
    <row r="837" spans="1:23" hidden="1">
      <c r="A837" s="258">
        <v>1</v>
      </c>
      <c r="B837" s="259"/>
      <c r="C837" s="233"/>
      <c r="D837" s="260"/>
      <c r="E837" s="260"/>
      <c r="F837" s="261"/>
      <c r="G837" s="262"/>
      <c r="H837" s="262"/>
      <c r="I837" s="260"/>
      <c r="J837" s="233"/>
      <c r="K837" s="263"/>
      <c r="L837" s="260"/>
      <c r="M837" s="263"/>
      <c r="N837" s="263"/>
      <c r="O837" s="264"/>
      <c r="P837" s="264"/>
      <c r="Q837" s="265"/>
      <c r="R837" s="30">
        <f>MBQ[[#This Row],[HEIGHT (mm)]]*MBQ[[#This Row],[QTY TOTAL]]/1000</f>
        <v>0</v>
      </c>
      <c r="S837" s="30">
        <f>MBQ[[#This Row],[WIDTH (mm)]]*MBQ[[#This Row],[QTY TOTAL]]/1000</f>
        <v>0</v>
      </c>
      <c r="T837" s="9">
        <f>(MBQ[[#This Row],[HEIGHT (mm)]]+MBQ[[#This Row],[WIDTH (mm)]])/1000*2*MBQ[[#This Row],[QTY TOTAL]]</f>
        <v>0</v>
      </c>
      <c r="U837" s="266">
        <f>MBQ[[#This Row],[MULTIPLIER]]*MBQ[[#This Row],[QTY]]</f>
        <v>0</v>
      </c>
      <c r="V837" s="9">
        <f>MBQ[[#This Row],[HEIGHT (mm)]]/1000*MBQ[[#This Row],[WIDTH (mm)]]/1000*MBQ[[#This Row],[QTY TOTAL]]</f>
        <v>0</v>
      </c>
      <c r="W837" s="287">
        <f>ROUNDUP(MBQ[[#This Row],[HEIGHT (mm)]]/450*MBQ[[#This Row],[QTY]]*2,0)+ROUNDUP(MBQ[[#This Row],[WIDTH (mm)]]/450*MBQ[[#This Row],[QTY]]*2,0)</f>
        <v>0</v>
      </c>
    </row>
    <row r="838" spans="1:23" hidden="1">
      <c r="A838" s="258">
        <v>1</v>
      </c>
      <c r="B838" s="259"/>
      <c r="C838" s="233"/>
      <c r="D838" s="260"/>
      <c r="E838" s="260"/>
      <c r="F838" s="261"/>
      <c r="G838" s="262"/>
      <c r="H838" s="262"/>
      <c r="I838" s="260"/>
      <c r="J838" s="233"/>
      <c r="K838" s="263"/>
      <c r="L838" s="260"/>
      <c r="M838" s="263"/>
      <c r="N838" s="263"/>
      <c r="O838" s="264"/>
      <c r="P838" s="264"/>
      <c r="Q838" s="265"/>
      <c r="R838" s="30">
        <f>MBQ[[#This Row],[HEIGHT (mm)]]*MBQ[[#This Row],[QTY TOTAL]]/1000</f>
        <v>0</v>
      </c>
      <c r="S838" s="30">
        <f>MBQ[[#This Row],[WIDTH (mm)]]*MBQ[[#This Row],[QTY TOTAL]]/1000</f>
        <v>0</v>
      </c>
      <c r="T838" s="9">
        <f>(MBQ[[#This Row],[HEIGHT (mm)]]+MBQ[[#This Row],[WIDTH (mm)]])/1000*2*MBQ[[#This Row],[QTY TOTAL]]</f>
        <v>0</v>
      </c>
      <c r="U838" s="266">
        <f>MBQ[[#This Row],[MULTIPLIER]]*MBQ[[#This Row],[QTY]]</f>
        <v>0</v>
      </c>
      <c r="V838" s="9">
        <f>MBQ[[#This Row],[HEIGHT (mm)]]/1000*MBQ[[#This Row],[WIDTH (mm)]]/1000*MBQ[[#This Row],[QTY TOTAL]]</f>
        <v>0</v>
      </c>
      <c r="W838" s="287">
        <f>ROUNDUP(MBQ[[#This Row],[HEIGHT (mm)]]/450*MBQ[[#This Row],[QTY]]*2,0)+ROUNDUP(MBQ[[#This Row],[WIDTH (mm)]]/450*MBQ[[#This Row],[QTY]]*2,0)</f>
        <v>0</v>
      </c>
    </row>
    <row r="839" spans="1:23" hidden="1">
      <c r="A839" s="258">
        <v>1</v>
      </c>
      <c r="B839" s="259"/>
      <c r="C839" s="233"/>
      <c r="D839" s="260"/>
      <c r="E839" s="260"/>
      <c r="F839" s="261"/>
      <c r="G839" s="262"/>
      <c r="H839" s="262"/>
      <c r="I839" s="260"/>
      <c r="J839" s="233"/>
      <c r="K839" s="263"/>
      <c r="L839" s="260"/>
      <c r="M839" s="263"/>
      <c r="N839" s="263"/>
      <c r="O839" s="264"/>
      <c r="P839" s="264"/>
      <c r="Q839" s="265"/>
      <c r="R839" s="30">
        <f>MBQ[[#This Row],[HEIGHT (mm)]]*MBQ[[#This Row],[QTY TOTAL]]/1000</f>
        <v>0</v>
      </c>
      <c r="S839" s="30">
        <f>MBQ[[#This Row],[WIDTH (mm)]]*MBQ[[#This Row],[QTY TOTAL]]/1000</f>
        <v>0</v>
      </c>
      <c r="T839" s="9">
        <f>(MBQ[[#This Row],[HEIGHT (mm)]]+MBQ[[#This Row],[WIDTH (mm)]])/1000*2*MBQ[[#This Row],[QTY TOTAL]]</f>
        <v>0</v>
      </c>
      <c r="U839" s="266">
        <f>MBQ[[#This Row],[MULTIPLIER]]*MBQ[[#This Row],[QTY]]</f>
        <v>0</v>
      </c>
      <c r="V839" s="9">
        <f>MBQ[[#This Row],[HEIGHT (mm)]]/1000*MBQ[[#This Row],[WIDTH (mm)]]/1000*MBQ[[#This Row],[QTY TOTAL]]</f>
        <v>0</v>
      </c>
      <c r="W839" s="287">
        <f>ROUNDUP(MBQ[[#This Row],[HEIGHT (mm)]]/450*MBQ[[#This Row],[QTY]]*2,0)+ROUNDUP(MBQ[[#This Row],[WIDTH (mm)]]/450*MBQ[[#This Row],[QTY]]*2,0)</f>
        <v>0</v>
      </c>
    </row>
    <row r="840" spans="1:23" hidden="1">
      <c r="A840" s="258">
        <v>1</v>
      </c>
      <c r="B840" s="259"/>
      <c r="C840" s="233"/>
      <c r="D840" s="260"/>
      <c r="E840" s="260"/>
      <c r="F840" s="261"/>
      <c r="G840" s="262"/>
      <c r="H840" s="262"/>
      <c r="I840" s="260"/>
      <c r="J840" s="233"/>
      <c r="K840" s="263"/>
      <c r="L840" s="260"/>
      <c r="M840" s="263"/>
      <c r="N840" s="263"/>
      <c r="O840" s="264"/>
      <c r="P840" s="264"/>
      <c r="Q840" s="265"/>
      <c r="R840" s="30">
        <f>MBQ[[#This Row],[HEIGHT (mm)]]*MBQ[[#This Row],[QTY TOTAL]]/1000</f>
        <v>0</v>
      </c>
      <c r="S840" s="30">
        <f>MBQ[[#This Row],[WIDTH (mm)]]*MBQ[[#This Row],[QTY TOTAL]]/1000</f>
        <v>0</v>
      </c>
      <c r="T840" s="9">
        <f>(MBQ[[#This Row],[HEIGHT (mm)]]+MBQ[[#This Row],[WIDTH (mm)]])/1000*2*MBQ[[#This Row],[QTY TOTAL]]</f>
        <v>0</v>
      </c>
      <c r="U840" s="266">
        <f>MBQ[[#This Row],[MULTIPLIER]]*MBQ[[#This Row],[QTY]]</f>
        <v>0</v>
      </c>
      <c r="V840" s="9">
        <f>MBQ[[#This Row],[HEIGHT (mm)]]/1000*MBQ[[#This Row],[WIDTH (mm)]]/1000*MBQ[[#This Row],[QTY TOTAL]]</f>
        <v>0</v>
      </c>
      <c r="W840" s="287">
        <f>ROUNDUP(MBQ[[#This Row],[HEIGHT (mm)]]/450*MBQ[[#This Row],[QTY]]*2,0)+ROUNDUP(MBQ[[#This Row],[WIDTH (mm)]]/450*MBQ[[#This Row],[QTY]]*2,0)</f>
        <v>0</v>
      </c>
    </row>
    <row r="841" spans="1:23" hidden="1">
      <c r="A841" s="258">
        <v>1</v>
      </c>
      <c r="B841" s="259"/>
      <c r="C841" s="233"/>
      <c r="D841" s="260"/>
      <c r="E841" s="260"/>
      <c r="F841" s="261"/>
      <c r="G841" s="262"/>
      <c r="H841" s="262"/>
      <c r="I841" s="260"/>
      <c r="J841" s="233"/>
      <c r="K841" s="263"/>
      <c r="L841" s="260"/>
      <c r="M841" s="263"/>
      <c r="N841" s="263"/>
      <c r="O841" s="264"/>
      <c r="P841" s="264"/>
      <c r="Q841" s="265"/>
      <c r="R841" s="30">
        <f>MBQ[[#This Row],[HEIGHT (mm)]]*MBQ[[#This Row],[QTY TOTAL]]/1000</f>
        <v>0</v>
      </c>
      <c r="S841" s="30">
        <f>MBQ[[#This Row],[WIDTH (mm)]]*MBQ[[#This Row],[QTY TOTAL]]/1000</f>
        <v>0</v>
      </c>
      <c r="T841" s="9">
        <f>(MBQ[[#This Row],[HEIGHT (mm)]]+MBQ[[#This Row],[WIDTH (mm)]])/1000*2*MBQ[[#This Row],[QTY TOTAL]]</f>
        <v>0</v>
      </c>
      <c r="U841" s="266">
        <f>MBQ[[#This Row],[MULTIPLIER]]*MBQ[[#This Row],[QTY]]</f>
        <v>0</v>
      </c>
      <c r="V841" s="9">
        <f>MBQ[[#This Row],[HEIGHT (mm)]]/1000*MBQ[[#This Row],[WIDTH (mm)]]/1000*MBQ[[#This Row],[QTY TOTAL]]</f>
        <v>0</v>
      </c>
      <c r="W841" s="287">
        <f>ROUNDUP(MBQ[[#This Row],[HEIGHT (mm)]]/450*MBQ[[#This Row],[QTY]]*2,0)+ROUNDUP(MBQ[[#This Row],[WIDTH (mm)]]/450*MBQ[[#This Row],[QTY]]*2,0)</f>
        <v>0</v>
      </c>
    </row>
    <row r="842" spans="1:23" hidden="1">
      <c r="A842" s="258">
        <v>1</v>
      </c>
      <c r="B842" s="259"/>
      <c r="C842" s="233"/>
      <c r="D842" s="260"/>
      <c r="E842" s="260"/>
      <c r="F842" s="261"/>
      <c r="G842" s="262"/>
      <c r="H842" s="262"/>
      <c r="I842" s="260"/>
      <c r="J842" s="233"/>
      <c r="K842" s="263"/>
      <c r="L842" s="260"/>
      <c r="M842" s="263"/>
      <c r="N842" s="263"/>
      <c r="O842" s="264"/>
      <c r="P842" s="264"/>
      <c r="Q842" s="265"/>
      <c r="R842" s="30">
        <f>MBQ[[#This Row],[HEIGHT (mm)]]*MBQ[[#This Row],[QTY TOTAL]]/1000</f>
        <v>0</v>
      </c>
      <c r="S842" s="30">
        <f>MBQ[[#This Row],[WIDTH (mm)]]*MBQ[[#This Row],[QTY TOTAL]]/1000</f>
        <v>0</v>
      </c>
      <c r="T842" s="9">
        <f>(MBQ[[#This Row],[HEIGHT (mm)]]+MBQ[[#This Row],[WIDTH (mm)]])/1000*2*MBQ[[#This Row],[QTY TOTAL]]</f>
        <v>0</v>
      </c>
      <c r="U842" s="266">
        <f>MBQ[[#This Row],[MULTIPLIER]]*MBQ[[#This Row],[QTY]]</f>
        <v>0</v>
      </c>
      <c r="V842" s="9">
        <f>MBQ[[#This Row],[HEIGHT (mm)]]/1000*MBQ[[#This Row],[WIDTH (mm)]]/1000*MBQ[[#This Row],[QTY TOTAL]]</f>
        <v>0</v>
      </c>
      <c r="W842" s="287">
        <f>ROUNDUP(MBQ[[#This Row],[HEIGHT (mm)]]/450*MBQ[[#This Row],[QTY]]*2,0)+ROUNDUP(MBQ[[#This Row],[WIDTH (mm)]]/450*MBQ[[#This Row],[QTY]]*2,0)</f>
        <v>0</v>
      </c>
    </row>
    <row r="843" spans="1:23" hidden="1">
      <c r="A843" s="258">
        <v>1</v>
      </c>
      <c r="B843" s="259"/>
      <c r="C843" s="233"/>
      <c r="D843" s="260"/>
      <c r="E843" s="260"/>
      <c r="F843" s="261"/>
      <c r="G843" s="262"/>
      <c r="H843" s="262"/>
      <c r="I843" s="260"/>
      <c r="J843" s="233"/>
      <c r="K843" s="263"/>
      <c r="L843" s="260"/>
      <c r="M843" s="263"/>
      <c r="N843" s="263"/>
      <c r="O843" s="264"/>
      <c r="P843" s="264"/>
      <c r="Q843" s="265"/>
      <c r="R843" s="30">
        <f>MBQ[[#This Row],[HEIGHT (mm)]]*MBQ[[#This Row],[QTY TOTAL]]/1000</f>
        <v>0</v>
      </c>
      <c r="S843" s="30">
        <f>MBQ[[#This Row],[WIDTH (mm)]]*MBQ[[#This Row],[QTY TOTAL]]/1000</f>
        <v>0</v>
      </c>
      <c r="T843" s="9">
        <f>(MBQ[[#This Row],[HEIGHT (mm)]]+MBQ[[#This Row],[WIDTH (mm)]])/1000*2*MBQ[[#This Row],[QTY TOTAL]]</f>
        <v>0</v>
      </c>
      <c r="U843" s="266">
        <f>MBQ[[#This Row],[MULTIPLIER]]*MBQ[[#This Row],[QTY]]</f>
        <v>0</v>
      </c>
      <c r="V843" s="9">
        <f>MBQ[[#This Row],[HEIGHT (mm)]]/1000*MBQ[[#This Row],[WIDTH (mm)]]/1000*MBQ[[#This Row],[QTY TOTAL]]</f>
        <v>0</v>
      </c>
      <c r="W843" s="287">
        <f>ROUNDUP(MBQ[[#This Row],[HEIGHT (mm)]]/450*MBQ[[#This Row],[QTY]]*2,0)+ROUNDUP(MBQ[[#This Row],[WIDTH (mm)]]/450*MBQ[[#This Row],[QTY]]*2,0)</f>
        <v>0</v>
      </c>
    </row>
    <row r="844" spans="1:23" hidden="1">
      <c r="A844" s="258">
        <v>1</v>
      </c>
      <c r="B844" s="259"/>
      <c r="C844" s="233"/>
      <c r="D844" s="260"/>
      <c r="E844" s="260"/>
      <c r="F844" s="261"/>
      <c r="G844" s="262"/>
      <c r="H844" s="262"/>
      <c r="I844" s="260"/>
      <c r="J844" s="233"/>
      <c r="K844" s="263"/>
      <c r="L844" s="260"/>
      <c r="M844" s="263"/>
      <c r="N844" s="263"/>
      <c r="O844" s="264"/>
      <c r="P844" s="264"/>
      <c r="Q844" s="265"/>
      <c r="R844" s="30">
        <f>MBQ[[#This Row],[HEIGHT (mm)]]*MBQ[[#This Row],[QTY TOTAL]]/1000</f>
        <v>0</v>
      </c>
      <c r="S844" s="30">
        <f>MBQ[[#This Row],[WIDTH (mm)]]*MBQ[[#This Row],[QTY TOTAL]]/1000</f>
        <v>0</v>
      </c>
      <c r="T844" s="9">
        <f>(MBQ[[#This Row],[HEIGHT (mm)]]+MBQ[[#This Row],[WIDTH (mm)]])/1000*2*MBQ[[#This Row],[QTY TOTAL]]</f>
        <v>0</v>
      </c>
      <c r="U844" s="266">
        <f>MBQ[[#This Row],[MULTIPLIER]]*MBQ[[#This Row],[QTY]]</f>
        <v>0</v>
      </c>
      <c r="V844" s="9">
        <f>MBQ[[#This Row],[HEIGHT (mm)]]/1000*MBQ[[#This Row],[WIDTH (mm)]]/1000*MBQ[[#This Row],[QTY TOTAL]]</f>
        <v>0</v>
      </c>
      <c r="W844" s="287">
        <f>ROUNDUP(MBQ[[#This Row],[HEIGHT (mm)]]/450*MBQ[[#This Row],[QTY]]*2,0)+ROUNDUP(MBQ[[#This Row],[WIDTH (mm)]]/450*MBQ[[#This Row],[QTY]]*2,0)</f>
        <v>0</v>
      </c>
    </row>
    <row r="845" spans="1:23" hidden="1">
      <c r="A845" s="258">
        <v>1</v>
      </c>
      <c r="B845" s="259"/>
      <c r="C845" s="233"/>
      <c r="D845" s="260"/>
      <c r="E845" s="260"/>
      <c r="F845" s="261"/>
      <c r="G845" s="262"/>
      <c r="H845" s="262"/>
      <c r="I845" s="260"/>
      <c r="J845" s="233"/>
      <c r="K845" s="263"/>
      <c r="L845" s="260"/>
      <c r="M845" s="263"/>
      <c r="N845" s="263"/>
      <c r="O845" s="264"/>
      <c r="P845" s="264"/>
      <c r="Q845" s="265"/>
      <c r="R845" s="30">
        <f>MBQ[[#This Row],[HEIGHT (mm)]]*MBQ[[#This Row],[QTY TOTAL]]/1000</f>
        <v>0</v>
      </c>
      <c r="S845" s="30">
        <f>MBQ[[#This Row],[WIDTH (mm)]]*MBQ[[#This Row],[QTY TOTAL]]/1000</f>
        <v>0</v>
      </c>
      <c r="T845" s="9">
        <f>(MBQ[[#This Row],[HEIGHT (mm)]]+MBQ[[#This Row],[WIDTH (mm)]])/1000*2*MBQ[[#This Row],[QTY TOTAL]]</f>
        <v>0</v>
      </c>
      <c r="U845" s="266">
        <f>MBQ[[#This Row],[MULTIPLIER]]*MBQ[[#This Row],[QTY]]</f>
        <v>0</v>
      </c>
      <c r="V845" s="9">
        <f>MBQ[[#This Row],[HEIGHT (mm)]]/1000*MBQ[[#This Row],[WIDTH (mm)]]/1000*MBQ[[#This Row],[QTY TOTAL]]</f>
        <v>0</v>
      </c>
      <c r="W845" s="287">
        <f>ROUNDUP(MBQ[[#This Row],[HEIGHT (mm)]]/450*MBQ[[#This Row],[QTY]]*2,0)+ROUNDUP(MBQ[[#This Row],[WIDTH (mm)]]/450*MBQ[[#This Row],[QTY]]*2,0)</f>
        <v>0</v>
      </c>
    </row>
    <row r="846" spans="1:23" hidden="1">
      <c r="A846" s="258">
        <v>1</v>
      </c>
      <c r="B846" s="259"/>
      <c r="C846" s="233"/>
      <c r="D846" s="260"/>
      <c r="E846" s="260"/>
      <c r="F846" s="261"/>
      <c r="G846" s="262"/>
      <c r="H846" s="262"/>
      <c r="I846" s="260"/>
      <c r="J846" s="233"/>
      <c r="K846" s="263"/>
      <c r="L846" s="260"/>
      <c r="M846" s="263"/>
      <c r="N846" s="263"/>
      <c r="O846" s="264"/>
      <c r="P846" s="264"/>
      <c r="Q846" s="265"/>
      <c r="R846" s="30">
        <f>MBQ[[#This Row],[HEIGHT (mm)]]*MBQ[[#This Row],[QTY TOTAL]]/1000</f>
        <v>0</v>
      </c>
      <c r="S846" s="30">
        <f>MBQ[[#This Row],[WIDTH (mm)]]*MBQ[[#This Row],[QTY TOTAL]]/1000</f>
        <v>0</v>
      </c>
      <c r="T846" s="9">
        <f>(MBQ[[#This Row],[HEIGHT (mm)]]+MBQ[[#This Row],[WIDTH (mm)]])/1000*2*MBQ[[#This Row],[QTY TOTAL]]</f>
        <v>0</v>
      </c>
      <c r="U846" s="266">
        <f>MBQ[[#This Row],[MULTIPLIER]]*MBQ[[#This Row],[QTY]]</f>
        <v>0</v>
      </c>
      <c r="V846" s="9">
        <f>MBQ[[#This Row],[HEIGHT (mm)]]/1000*MBQ[[#This Row],[WIDTH (mm)]]/1000*MBQ[[#This Row],[QTY TOTAL]]</f>
        <v>0</v>
      </c>
      <c r="W846" s="287">
        <f>ROUNDUP(MBQ[[#This Row],[HEIGHT (mm)]]/450*MBQ[[#This Row],[QTY]]*2,0)+ROUNDUP(MBQ[[#This Row],[WIDTH (mm)]]/450*MBQ[[#This Row],[QTY]]*2,0)</f>
        <v>0</v>
      </c>
    </row>
    <row r="847" spans="1:23" hidden="1">
      <c r="A847" s="258">
        <v>1</v>
      </c>
      <c r="B847" s="259"/>
      <c r="C847" s="233"/>
      <c r="D847" s="260"/>
      <c r="E847" s="260"/>
      <c r="F847" s="261"/>
      <c r="G847" s="262"/>
      <c r="H847" s="262"/>
      <c r="I847" s="260"/>
      <c r="J847" s="233"/>
      <c r="K847" s="263"/>
      <c r="L847" s="260"/>
      <c r="M847" s="263"/>
      <c r="N847" s="263"/>
      <c r="O847" s="264"/>
      <c r="P847" s="264"/>
      <c r="Q847" s="265"/>
      <c r="R847" s="30">
        <f>MBQ[[#This Row],[HEIGHT (mm)]]*MBQ[[#This Row],[QTY TOTAL]]/1000</f>
        <v>0</v>
      </c>
      <c r="S847" s="30">
        <f>MBQ[[#This Row],[WIDTH (mm)]]*MBQ[[#This Row],[QTY TOTAL]]/1000</f>
        <v>0</v>
      </c>
      <c r="T847" s="9">
        <f>(MBQ[[#This Row],[HEIGHT (mm)]]+MBQ[[#This Row],[WIDTH (mm)]])/1000*2*MBQ[[#This Row],[QTY TOTAL]]</f>
        <v>0</v>
      </c>
      <c r="U847" s="266">
        <f>MBQ[[#This Row],[MULTIPLIER]]*MBQ[[#This Row],[QTY]]</f>
        <v>0</v>
      </c>
      <c r="V847" s="9">
        <f>MBQ[[#This Row],[HEIGHT (mm)]]/1000*MBQ[[#This Row],[WIDTH (mm)]]/1000*MBQ[[#This Row],[QTY TOTAL]]</f>
        <v>0</v>
      </c>
      <c r="W847" s="287">
        <f>ROUNDUP(MBQ[[#This Row],[HEIGHT (mm)]]/450*MBQ[[#This Row],[QTY]]*2,0)+ROUNDUP(MBQ[[#This Row],[WIDTH (mm)]]/450*MBQ[[#This Row],[QTY]]*2,0)</f>
        <v>0</v>
      </c>
    </row>
    <row r="848" spans="1:23" hidden="1">
      <c r="A848" s="258">
        <v>1</v>
      </c>
      <c r="B848" s="259"/>
      <c r="C848" s="233"/>
      <c r="D848" s="260"/>
      <c r="E848" s="260"/>
      <c r="F848" s="261"/>
      <c r="G848" s="262"/>
      <c r="H848" s="262"/>
      <c r="I848" s="260"/>
      <c r="J848" s="233"/>
      <c r="K848" s="263"/>
      <c r="L848" s="260"/>
      <c r="M848" s="263"/>
      <c r="N848" s="263"/>
      <c r="O848" s="264"/>
      <c r="P848" s="264"/>
      <c r="Q848" s="265"/>
      <c r="R848" s="30">
        <f>MBQ[[#This Row],[HEIGHT (mm)]]*MBQ[[#This Row],[QTY TOTAL]]/1000</f>
        <v>0</v>
      </c>
      <c r="S848" s="30">
        <f>MBQ[[#This Row],[WIDTH (mm)]]*MBQ[[#This Row],[QTY TOTAL]]/1000</f>
        <v>0</v>
      </c>
      <c r="T848" s="9">
        <f>(MBQ[[#This Row],[HEIGHT (mm)]]+MBQ[[#This Row],[WIDTH (mm)]])/1000*2*MBQ[[#This Row],[QTY TOTAL]]</f>
        <v>0</v>
      </c>
      <c r="U848" s="266">
        <f>MBQ[[#This Row],[MULTIPLIER]]*MBQ[[#This Row],[QTY]]</f>
        <v>0</v>
      </c>
      <c r="V848" s="9">
        <f>MBQ[[#This Row],[HEIGHT (mm)]]/1000*MBQ[[#This Row],[WIDTH (mm)]]/1000*MBQ[[#This Row],[QTY TOTAL]]</f>
        <v>0</v>
      </c>
      <c r="W848" s="287">
        <f>ROUNDUP(MBQ[[#This Row],[HEIGHT (mm)]]/450*MBQ[[#This Row],[QTY]]*2,0)+ROUNDUP(MBQ[[#This Row],[WIDTH (mm)]]/450*MBQ[[#This Row],[QTY]]*2,0)</f>
        <v>0</v>
      </c>
    </row>
    <row r="849" spans="1:23" hidden="1">
      <c r="A849" s="258">
        <v>1</v>
      </c>
      <c r="B849" s="259"/>
      <c r="C849" s="233"/>
      <c r="D849" s="260"/>
      <c r="E849" s="260"/>
      <c r="F849" s="261"/>
      <c r="G849" s="262"/>
      <c r="H849" s="262"/>
      <c r="I849" s="260"/>
      <c r="J849" s="233"/>
      <c r="K849" s="263"/>
      <c r="L849" s="260"/>
      <c r="M849" s="263"/>
      <c r="N849" s="263"/>
      <c r="O849" s="264"/>
      <c r="P849" s="264"/>
      <c r="Q849" s="265"/>
      <c r="R849" s="30">
        <f>MBQ[[#This Row],[HEIGHT (mm)]]*MBQ[[#This Row],[QTY TOTAL]]/1000</f>
        <v>0</v>
      </c>
      <c r="S849" s="30">
        <f>MBQ[[#This Row],[WIDTH (mm)]]*MBQ[[#This Row],[QTY TOTAL]]/1000</f>
        <v>0</v>
      </c>
      <c r="T849" s="9">
        <f>(MBQ[[#This Row],[HEIGHT (mm)]]+MBQ[[#This Row],[WIDTH (mm)]])/1000*2*MBQ[[#This Row],[QTY TOTAL]]</f>
        <v>0</v>
      </c>
      <c r="U849" s="266">
        <f>MBQ[[#This Row],[MULTIPLIER]]*MBQ[[#This Row],[QTY]]</f>
        <v>0</v>
      </c>
      <c r="V849" s="9">
        <f>MBQ[[#This Row],[HEIGHT (mm)]]/1000*MBQ[[#This Row],[WIDTH (mm)]]/1000*MBQ[[#This Row],[QTY TOTAL]]</f>
        <v>0</v>
      </c>
      <c r="W849" s="287">
        <f>ROUNDUP(MBQ[[#This Row],[HEIGHT (mm)]]/450*MBQ[[#This Row],[QTY]]*2,0)+ROUNDUP(MBQ[[#This Row],[WIDTH (mm)]]/450*MBQ[[#This Row],[QTY]]*2,0)</f>
        <v>0</v>
      </c>
    </row>
    <row r="850" spans="1:23" hidden="1">
      <c r="A850" s="258">
        <v>1</v>
      </c>
      <c r="B850" s="259"/>
      <c r="C850" s="233"/>
      <c r="D850" s="260"/>
      <c r="E850" s="260"/>
      <c r="F850" s="261"/>
      <c r="G850" s="262"/>
      <c r="H850" s="262"/>
      <c r="I850" s="260"/>
      <c r="J850" s="233"/>
      <c r="K850" s="263"/>
      <c r="L850" s="260"/>
      <c r="M850" s="263"/>
      <c r="N850" s="263"/>
      <c r="O850" s="264"/>
      <c r="P850" s="264"/>
      <c r="Q850" s="265"/>
      <c r="R850" s="30">
        <f>MBQ[[#This Row],[HEIGHT (mm)]]*MBQ[[#This Row],[QTY TOTAL]]/1000</f>
        <v>0</v>
      </c>
      <c r="S850" s="30">
        <f>MBQ[[#This Row],[WIDTH (mm)]]*MBQ[[#This Row],[QTY TOTAL]]/1000</f>
        <v>0</v>
      </c>
      <c r="T850" s="9">
        <f>(MBQ[[#This Row],[HEIGHT (mm)]]+MBQ[[#This Row],[WIDTH (mm)]])/1000*2*MBQ[[#This Row],[QTY TOTAL]]</f>
        <v>0</v>
      </c>
      <c r="U850" s="266">
        <f>MBQ[[#This Row],[MULTIPLIER]]*MBQ[[#This Row],[QTY]]</f>
        <v>0</v>
      </c>
      <c r="V850" s="9">
        <f>MBQ[[#This Row],[HEIGHT (mm)]]/1000*MBQ[[#This Row],[WIDTH (mm)]]/1000*MBQ[[#This Row],[QTY TOTAL]]</f>
        <v>0</v>
      </c>
      <c r="W850" s="287">
        <f>ROUNDUP(MBQ[[#This Row],[HEIGHT (mm)]]/450*MBQ[[#This Row],[QTY]]*2,0)+ROUNDUP(MBQ[[#This Row],[WIDTH (mm)]]/450*MBQ[[#This Row],[QTY]]*2,0)</f>
        <v>0</v>
      </c>
    </row>
    <row r="851" spans="1:23" hidden="1">
      <c r="A851" s="258">
        <v>1</v>
      </c>
      <c r="B851" s="259"/>
      <c r="C851" s="233"/>
      <c r="D851" s="260"/>
      <c r="E851" s="260"/>
      <c r="F851" s="261"/>
      <c r="G851" s="262"/>
      <c r="H851" s="262"/>
      <c r="I851" s="260"/>
      <c r="J851" s="233"/>
      <c r="K851" s="263"/>
      <c r="L851" s="260"/>
      <c r="M851" s="263"/>
      <c r="N851" s="263"/>
      <c r="O851" s="264"/>
      <c r="P851" s="264"/>
      <c r="Q851" s="265"/>
      <c r="R851" s="30">
        <f>MBQ[[#This Row],[HEIGHT (mm)]]*MBQ[[#This Row],[QTY TOTAL]]/1000</f>
        <v>0</v>
      </c>
      <c r="S851" s="30">
        <f>MBQ[[#This Row],[WIDTH (mm)]]*MBQ[[#This Row],[QTY TOTAL]]/1000</f>
        <v>0</v>
      </c>
      <c r="T851" s="9">
        <f>(MBQ[[#This Row],[HEIGHT (mm)]]+MBQ[[#This Row],[WIDTH (mm)]])/1000*2*MBQ[[#This Row],[QTY TOTAL]]</f>
        <v>0</v>
      </c>
      <c r="U851" s="266">
        <f>MBQ[[#This Row],[MULTIPLIER]]*MBQ[[#This Row],[QTY]]</f>
        <v>0</v>
      </c>
      <c r="V851" s="9">
        <f>MBQ[[#This Row],[HEIGHT (mm)]]/1000*MBQ[[#This Row],[WIDTH (mm)]]/1000*MBQ[[#This Row],[QTY TOTAL]]</f>
        <v>0</v>
      </c>
      <c r="W851" s="287">
        <f>ROUNDUP(MBQ[[#This Row],[HEIGHT (mm)]]/450*MBQ[[#This Row],[QTY]]*2,0)+ROUNDUP(MBQ[[#This Row],[WIDTH (mm)]]/450*MBQ[[#This Row],[QTY]]*2,0)</f>
        <v>0</v>
      </c>
    </row>
    <row r="852" spans="1:23" hidden="1">
      <c r="A852" s="258">
        <v>1</v>
      </c>
      <c r="B852" s="259"/>
      <c r="C852" s="233"/>
      <c r="D852" s="260"/>
      <c r="E852" s="260"/>
      <c r="F852" s="261"/>
      <c r="G852" s="262"/>
      <c r="H852" s="262"/>
      <c r="I852" s="260"/>
      <c r="J852" s="233"/>
      <c r="K852" s="263"/>
      <c r="L852" s="260"/>
      <c r="M852" s="263"/>
      <c r="N852" s="263"/>
      <c r="O852" s="264"/>
      <c r="P852" s="264"/>
      <c r="Q852" s="265"/>
      <c r="R852" s="30">
        <f>MBQ[[#This Row],[HEIGHT (mm)]]*MBQ[[#This Row],[QTY TOTAL]]/1000</f>
        <v>0</v>
      </c>
      <c r="S852" s="30">
        <f>MBQ[[#This Row],[WIDTH (mm)]]*MBQ[[#This Row],[QTY TOTAL]]/1000</f>
        <v>0</v>
      </c>
      <c r="T852" s="9">
        <f>(MBQ[[#This Row],[HEIGHT (mm)]]+MBQ[[#This Row],[WIDTH (mm)]])/1000*2*MBQ[[#This Row],[QTY TOTAL]]</f>
        <v>0</v>
      </c>
      <c r="U852" s="266">
        <f>MBQ[[#This Row],[MULTIPLIER]]*MBQ[[#This Row],[QTY]]</f>
        <v>0</v>
      </c>
      <c r="V852" s="9">
        <f>MBQ[[#This Row],[HEIGHT (mm)]]/1000*MBQ[[#This Row],[WIDTH (mm)]]/1000*MBQ[[#This Row],[QTY TOTAL]]</f>
        <v>0</v>
      </c>
      <c r="W852" s="287">
        <f>ROUNDUP(MBQ[[#This Row],[HEIGHT (mm)]]/450*MBQ[[#This Row],[QTY]]*2,0)+ROUNDUP(MBQ[[#This Row],[WIDTH (mm)]]/450*MBQ[[#This Row],[QTY]]*2,0)</f>
        <v>0</v>
      </c>
    </row>
    <row r="853" spans="1:23" hidden="1">
      <c r="A853" s="258">
        <v>1</v>
      </c>
      <c r="B853" s="259"/>
      <c r="C853" s="233"/>
      <c r="D853" s="260"/>
      <c r="E853" s="260"/>
      <c r="F853" s="261"/>
      <c r="G853" s="262"/>
      <c r="H853" s="262"/>
      <c r="I853" s="260"/>
      <c r="J853" s="233"/>
      <c r="K853" s="263"/>
      <c r="L853" s="260"/>
      <c r="M853" s="263"/>
      <c r="N853" s="263"/>
      <c r="O853" s="264"/>
      <c r="P853" s="264"/>
      <c r="Q853" s="265"/>
      <c r="R853" s="30">
        <f>MBQ[[#This Row],[HEIGHT (mm)]]*MBQ[[#This Row],[QTY TOTAL]]/1000</f>
        <v>0</v>
      </c>
      <c r="S853" s="30">
        <f>MBQ[[#This Row],[WIDTH (mm)]]*MBQ[[#This Row],[QTY TOTAL]]/1000</f>
        <v>0</v>
      </c>
      <c r="T853" s="9">
        <f>(MBQ[[#This Row],[HEIGHT (mm)]]+MBQ[[#This Row],[WIDTH (mm)]])/1000*2*MBQ[[#This Row],[QTY TOTAL]]</f>
        <v>0</v>
      </c>
      <c r="U853" s="266">
        <f>MBQ[[#This Row],[MULTIPLIER]]*MBQ[[#This Row],[QTY]]</f>
        <v>0</v>
      </c>
      <c r="V853" s="9">
        <f>MBQ[[#This Row],[HEIGHT (mm)]]/1000*MBQ[[#This Row],[WIDTH (mm)]]/1000*MBQ[[#This Row],[QTY TOTAL]]</f>
        <v>0</v>
      </c>
      <c r="W853" s="287">
        <f>ROUNDUP(MBQ[[#This Row],[HEIGHT (mm)]]/450*MBQ[[#This Row],[QTY]]*2,0)+ROUNDUP(MBQ[[#This Row],[WIDTH (mm)]]/450*MBQ[[#This Row],[QTY]]*2,0)</f>
        <v>0</v>
      </c>
    </row>
    <row r="854" spans="1:23" hidden="1">
      <c r="A854" s="258">
        <v>1</v>
      </c>
      <c r="B854" s="259"/>
      <c r="C854" s="233"/>
      <c r="D854" s="260"/>
      <c r="E854" s="260"/>
      <c r="F854" s="261"/>
      <c r="G854" s="262"/>
      <c r="H854" s="262"/>
      <c r="I854" s="260"/>
      <c r="J854" s="233"/>
      <c r="K854" s="263"/>
      <c r="L854" s="260"/>
      <c r="M854" s="263"/>
      <c r="N854" s="263"/>
      <c r="O854" s="264"/>
      <c r="P854" s="264"/>
      <c r="Q854" s="265"/>
      <c r="R854" s="30">
        <f>MBQ[[#This Row],[HEIGHT (mm)]]*MBQ[[#This Row],[QTY TOTAL]]/1000</f>
        <v>0</v>
      </c>
      <c r="S854" s="30">
        <f>MBQ[[#This Row],[WIDTH (mm)]]*MBQ[[#This Row],[QTY TOTAL]]/1000</f>
        <v>0</v>
      </c>
      <c r="T854" s="9">
        <f>(MBQ[[#This Row],[HEIGHT (mm)]]+MBQ[[#This Row],[WIDTH (mm)]])/1000*2*MBQ[[#This Row],[QTY TOTAL]]</f>
        <v>0</v>
      </c>
      <c r="U854" s="266">
        <f>MBQ[[#This Row],[MULTIPLIER]]*MBQ[[#This Row],[QTY]]</f>
        <v>0</v>
      </c>
      <c r="V854" s="9">
        <f>MBQ[[#This Row],[HEIGHT (mm)]]/1000*MBQ[[#This Row],[WIDTH (mm)]]/1000*MBQ[[#This Row],[QTY TOTAL]]</f>
        <v>0</v>
      </c>
      <c r="W854" s="287">
        <f>ROUNDUP(MBQ[[#This Row],[HEIGHT (mm)]]/450*MBQ[[#This Row],[QTY]]*2,0)+ROUNDUP(MBQ[[#This Row],[WIDTH (mm)]]/450*MBQ[[#This Row],[QTY]]*2,0)</f>
        <v>0</v>
      </c>
    </row>
    <row r="855" spans="1:23" hidden="1">
      <c r="A855" s="258">
        <v>1</v>
      </c>
      <c r="B855" s="259"/>
      <c r="C855" s="233"/>
      <c r="D855" s="260"/>
      <c r="E855" s="260"/>
      <c r="F855" s="261"/>
      <c r="G855" s="262"/>
      <c r="H855" s="262"/>
      <c r="I855" s="260"/>
      <c r="J855" s="233"/>
      <c r="K855" s="263"/>
      <c r="L855" s="260"/>
      <c r="M855" s="263"/>
      <c r="N855" s="263"/>
      <c r="O855" s="264"/>
      <c r="P855" s="264"/>
      <c r="Q855" s="265"/>
      <c r="R855" s="30">
        <f>MBQ[[#This Row],[HEIGHT (mm)]]*MBQ[[#This Row],[QTY TOTAL]]/1000</f>
        <v>0</v>
      </c>
      <c r="S855" s="30">
        <f>MBQ[[#This Row],[WIDTH (mm)]]*MBQ[[#This Row],[QTY TOTAL]]/1000</f>
        <v>0</v>
      </c>
      <c r="T855" s="9">
        <f>(MBQ[[#This Row],[HEIGHT (mm)]]+MBQ[[#This Row],[WIDTH (mm)]])/1000*2*MBQ[[#This Row],[QTY TOTAL]]</f>
        <v>0</v>
      </c>
      <c r="U855" s="266">
        <f>MBQ[[#This Row],[MULTIPLIER]]*MBQ[[#This Row],[QTY]]</f>
        <v>0</v>
      </c>
      <c r="V855" s="9">
        <f>MBQ[[#This Row],[HEIGHT (mm)]]/1000*MBQ[[#This Row],[WIDTH (mm)]]/1000*MBQ[[#This Row],[QTY TOTAL]]</f>
        <v>0</v>
      </c>
      <c r="W855" s="287">
        <f>ROUNDUP(MBQ[[#This Row],[HEIGHT (mm)]]/450*MBQ[[#This Row],[QTY]]*2,0)+ROUNDUP(MBQ[[#This Row],[WIDTH (mm)]]/450*MBQ[[#This Row],[QTY]]*2,0)</f>
        <v>0</v>
      </c>
    </row>
    <row r="856" spans="1:23" hidden="1">
      <c r="A856" s="258">
        <v>1</v>
      </c>
      <c r="B856" s="259"/>
      <c r="C856" s="233"/>
      <c r="D856" s="260"/>
      <c r="E856" s="260"/>
      <c r="F856" s="261"/>
      <c r="G856" s="262"/>
      <c r="H856" s="262"/>
      <c r="I856" s="260"/>
      <c r="J856" s="233"/>
      <c r="K856" s="263"/>
      <c r="L856" s="260"/>
      <c r="M856" s="263"/>
      <c r="N856" s="263"/>
      <c r="O856" s="264"/>
      <c r="P856" s="264"/>
      <c r="Q856" s="265"/>
      <c r="R856" s="30">
        <f>MBQ[[#This Row],[HEIGHT (mm)]]*MBQ[[#This Row],[QTY TOTAL]]/1000</f>
        <v>0</v>
      </c>
      <c r="S856" s="30">
        <f>MBQ[[#This Row],[WIDTH (mm)]]*MBQ[[#This Row],[QTY TOTAL]]/1000</f>
        <v>0</v>
      </c>
      <c r="T856" s="9">
        <f>(MBQ[[#This Row],[HEIGHT (mm)]]+MBQ[[#This Row],[WIDTH (mm)]])/1000*2*MBQ[[#This Row],[QTY TOTAL]]</f>
        <v>0</v>
      </c>
      <c r="U856" s="266">
        <f>MBQ[[#This Row],[MULTIPLIER]]*MBQ[[#This Row],[QTY]]</f>
        <v>0</v>
      </c>
      <c r="V856" s="9">
        <f>MBQ[[#This Row],[HEIGHT (mm)]]/1000*MBQ[[#This Row],[WIDTH (mm)]]/1000*MBQ[[#This Row],[QTY TOTAL]]</f>
        <v>0</v>
      </c>
      <c r="W856" s="287">
        <f>ROUNDUP(MBQ[[#This Row],[HEIGHT (mm)]]/450*MBQ[[#This Row],[QTY]]*2,0)+ROUNDUP(MBQ[[#This Row],[WIDTH (mm)]]/450*MBQ[[#This Row],[QTY]]*2,0)</f>
        <v>0</v>
      </c>
    </row>
    <row r="857" spans="1:23" hidden="1">
      <c r="A857" s="258">
        <v>1</v>
      </c>
      <c r="B857" s="259"/>
      <c r="C857" s="233"/>
      <c r="D857" s="260"/>
      <c r="E857" s="260"/>
      <c r="F857" s="261"/>
      <c r="G857" s="262"/>
      <c r="H857" s="262"/>
      <c r="I857" s="260"/>
      <c r="J857" s="233"/>
      <c r="K857" s="263"/>
      <c r="L857" s="260"/>
      <c r="M857" s="263"/>
      <c r="N857" s="263"/>
      <c r="O857" s="264"/>
      <c r="P857" s="264"/>
      <c r="Q857" s="265"/>
      <c r="R857" s="30">
        <f>MBQ[[#This Row],[HEIGHT (mm)]]*MBQ[[#This Row],[QTY TOTAL]]/1000</f>
        <v>0</v>
      </c>
      <c r="S857" s="30">
        <f>MBQ[[#This Row],[WIDTH (mm)]]*MBQ[[#This Row],[QTY TOTAL]]/1000</f>
        <v>0</v>
      </c>
      <c r="T857" s="9">
        <f>(MBQ[[#This Row],[HEIGHT (mm)]]+MBQ[[#This Row],[WIDTH (mm)]])/1000*2*MBQ[[#This Row],[QTY TOTAL]]</f>
        <v>0</v>
      </c>
      <c r="U857" s="266">
        <f>MBQ[[#This Row],[MULTIPLIER]]*MBQ[[#This Row],[QTY]]</f>
        <v>0</v>
      </c>
      <c r="V857" s="9">
        <f>MBQ[[#This Row],[HEIGHT (mm)]]/1000*MBQ[[#This Row],[WIDTH (mm)]]/1000*MBQ[[#This Row],[QTY TOTAL]]</f>
        <v>0</v>
      </c>
      <c r="W857" s="287">
        <f>ROUNDUP(MBQ[[#This Row],[HEIGHT (mm)]]/450*MBQ[[#This Row],[QTY]]*2,0)+ROUNDUP(MBQ[[#This Row],[WIDTH (mm)]]/450*MBQ[[#This Row],[QTY]]*2,0)</f>
        <v>0</v>
      </c>
    </row>
    <row r="858" spans="1:23" hidden="1">
      <c r="A858" s="258">
        <v>1</v>
      </c>
      <c r="B858" s="259"/>
      <c r="C858" s="233"/>
      <c r="D858" s="260"/>
      <c r="E858" s="260"/>
      <c r="F858" s="261"/>
      <c r="G858" s="262"/>
      <c r="H858" s="262"/>
      <c r="I858" s="260"/>
      <c r="J858" s="233"/>
      <c r="K858" s="263"/>
      <c r="L858" s="260"/>
      <c r="M858" s="263"/>
      <c r="N858" s="263"/>
      <c r="O858" s="264"/>
      <c r="P858" s="264"/>
      <c r="Q858" s="265"/>
      <c r="R858" s="30">
        <f>MBQ[[#This Row],[HEIGHT (mm)]]*MBQ[[#This Row],[QTY TOTAL]]/1000</f>
        <v>0</v>
      </c>
      <c r="S858" s="30">
        <f>MBQ[[#This Row],[WIDTH (mm)]]*MBQ[[#This Row],[QTY TOTAL]]/1000</f>
        <v>0</v>
      </c>
      <c r="T858" s="9">
        <f>(MBQ[[#This Row],[HEIGHT (mm)]]+MBQ[[#This Row],[WIDTH (mm)]])/1000*2*MBQ[[#This Row],[QTY TOTAL]]</f>
        <v>0</v>
      </c>
      <c r="U858" s="266">
        <f>MBQ[[#This Row],[MULTIPLIER]]*MBQ[[#This Row],[QTY]]</f>
        <v>0</v>
      </c>
      <c r="V858" s="9">
        <f>MBQ[[#This Row],[HEIGHT (mm)]]/1000*MBQ[[#This Row],[WIDTH (mm)]]/1000*MBQ[[#This Row],[QTY TOTAL]]</f>
        <v>0</v>
      </c>
      <c r="W858" s="287">
        <f>ROUNDUP(MBQ[[#This Row],[HEIGHT (mm)]]/450*MBQ[[#This Row],[QTY]]*2,0)+ROUNDUP(MBQ[[#This Row],[WIDTH (mm)]]/450*MBQ[[#This Row],[QTY]]*2,0)</f>
        <v>0</v>
      </c>
    </row>
    <row r="859" spans="1:23" hidden="1">
      <c r="A859" s="258">
        <v>1</v>
      </c>
      <c r="B859" s="259"/>
      <c r="C859" s="233"/>
      <c r="D859" s="260"/>
      <c r="E859" s="260"/>
      <c r="F859" s="261"/>
      <c r="G859" s="262"/>
      <c r="H859" s="262"/>
      <c r="I859" s="260"/>
      <c r="J859" s="233"/>
      <c r="K859" s="263"/>
      <c r="L859" s="260"/>
      <c r="M859" s="263"/>
      <c r="N859" s="263"/>
      <c r="O859" s="264"/>
      <c r="P859" s="264"/>
      <c r="Q859" s="265"/>
      <c r="R859" s="30">
        <f>MBQ[[#This Row],[HEIGHT (mm)]]*MBQ[[#This Row],[QTY TOTAL]]/1000</f>
        <v>0</v>
      </c>
      <c r="S859" s="30">
        <f>MBQ[[#This Row],[WIDTH (mm)]]*MBQ[[#This Row],[QTY TOTAL]]/1000</f>
        <v>0</v>
      </c>
      <c r="T859" s="9">
        <f>(MBQ[[#This Row],[HEIGHT (mm)]]+MBQ[[#This Row],[WIDTH (mm)]])/1000*2*MBQ[[#This Row],[QTY TOTAL]]</f>
        <v>0</v>
      </c>
      <c r="U859" s="266">
        <f>MBQ[[#This Row],[MULTIPLIER]]*MBQ[[#This Row],[QTY]]</f>
        <v>0</v>
      </c>
      <c r="V859" s="9">
        <f>MBQ[[#This Row],[HEIGHT (mm)]]/1000*MBQ[[#This Row],[WIDTH (mm)]]/1000*MBQ[[#This Row],[QTY TOTAL]]</f>
        <v>0</v>
      </c>
      <c r="W859" s="287">
        <f>ROUNDUP(MBQ[[#This Row],[HEIGHT (mm)]]/450*MBQ[[#This Row],[QTY]]*2,0)+ROUNDUP(MBQ[[#This Row],[WIDTH (mm)]]/450*MBQ[[#This Row],[QTY]]*2,0)</f>
        <v>0</v>
      </c>
    </row>
    <row r="860" spans="1:23" hidden="1">
      <c r="A860" s="258">
        <v>1</v>
      </c>
      <c r="B860" s="259"/>
      <c r="C860" s="233"/>
      <c r="D860" s="260"/>
      <c r="E860" s="260"/>
      <c r="F860" s="261"/>
      <c r="G860" s="262"/>
      <c r="H860" s="262"/>
      <c r="I860" s="260"/>
      <c r="J860" s="233"/>
      <c r="K860" s="263"/>
      <c r="L860" s="260"/>
      <c r="M860" s="263"/>
      <c r="N860" s="263"/>
      <c r="O860" s="264"/>
      <c r="P860" s="264"/>
      <c r="Q860" s="265"/>
      <c r="R860" s="30">
        <f>MBQ[[#This Row],[HEIGHT (mm)]]*MBQ[[#This Row],[QTY TOTAL]]/1000</f>
        <v>0</v>
      </c>
      <c r="S860" s="30">
        <f>MBQ[[#This Row],[WIDTH (mm)]]*MBQ[[#This Row],[QTY TOTAL]]/1000</f>
        <v>0</v>
      </c>
      <c r="T860" s="9">
        <f>(MBQ[[#This Row],[HEIGHT (mm)]]+MBQ[[#This Row],[WIDTH (mm)]])/1000*2*MBQ[[#This Row],[QTY TOTAL]]</f>
        <v>0</v>
      </c>
      <c r="U860" s="266">
        <f>MBQ[[#This Row],[MULTIPLIER]]*MBQ[[#This Row],[QTY]]</f>
        <v>0</v>
      </c>
      <c r="V860" s="9">
        <f>MBQ[[#This Row],[HEIGHT (mm)]]/1000*MBQ[[#This Row],[WIDTH (mm)]]/1000*MBQ[[#This Row],[QTY TOTAL]]</f>
        <v>0</v>
      </c>
      <c r="W860" s="287">
        <f>ROUNDUP(MBQ[[#This Row],[HEIGHT (mm)]]/450*MBQ[[#This Row],[QTY]]*2,0)+ROUNDUP(MBQ[[#This Row],[WIDTH (mm)]]/450*MBQ[[#This Row],[QTY]]*2,0)</f>
        <v>0</v>
      </c>
    </row>
    <row r="861" spans="1:23" hidden="1">
      <c r="A861" s="258">
        <v>1</v>
      </c>
      <c r="B861" s="259"/>
      <c r="C861" s="233"/>
      <c r="D861" s="260"/>
      <c r="E861" s="260"/>
      <c r="F861" s="261"/>
      <c r="G861" s="262"/>
      <c r="H861" s="262"/>
      <c r="I861" s="260"/>
      <c r="J861" s="233"/>
      <c r="K861" s="263"/>
      <c r="L861" s="260"/>
      <c r="M861" s="263"/>
      <c r="N861" s="263"/>
      <c r="O861" s="264"/>
      <c r="P861" s="264"/>
      <c r="Q861" s="265"/>
      <c r="R861" s="30">
        <f>MBQ[[#This Row],[HEIGHT (mm)]]*MBQ[[#This Row],[QTY TOTAL]]/1000</f>
        <v>0</v>
      </c>
      <c r="S861" s="30">
        <f>MBQ[[#This Row],[WIDTH (mm)]]*MBQ[[#This Row],[QTY TOTAL]]/1000</f>
        <v>0</v>
      </c>
      <c r="T861" s="9">
        <f>(MBQ[[#This Row],[HEIGHT (mm)]]+MBQ[[#This Row],[WIDTH (mm)]])/1000*2*MBQ[[#This Row],[QTY TOTAL]]</f>
        <v>0</v>
      </c>
      <c r="U861" s="266">
        <f>MBQ[[#This Row],[MULTIPLIER]]*MBQ[[#This Row],[QTY]]</f>
        <v>0</v>
      </c>
      <c r="V861" s="9">
        <f>MBQ[[#This Row],[HEIGHT (mm)]]/1000*MBQ[[#This Row],[WIDTH (mm)]]/1000*MBQ[[#This Row],[QTY TOTAL]]</f>
        <v>0</v>
      </c>
      <c r="W861" s="287">
        <f>ROUNDUP(MBQ[[#This Row],[HEIGHT (mm)]]/450*MBQ[[#This Row],[QTY]]*2,0)+ROUNDUP(MBQ[[#This Row],[WIDTH (mm)]]/450*MBQ[[#This Row],[QTY]]*2,0)</f>
        <v>0</v>
      </c>
    </row>
    <row r="862" spans="1:23" hidden="1">
      <c r="A862" s="258">
        <v>1</v>
      </c>
      <c r="B862" s="259"/>
      <c r="C862" s="233"/>
      <c r="D862" s="260"/>
      <c r="E862" s="260"/>
      <c r="F862" s="261"/>
      <c r="G862" s="262"/>
      <c r="H862" s="262"/>
      <c r="I862" s="260"/>
      <c r="J862" s="233"/>
      <c r="K862" s="263"/>
      <c r="L862" s="260"/>
      <c r="M862" s="263"/>
      <c r="N862" s="263"/>
      <c r="O862" s="264"/>
      <c r="P862" s="264"/>
      <c r="Q862" s="265"/>
      <c r="R862" s="30">
        <f>MBQ[[#This Row],[HEIGHT (mm)]]*MBQ[[#This Row],[QTY TOTAL]]/1000</f>
        <v>0</v>
      </c>
      <c r="S862" s="30">
        <f>MBQ[[#This Row],[WIDTH (mm)]]*MBQ[[#This Row],[QTY TOTAL]]/1000</f>
        <v>0</v>
      </c>
      <c r="T862" s="9">
        <f>(MBQ[[#This Row],[HEIGHT (mm)]]+MBQ[[#This Row],[WIDTH (mm)]])/1000*2*MBQ[[#This Row],[QTY TOTAL]]</f>
        <v>0</v>
      </c>
      <c r="U862" s="266">
        <f>MBQ[[#This Row],[MULTIPLIER]]*MBQ[[#This Row],[QTY]]</f>
        <v>0</v>
      </c>
      <c r="V862" s="9">
        <f>MBQ[[#This Row],[HEIGHT (mm)]]/1000*MBQ[[#This Row],[WIDTH (mm)]]/1000*MBQ[[#This Row],[QTY TOTAL]]</f>
        <v>0</v>
      </c>
      <c r="W862" s="287">
        <f>ROUNDUP(MBQ[[#This Row],[HEIGHT (mm)]]/450*MBQ[[#This Row],[QTY]]*2,0)+ROUNDUP(MBQ[[#This Row],[WIDTH (mm)]]/450*MBQ[[#This Row],[QTY]]*2,0)</f>
        <v>0</v>
      </c>
    </row>
    <row r="863" spans="1:23" hidden="1">
      <c r="A863" s="258">
        <v>1</v>
      </c>
      <c r="B863" s="259"/>
      <c r="C863" s="233"/>
      <c r="D863" s="260"/>
      <c r="E863" s="260"/>
      <c r="F863" s="261"/>
      <c r="G863" s="262"/>
      <c r="H863" s="262"/>
      <c r="I863" s="260"/>
      <c r="J863" s="233"/>
      <c r="K863" s="263"/>
      <c r="L863" s="260"/>
      <c r="M863" s="263"/>
      <c r="N863" s="263"/>
      <c r="O863" s="264"/>
      <c r="P863" s="264"/>
      <c r="Q863" s="265"/>
      <c r="R863" s="30">
        <f>MBQ[[#This Row],[HEIGHT (mm)]]*MBQ[[#This Row],[QTY TOTAL]]/1000</f>
        <v>0</v>
      </c>
      <c r="S863" s="30">
        <f>MBQ[[#This Row],[WIDTH (mm)]]*MBQ[[#This Row],[QTY TOTAL]]/1000</f>
        <v>0</v>
      </c>
      <c r="T863" s="9">
        <f>(MBQ[[#This Row],[HEIGHT (mm)]]+MBQ[[#This Row],[WIDTH (mm)]])/1000*2*MBQ[[#This Row],[QTY TOTAL]]</f>
        <v>0</v>
      </c>
      <c r="U863" s="266">
        <f>MBQ[[#This Row],[MULTIPLIER]]*MBQ[[#This Row],[QTY]]</f>
        <v>0</v>
      </c>
      <c r="V863" s="9">
        <f>MBQ[[#This Row],[HEIGHT (mm)]]/1000*MBQ[[#This Row],[WIDTH (mm)]]/1000*MBQ[[#This Row],[QTY TOTAL]]</f>
        <v>0</v>
      </c>
      <c r="W863" s="287">
        <f>ROUNDUP(MBQ[[#This Row],[HEIGHT (mm)]]/450*MBQ[[#This Row],[QTY]]*2,0)+ROUNDUP(MBQ[[#This Row],[WIDTH (mm)]]/450*MBQ[[#This Row],[QTY]]*2,0)</f>
        <v>0</v>
      </c>
    </row>
    <row r="864" spans="1:23" hidden="1">
      <c r="A864" s="258">
        <v>1</v>
      </c>
      <c r="B864" s="259"/>
      <c r="C864" s="233"/>
      <c r="D864" s="260"/>
      <c r="E864" s="260"/>
      <c r="F864" s="261"/>
      <c r="G864" s="262"/>
      <c r="H864" s="262"/>
      <c r="I864" s="260"/>
      <c r="J864" s="233"/>
      <c r="K864" s="263"/>
      <c r="L864" s="260"/>
      <c r="M864" s="263"/>
      <c r="N864" s="263"/>
      <c r="O864" s="264"/>
      <c r="P864" s="264"/>
      <c r="Q864" s="265"/>
      <c r="R864" s="30">
        <f>MBQ[[#This Row],[HEIGHT (mm)]]*MBQ[[#This Row],[QTY TOTAL]]/1000</f>
        <v>0</v>
      </c>
      <c r="S864" s="30">
        <f>MBQ[[#This Row],[WIDTH (mm)]]*MBQ[[#This Row],[QTY TOTAL]]/1000</f>
        <v>0</v>
      </c>
      <c r="T864" s="9">
        <f>(MBQ[[#This Row],[HEIGHT (mm)]]+MBQ[[#This Row],[WIDTH (mm)]])/1000*2*MBQ[[#This Row],[QTY TOTAL]]</f>
        <v>0</v>
      </c>
      <c r="U864" s="266">
        <f>MBQ[[#This Row],[MULTIPLIER]]*MBQ[[#This Row],[QTY]]</f>
        <v>0</v>
      </c>
      <c r="V864" s="9">
        <f>MBQ[[#This Row],[HEIGHT (mm)]]/1000*MBQ[[#This Row],[WIDTH (mm)]]/1000*MBQ[[#This Row],[QTY TOTAL]]</f>
        <v>0</v>
      </c>
      <c r="W864" s="287">
        <f>ROUNDUP(MBQ[[#This Row],[HEIGHT (mm)]]/450*MBQ[[#This Row],[QTY]]*2,0)+ROUNDUP(MBQ[[#This Row],[WIDTH (mm)]]/450*MBQ[[#This Row],[QTY]]*2,0)</f>
        <v>0</v>
      </c>
    </row>
    <row r="865" spans="1:23" hidden="1">
      <c r="A865" s="258">
        <v>1</v>
      </c>
      <c r="B865" s="259"/>
      <c r="C865" s="233"/>
      <c r="D865" s="260"/>
      <c r="E865" s="260"/>
      <c r="F865" s="261"/>
      <c r="G865" s="262"/>
      <c r="H865" s="262"/>
      <c r="I865" s="260"/>
      <c r="J865" s="233"/>
      <c r="K865" s="263"/>
      <c r="L865" s="260"/>
      <c r="M865" s="263"/>
      <c r="N865" s="263"/>
      <c r="O865" s="264"/>
      <c r="P865" s="264"/>
      <c r="Q865" s="265"/>
      <c r="R865" s="30">
        <f>MBQ[[#This Row],[HEIGHT (mm)]]*MBQ[[#This Row],[QTY TOTAL]]/1000</f>
        <v>0</v>
      </c>
      <c r="S865" s="30">
        <f>MBQ[[#This Row],[WIDTH (mm)]]*MBQ[[#This Row],[QTY TOTAL]]/1000</f>
        <v>0</v>
      </c>
      <c r="T865" s="9">
        <f>(MBQ[[#This Row],[HEIGHT (mm)]]+MBQ[[#This Row],[WIDTH (mm)]])/1000*2*MBQ[[#This Row],[QTY TOTAL]]</f>
        <v>0</v>
      </c>
      <c r="U865" s="266">
        <f>MBQ[[#This Row],[MULTIPLIER]]*MBQ[[#This Row],[QTY]]</f>
        <v>0</v>
      </c>
      <c r="V865" s="9">
        <f>MBQ[[#This Row],[HEIGHT (mm)]]/1000*MBQ[[#This Row],[WIDTH (mm)]]/1000*MBQ[[#This Row],[QTY TOTAL]]</f>
        <v>0</v>
      </c>
      <c r="W865" s="287">
        <f>ROUNDUP(MBQ[[#This Row],[HEIGHT (mm)]]/450*MBQ[[#This Row],[QTY]]*2,0)+ROUNDUP(MBQ[[#This Row],[WIDTH (mm)]]/450*MBQ[[#This Row],[QTY]]*2,0)</f>
        <v>0</v>
      </c>
    </row>
    <row r="866" spans="1:23" hidden="1">
      <c r="A866" s="258">
        <v>1</v>
      </c>
      <c r="B866" s="259"/>
      <c r="C866" s="233"/>
      <c r="D866" s="260"/>
      <c r="E866" s="260"/>
      <c r="F866" s="261"/>
      <c r="G866" s="262"/>
      <c r="H866" s="262"/>
      <c r="I866" s="260"/>
      <c r="J866" s="233"/>
      <c r="K866" s="263"/>
      <c r="L866" s="260"/>
      <c r="M866" s="263"/>
      <c r="N866" s="263"/>
      <c r="O866" s="264"/>
      <c r="P866" s="264"/>
      <c r="Q866" s="265"/>
      <c r="R866" s="30">
        <f>MBQ[[#This Row],[HEIGHT (mm)]]*MBQ[[#This Row],[QTY TOTAL]]/1000</f>
        <v>0</v>
      </c>
      <c r="S866" s="30">
        <f>MBQ[[#This Row],[WIDTH (mm)]]*MBQ[[#This Row],[QTY TOTAL]]/1000</f>
        <v>0</v>
      </c>
      <c r="T866" s="9">
        <f>(MBQ[[#This Row],[HEIGHT (mm)]]+MBQ[[#This Row],[WIDTH (mm)]])/1000*2*MBQ[[#This Row],[QTY TOTAL]]</f>
        <v>0</v>
      </c>
      <c r="U866" s="266">
        <f>MBQ[[#This Row],[MULTIPLIER]]*MBQ[[#This Row],[QTY]]</f>
        <v>0</v>
      </c>
      <c r="V866" s="9">
        <f>MBQ[[#This Row],[HEIGHT (mm)]]/1000*MBQ[[#This Row],[WIDTH (mm)]]/1000*MBQ[[#This Row],[QTY TOTAL]]</f>
        <v>0</v>
      </c>
      <c r="W866" s="287">
        <f>ROUNDUP(MBQ[[#This Row],[HEIGHT (mm)]]/450*MBQ[[#This Row],[QTY]]*2,0)+ROUNDUP(MBQ[[#This Row],[WIDTH (mm)]]/450*MBQ[[#This Row],[QTY]]*2,0)</f>
        <v>0</v>
      </c>
    </row>
    <row r="867" spans="1:23" hidden="1">
      <c r="A867" s="258">
        <v>1</v>
      </c>
      <c r="B867" s="259"/>
      <c r="C867" s="233"/>
      <c r="D867" s="260"/>
      <c r="E867" s="260"/>
      <c r="F867" s="261"/>
      <c r="G867" s="262"/>
      <c r="H867" s="262"/>
      <c r="I867" s="260"/>
      <c r="J867" s="233"/>
      <c r="K867" s="263"/>
      <c r="L867" s="260"/>
      <c r="M867" s="263"/>
      <c r="N867" s="263"/>
      <c r="O867" s="264"/>
      <c r="P867" s="264"/>
      <c r="Q867" s="265"/>
      <c r="R867" s="30">
        <f>MBQ[[#This Row],[HEIGHT (mm)]]*MBQ[[#This Row],[QTY TOTAL]]/1000</f>
        <v>0</v>
      </c>
      <c r="S867" s="30">
        <f>MBQ[[#This Row],[WIDTH (mm)]]*MBQ[[#This Row],[QTY TOTAL]]/1000</f>
        <v>0</v>
      </c>
      <c r="T867" s="9">
        <f>(MBQ[[#This Row],[HEIGHT (mm)]]+MBQ[[#This Row],[WIDTH (mm)]])/1000*2*MBQ[[#This Row],[QTY TOTAL]]</f>
        <v>0</v>
      </c>
      <c r="U867" s="266">
        <f>MBQ[[#This Row],[MULTIPLIER]]*MBQ[[#This Row],[QTY]]</f>
        <v>0</v>
      </c>
      <c r="V867" s="9">
        <f>MBQ[[#This Row],[HEIGHT (mm)]]/1000*MBQ[[#This Row],[WIDTH (mm)]]/1000*MBQ[[#This Row],[QTY TOTAL]]</f>
        <v>0</v>
      </c>
      <c r="W867" s="287">
        <f>ROUNDUP(MBQ[[#This Row],[HEIGHT (mm)]]/450*MBQ[[#This Row],[QTY]]*2,0)+ROUNDUP(MBQ[[#This Row],[WIDTH (mm)]]/450*MBQ[[#This Row],[QTY]]*2,0)</f>
        <v>0</v>
      </c>
    </row>
    <row r="868" spans="1:23" hidden="1">
      <c r="A868" s="258">
        <v>1</v>
      </c>
      <c r="B868" s="259"/>
      <c r="C868" s="233"/>
      <c r="D868" s="260"/>
      <c r="E868" s="260"/>
      <c r="F868" s="261"/>
      <c r="G868" s="262"/>
      <c r="H868" s="262"/>
      <c r="I868" s="260"/>
      <c r="J868" s="233"/>
      <c r="K868" s="263"/>
      <c r="L868" s="260"/>
      <c r="M868" s="263"/>
      <c r="N868" s="263"/>
      <c r="O868" s="264"/>
      <c r="P868" s="264"/>
      <c r="Q868" s="265"/>
      <c r="R868" s="30">
        <f>MBQ[[#This Row],[HEIGHT (mm)]]*MBQ[[#This Row],[QTY TOTAL]]/1000</f>
        <v>0</v>
      </c>
      <c r="S868" s="30">
        <f>MBQ[[#This Row],[WIDTH (mm)]]*MBQ[[#This Row],[QTY TOTAL]]/1000</f>
        <v>0</v>
      </c>
      <c r="T868" s="9">
        <f>(MBQ[[#This Row],[HEIGHT (mm)]]+MBQ[[#This Row],[WIDTH (mm)]])/1000*2*MBQ[[#This Row],[QTY TOTAL]]</f>
        <v>0</v>
      </c>
      <c r="U868" s="266">
        <f>MBQ[[#This Row],[MULTIPLIER]]*MBQ[[#This Row],[QTY]]</f>
        <v>0</v>
      </c>
      <c r="V868" s="9">
        <f>MBQ[[#This Row],[HEIGHT (mm)]]/1000*MBQ[[#This Row],[WIDTH (mm)]]/1000*MBQ[[#This Row],[QTY TOTAL]]</f>
        <v>0</v>
      </c>
      <c r="W868" s="287">
        <f>ROUNDUP(MBQ[[#This Row],[HEIGHT (mm)]]/450*MBQ[[#This Row],[QTY]]*2,0)+ROUNDUP(MBQ[[#This Row],[WIDTH (mm)]]/450*MBQ[[#This Row],[QTY]]*2,0)</f>
        <v>0</v>
      </c>
    </row>
    <row r="869" spans="1:23" hidden="1">
      <c r="A869" s="258">
        <v>1</v>
      </c>
      <c r="B869" s="259"/>
      <c r="C869" s="233"/>
      <c r="D869" s="260"/>
      <c r="E869" s="260"/>
      <c r="F869" s="261"/>
      <c r="G869" s="262"/>
      <c r="H869" s="262"/>
      <c r="I869" s="260"/>
      <c r="J869" s="233"/>
      <c r="K869" s="263"/>
      <c r="L869" s="260"/>
      <c r="M869" s="263"/>
      <c r="N869" s="263"/>
      <c r="O869" s="264"/>
      <c r="P869" s="264"/>
      <c r="Q869" s="265"/>
      <c r="R869" s="30">
        <f>MBQ[[#This Row],[HEIGHT (mm)]]*MBQ[[#This Row],[QTY TOTAL]]/1000</f>
        <v>0</v>
      </c>
      <c r="S869" s="30">
        <f>MBQ[[#This Row],[WIDTH (mm)]]*MBQ[[#This Row],[QTY TOTAL]]/1000</f>
        <v>0</v>
      </c>
      <c r="T869" s="9">
        <f>(MBQ[[#This Row],[HEIGHT (mm)]]+MBQ[[#This Row],[WIDTH (mm)]])/1000*2*MBQ[[#This Row],[QTY TOTAL]]</f>
        <v>0</v>
      </c>
      <c r="U869" s="266">
        <f>MBQ[[#This Row],[MULTIPLIER]]*MBQ[[#This Row],[QTY]]</f>
        <v>0</v>
      </c>
      <c r="V869" s="9">
        <f>MBQ[[#This Row],[HEIGHT (mm)]]/1000*MBQ[[#This Row],[WIDTH (mm)]]/1000*MBQ[[#This Row],[QTY TOTAL]]</f>
        <v>0</v>
      </c>
      <c r="W869" s="287">
        <f>ROUNDUP(MBQ[[#This Row],[HEIGHT (mm)]]/450*MBQ[[#This Row],[QTY]]*2,0)+ROUNDUP(MBQ[[#This Row],[WIDTH (mm)]]/450*MBQ[[#This Row],[QTY]]*2,0)</f>
        <v>0</v>
      </c>
    </row>
    <row r="870" spans="1:23" hidden="1">
      <c r="A870" s="258">
        <v>1</v>
      </c>
      <c r="B870" s="259"/>
      <c r="C870" s="233"/>
      <c r="D870" s="260"/>
      <c r="E870" s="260"/>
      <c r="F870" s="261"/>
      <c r="G870" s="262"/>
      <c r="H870" s="262"/>
      <c r="I870" s="260"/>
      <c r="J870" s="233"/>
      <c r="K870" s="263"/>
      <c r="L870" s="260"/>
      <c r="M870" s="263"/>
      <c r="N870" s="263"/>
      <c r="O870" s="264"/>
      <c r="P870" s="264"/>
      <c r="Q870" s="265"/>
      <c r="R870" s="30">
        <f>MBQ[[#This Row],[HEIGHT (mm)]]*MBQ[[#This Row],[QTY TOTAL]]/1000</f>
        <v>0</v>
      </c>
      <c r="S870" s="30">
        <f>MBQ[[#This Row],[WIDTH (mm)]]*MBQ[[#This Row],[QTY TOTAL]]/1000</f>
        <v>0</v>
      </c>
      <c r="T870" s="9">
        <f>(MBQ[[#This Row],[HEIGHT (mm)]]+MBQ[[#This Row],[WIDTH (mm)]])/1000*2*MBQ[[#This Row],[QTY TOTAL]]</f>
        <v>0</v>
      </c>
      <c r="U870" s="266">
        <f>MBQ[[#This Row],[MULTIPLIER]]*MBQ[[#This Row],[QTY]]</f>
        <v>0</v>
      </c>
      <c r="V870" s="9">
        <f>MBQ[[#This Row],[HEIGHT (mm)]]/1000*MBQ[[#This Row],[WIDTH (mm)]]/1000*MBQ[[#This Row],[QTY TOTAL]]</f>
        <v>0</v>
      </c>
      <c r="W870" s="287">
        <f>ROUNDUP(MBQ[[#This Row],[HEIGHT (mm)]]/450*MBQ[[#This Row],[QTY]]*2,0)+ROUNDUP(MBQ[[#This Row],[WIDTH (mm)]]/450*MBQ[[#This Row],[QTY]]*2,0)</f>
        <v>0</v>
      </c>
    </row>
    <row r="871" spans="1:23" hidden="1">
      <c r="A871" s="258">
        <v>1</v>
      </c>
      <c r="B871" s="259"/>
      <c r="C871" s="233"/>
      <c r="D871" s="260"/>
      <c r="E871" s="260"/>
      <c r="F871" s="261"/>
      <c r="G871" s="262"/>
      <c r="H871" s="262"/>
      <c r="I871" s="260"/>
      <c r="J871" s="233"/>
      <c r="K871" s="263"/>
      <c r="L871" s="260"/>
      <c r="M871" s="263"/>
      <c r="N871" s="263"/>
      <c r="O871" s="264"/>
      <c r="P871" s="264"/>
      <c r="Q871" s="265"/>
      <c r="R871" s="30">
        <f>MBQ[[#This Row],[HEIGHT (mm)]]*MBQ[[#This Row],[QTY TOTAL]]/1000</f>
        <v>0</v>
      </c>
      <c r="S871" s="30">
        <f>MBQ[[#This Row],[WIDTH (mm)]]*MBQ[[#This Row],[QTY TOTAL]]/1000</f>
        <v>0</v>
      </c>
      <c r="T871" s="9">
        <f>(MBQ[[#This Row],[HEIGHT (mm)]]+MBQ[[#This Row],[WIDTH (mm)]])/1000*2*MBQ[[#This Row],[QTY TOTAL]]</f>
        <v>0</v>
      </c>
      <c r="U871" s="266">
        <f>MBQ[[#This Row],[MULTIPLIER]]*MBQ[[#This Row],[QTY]]</f>
        <v>0</v>
      </c>
      <c r="V871" s="9">
        <f>MBQ[[#This Row],[HEIGHT (mm)]]/1000*MBQ[[#This Row],[WIDTH (mm)]]/1000*MBQ[[#This Row],[QTY TOTAL]]</f>
        <v>0</v>
      </c>
      <c r="W871" s="287">
        <f>ROUNDUP(MBQ[[#This Row],[HEIGHT (mm)]]/450*MBQ[[#This Row],[QTY]]*2,0)+ROUNDUP(MBQ[[#This Row],[WIDTH (mm)]]/450*MBQ[[#This Row],[QTY]]*2,0)</f>
        <v>0</v>
      </c>
    </row>
    <row r="872" spans="1:23" hidden="1">
      <c r="A872" s="258">
        <v>1</v>
      </c>
      <c r="B872" s="259"/>
      <c r="C872" s="233"/>
      <c r="D872" s="260"/>
      <c r="E872" s="260"/>
      <c r="F872" s="261"/>
      <c r="G872" s="262"/>
      <c r="H872" s="262"/>
      <c r="I872" s="260"/>
      <c r="J872" s="233"/>
      <c r="K872" s="263"/>
      <c r="L872" s="260"/>
      <c r="M872" s="263"/>
      <c r="N872" s="263"/>
      <c r="O872" s="264"/>
      <c r="P872" s="264"/>
      <c r="Q872" s="265"/>
      <c r="R872" s="30">
        <f>MBQ[[#This Row],[HEIGHT (mm)]]*MBQ[[#This Row],[QTY TOTAL]]/1000</f>
        <v>0</v>
      </c>
      <c r="S872" s="30">
        <f>MBQ[[#This Row],[WIDTH (mm)]]*MBQ[[#This Row],[QTY TOTAL]]/1000</f>
        <v>0</v>
      </c>
      <c r="T872" s="9">
        <f>(MBQ[[#This Row],[HEIGHT (mm)]]+MBQ[[#This Row],[WIDTH (mm)]])/1000*2*MBQ[[#This Row],[QTY TOTAL]]</f>
        <v>0</v>
      </c>
      <c r="U872" s="266">
        <f>MBQ[[#This Row],[MULTIPLIER]]*MBQ[[#This Row],[QTY]]</f>
        <v>0</v>
      </c>
      <c r="V872" s="9">
        <f>MBQ[[#This Row],[HEIGHT (mm)]]/1000*MBQ[[#This Row],[WIDTH (mm)]]/1000*MBQ[[#This Row],[QTY TOTAL]]</f>
        <v>0</v>
      </c>
      <c r="W872" s="287">
        <f>ROUNDUP(MBQ[[#This Row],[HEIGHT (mm)]]/450*MBQ[[#This Row],[QTY]]*2,0)+ROUNDUP(MBQ[[#This Row],[WIDTH (mm)]]/450*MBQ[[#This Row],[QTY]]*2,0)</f>
        <v>0</v>
      </c>
    </row>
    <row r="873" spans="1:23" hidden="1">
      <c r="A873" s="258">
        <v>1</v>
      </c>
      <c r="B873" s="259"/>
      <c r="C873" s="233"/>
      <c r="D873" s="260"/>
      <c r="E873" s="260"/>
      <c r="F873" s="261"/>
      <c r="G873" s="262"/>
      <c r="H873" s="262"/>
      <c r="I873" s="260"/>
      <c r="J873" s="233"/>
      <c r="K873" s="263"/>
      <c r="L873" s="260"/>
      <c r="M873" s="263"/>
      <c r="N873" s="263"/>
      <c r="O873" s="264"/>
      <c r="P873" s="264"/>
      <c r="Q873" s="265"/>
      <c r="R873" s="30">
        <f>MBQ[[#This Row],[HEIGHT (mm)]]*MBQ[[#This Row],[QTY TOTAL]]/1000</f>
        <v>0</v>
      </c>
      <c r="S873" s="30">
        <f>MBQ[[#This Row],[WIDTH (mm)]]*MBQ[[#This Row],[QTY TOTAL]]/1000</f>
        <v>0</v>
      </c>
      <c r="T873" s="9">
        <f>(MBQ[[#This Row],[HEIGHT (mm)]]+MBQ[[#This Row],[WIDTH (mm)]])/1000*2*MBQ[[#This Row],[QTY TOTAL]]</f>
        <v>0</v>
      </c>
      <c r="U873" s="266">
        <f>MBQ[[#This Row],[MULTIPLIER]]*MBQ[[#This Row],[QTY]]</f>
        <v>0</v>
      </c>
      <c r="V873" s="9">
        <f>MBQ[[#This Row],[HEIGHT (mm)]]/1000*MBQ[[#This Row],[WIDTH (mm)]]/1000*MBQ[[#This Row],[QTY TOTAL]]</f>
        <v>0</v>
      </c>
      <c r="W873" s="287">
        <f>ROUNDUP(MBQ[[#This Row],[HEIGHT (mm)]]/450*MBQ[[#This Row],[QTY]]*2,0)+ROUNDUP(MBQ[[#This Row],[WIDTH (mm)]]/450*MBQ[[#This Row],[QTY]]*2,0)</f>
        <v>0</v>
      </c>
    </row>
    <row r="874" spans="1:23" hidden="1">
      <c r="A874" s="258">
        <v>1</v>
      </c>
      <c r="B874" s="259"/>
      <c r="C874" s="233"/>
      <c r="D874" s="260"/>
      <c r="E874" s="260"/>
      <c r="F874" s="261"/>
      <c r="G874" s="262"/>
      <c r="H874" s="262"/>
      <c r="I874" s="260"/>
      <c r="J874" s="233"/>
      <c r="K874" s="263"/>
      <c r="L874" s="260"/>
      <c r="M874" s="263"/>
      <c r="N874" s="263"/>
      <c r="O874" s="264"/>
      <c r="P874" s="264"/>
      <c r="Q874" s="265"/>
      <c r="R874" s="30">
        <f>MBQ[[#This Row],[HEIGHT (mm)]]*MBQ[[#This Row],[QTY TOTAL]]/1000</f>
        <v>0</v>
      </c>
      <c r="S874" s="30">
        <f>MBQ[[#This Row],[WIDTH (mm)]]*MBQ[[#This Row],[QTY TOTAL]]/1000</f>
        <v>0</v>
      </c>
      <c r="T874" s="9">
        <f>(MBQ[[#This Row],[HEIGHT (mm)]]+MBQ[[#This Row],[WIDTH (mm)]])/1000*2*MBQ[[#This Row],[QTY TOTAL]]</f>
        <v>0</v>
      </c>
      <c r="U874" s="266">
        <f>MBQ[[#This Row],[MULTIPLIER]]*MBQ[[#This Row],[QTY]]</f>
        <v>0</v>
      </c>
      <c r="V874" s="9">
        <f>MBQ[[#This Row],[HEIGHT (mm)]]/1000*MBQ[[#This Row],[WIDTH (mm)]]/1000*MBQ[[#This Row],[QTY TOTAL]]</f>
        <v>0</v>
      </c>
      <c r="W874" s="287">
        <f>ROUNDUP(MBQ[[#This Row],[HEIGHT (mm)]]/450*MBQ[[#This Row],[QTY]]*2,0)+ROUNDUP(MBQ[[#This Row],[WIDTH (mm)]]/450*MBQ[[#This Row],[QTY]]*2,0)</f>
        <v>0</v>
      </c>
    </row>
    <row r="875" spans="1:23" hidden="1">
      <c r="A875" s="258">
        <v>1</v>
      </c>
      <c r="B875" s="259"/>
      <c r="C875" s="233"/>
      <c r="D875" s="260"/>
      <c r="E875" s="260"/>
      <c r="F875" s="261"/>
      <c r="G875" s="262"/>
      <c r="H875" s="262"/>
      <c r="I875" s="260"/>
      <c r="J875" s="233"/>
      <c r="K875" s="263"/>
      <c r="L875" s="260"/>
      <c r="M875" s="263"/>
      <c r="N875" s="263"/>
      <c r="O875" s="264"/>
      <c r="P875" s="264"/>
      <c r="Q875" s="265"/>
      <c r="R875" s="30">
        <f>MBQ[[#This Row],[HEIGHT (mm)]]*MBQ[[#This Row],[QTY TOTAL]]/1000</f>
        <v>0</v>
      </c>
      <c r="S875" s="30">
        <f>MBQ[[#This Row],[WIDTH (mm)]]*MBQ[[#This Row],[QTY TOTAL]]/1000</f>
        <v>0</v>
      </c>
      <c r="T875" s="9">
        <f>(MBQ[[#This Row],[HEIGHT (mm)]]+MBQ[[#This Row],[WIDTH (mm)]])/1000*2*MBQ[[#This Row],[QTY TOTAL]]</f>
        <v>0</v>
      </c>
      <c r="U875" s="266">
        <f>MBQ[[#This Row],[MULTIPLIER]]*MBQ[[#This Row],[QTY]]</f>
        <v>0</v>
      </c>
      <c r="V875" s="9">
        <f>MBQ[[#This Row],[HEIGHT (mm)]]/1000*MBQ[[#This Row],[WIDTH (mm)]]/1000*MBQ[[#This Row],[QTY TOTAL]]</f>
        <v>0</v>
      </c>
      <c r="W875" s="287">
        <f>ROUNDUP(MBQ[[#This Row],[HEIGHT (mm)]]/450*MBQ[[#This Row],[QTY]]*2,0)+ROUNDUP(MBQ[[#This Row],[WIDTH (mm)]]/450*MBQ[[#This Row],[QTY]]*2,0)</f>
        <v>0</v>
      </c>
    </row>
    <row r="876" spans="1:23" hidden="1">
      <c r="A876" s="258">
        <v>1</v>
      </c>
      <c r="B876" s="259"/>
      <c r="C876" s="233"/>
      <c r="D876" s="260"/>
      <c r="E876" s="260"/>
      <c r="F876" s="261"/>
      <c r="G876" s="262"/>
      <c r="H876" s="262"/>
      <c r="I876" s="260"/>
      <c r="J876" s="233"/>
      <c r="K876" s="263"/>
      <c r="L876" s="260"/>
      <c r="M876" s="263"/>
      <c r="N876" s="263"/>
      <c r="O876" s="264"/>
      <c r="P876" s="264"/>
      <c r="Q876" s="265"/>
      <c r="R876" s="30">
        <f>MBQ[[#This Row],[HEIGHT (mm)]]*MBQ[[#This Row],[QTY TOTAL]]/1000</f>
        <v>0</v>
      </c>
      <c r="S876" s="30">
        <f>MBQ[[#This Row],[WIDTH (mm)]]*MBQ[[#This Row],[QTY TOTAL]]/1000</f>
        <v>0</v>
      </c>
      <c r="T876" s="9">
        <f>(MBQ[[#This Row],[HEIGHT (mm)]]+MBQ[[#This Row],[WIDTH (mm)]])/1000*2*MBQ[[#This Row],[QTY TOTAL]]</f>
        <v>0</v>
      </c>
      <c r="U876" s="266">
        <f>MBQ[[#This Row],[MULTIPLIER]]*MBQ[[#This Row],[QTY]]</f>
        <v>0</v>
      </c>
      <c r="V876" s="9">
        <f>MBQ[[#This Row],[HEIGHT (mm)]]/1000*MBQ[[#This Row],[WIDTH (mm)]]/1000*MBQ[[#This Row],[QTY TOTAL]]</f>
        <v>0</v>
      </c>
      <c r="W876" s="287">
        <f>ROUNDUP(MBQ[[#This Row],[HEIGHT (mm)]]/450*MBQ[[#This Row],[QTY]]*2,0)+ROUNDUP(MBQ[[#This Row],[WIDTH (mm)]]/450*MBQ[[#This Row],[QTY]]*2,0)</f>
        <v>0</v>
      </c>
    </row>
    <row r="877" spans="1:23" hidden="1">
      <c r="A877" s="258">
        <v>1</v>
      </c>
      <c r="B877" s="259"/>
      <c r="C877" s="233"/>
      <c r="D877" s="260"/>
      <c r="E877" s="260"/>
      <c r="F877" s="261"/>
      <c r="G877" s="262"/>
      <c r="H877" s="262"/>
      <c r="I877" s="260"/>
      <c r="J877" s="233"/>
      <c r="K877" s="263"/>
      <c r="L877" s="260"/>
      <c r="M877" s="263"/>
      <c r="N877" s="263"/>
      <c r="O877" s="264"/>
      <c r="P877" s="264"/>
      <c r="Q877" s="265"/>
      <c r="R877" s="30">
        <f>MBQ[[#This Row],[HEIGHT (mm)]]*MBQ[[#This Row],[QTY TOTAL]]/1000</f>
        <v>0</v>
      </c>
      <c r="S877" s="30">
        <f>MBQ[[#This Row],[WIDTH (mm)]]*MBQ[[#This Row],[QTY TOTAL]]/1000</f>
        <v>0</v>
      </c>
      <c r="T877" s="9">
        <f>(MBQ[[#This Row],[HEIGHT (mm)]]+MBQ[[#This Row],[WIDTH (mm)]])/1000*2*MBQ[[#This Row],[QTY TOTAL]]</f>
        <v>0</v>
      </c>
      <c r="U877" s="266">
        <f>MBQ[[#This Row],[MULTIPLIER]]*MBQ[[#This Row],[QTY]]</f>
        <v>0</v>
      </c>
      <c r="V877" s="9">
        <f>MBQ[[#This Row],[HEIGHT (mm)]]/1000*MBQ[[#This Row],[WIDTH (mm)]]/1000*MBQ[[#This Row],[QTY TOTAL]]</f>
        <v>0</v>
      </c>
      <c r="W877" s="287">
        <f>ROUNDUP(MBQ[[#This Row],[HEIGHT (mm)]]/450*MBQ[[#This Row],[QTY]]*2,0)+ROUNDUP(MBQ[[#This Row],[WIDTH (mm)]]/450*MBQ[[#This Row],[QTY]]*2,0)</f>
        <v>0</v>
      </c>
    </row>
    <row r="878" spans="1:23" hidden="1">
      <c r="A878" s="258">
        <v>1</v>
      </c>
      <c r="B878" s="259"/>
      <c r="C878" s="233"/>
      <c r="D878" s="260"/>
      <c r="E878" s="260"/>
      <c r="F878" s="261"/>
      <c r="G878" s="262"/>
      <c r="H878" s="262"/>
      <c r="I878" s="260"/>
      <c r="J878" s="233"/>
      <c r="K878" s="263"/>
      <c r="L878" s="260"/>
      <c r="M878" s="263"/>
      <c r="N878" s="263"/>
      <c r="O878" s="264"/>
      <c r="P878" s="264"/>
      <c r="Q878" s="265"/>
      <c r="R878" s="30">
        <f>MBQ[[#This Row],[HEIGHT (mm)]]*MBQ[[#This Row],[QTY TOTAL]]/1000</f>
        <v>0</v>
      </c>
      <c r="S878" s="30">
        <f>MBQ[[#This Row],[WIDTH (mm)]]*MBQ[[#This Row],[QTY TOTAL]]/1000</f>
        <v>0</v>
      </c>
      <c r="T878" s="9">
        <f>(MBQ[[#This Row],[HEIGHT (mm)]]+MBQ[[#This Row],[WIDTH (mm)]])/1000*2*MBQ[[#This Row],[QTY TOTAL]]</f>
        <v>0</v>
      </c>
      <c r="U878" s="266">
        <f>MBQ[[#This Row],[MULTIPLIER]]*MBQ[[#This Row],[QTY]]</f>
        <v>0</v>
      </c>
      <c r="V878" s="9">
        <f>MBQ[[#This Row],[HEIGHT (mm)]]/1000*MBQ[[#This Row],[WIDTH (mm)]]/1000*MBQ[[#This Row],[QTY TOTAL]]</f>
        <v>0</v>
      </c>
      <c r="W878" s="287">
        <f>ROUNDUP(MBQ[[#This Row],[HEIGHT (mm)]]/450*MBQ[[#This Row],[QTY]]*2,0)+ROUNDUP(MBQ[[#This Row],[WIDTH (mm)]]/450*MBQ[[#This Row],[QTY]]*2,0)</f>
        <v>0</v>
      </c>
    </row>
    <row r="879" spans="1:23" hidden="1">
      <c r="A879" s="258">
        <v>1</v>
      </c>
      <c r="B879" s="259"/>
      <c r="C879" s="233"/>
      <c r="D879" s="260"/>
      <c r="E879" s="260"/>
      <c r="F879" s="261"/>
      <c r="G879" s="262"/>
      <c r="H879" s="262"/>
      <c r="I879" s="260"/>
      <c r="J879" s="233"/>
      <c r="K879" s="263"/>
      <c r="L879" s="260"/>
      <c r="M879" s="263"/>
      <c r="N879" s="263"/>
      <c r="O879" s="264"/>
      <c r="P879" s="264"/>
      <c r="Q879" s="265"/>
      <c r="R879" s="30">
        <f>MBQ[[#This Row],[HEIGHT (mm)]]*MBQ[[#This Row],[QTY TOTAL]]/1000</f>
        <v>0</v>
      </c>
      <c r="S879" s="30">
        <f>MBQ[[#This Row],[WIDTH (mm)]]*MBQ[[#This Row],[QTY TOTAL]]/1000</f>
        <v>0</v>
      </c>
      <c r="T879" s="9">
        <f>(MBQ[[#This Row],[HEIGHT (mm)]]+MBQ[[#This Row],[WIDTH (mm)]])/1000*2*MBQ[[#This Row],[QTY TOTAL]]</f>
        <v>0</v>
      </c>
      <c r="U879" s="266">
        <f>MBQ[[#This Row],[MULTIPLIER]]*MBQ[[#This Row],[QTY]]</f>
        <v>0</v>
      </c>
      <c r="V879" s="9">
        <f>MBQ[[#This Row],[HEIGHT (mm)]]/1000*MBQ[[#This Row],[WIDTH (mm)]]/1000*MBQ[[#This Row],[QTY TOTAL]]</f>
        <v>0</v>
      </c>
      <c r="W879" s="287">
        <f>ROUNDUP(MBQ[[#This Row],[HEIGHT (mm)]]/450*MBQ[[#This Row],[QTY]]*2,0)+ROUNDUP(MBQ[[#This Row],[WIDTH (mm)]]/450*MBQ[[#This Row],[QTY]]*2,0)</f>
        <v>0</v>
      </c>
    </row>
    <row r="880" spans="1:23" hidden="1">
      <c r="A880" s="258">
        <v>1</v>
      </c>
      <c r="B880" s="259"/>
      <c r="C880" s="233"/>
      <c r="D880" s="260"/>
      <c r="E880" s="260"/>
      <c r="F880" s="261"/>
      <c r="G880" s="262"/>
      <c r="H880" s="262"/>
      <c r="I880" s="260"/>
      <c r="J880" s="233"/>
      <c r="K880" s="263"/>
      <c r="L880" s="260"/>
      <c r="M880" s="263"/>
      <c r="N880" s="263"/>
      <c r="O880" s="264"/>
      <c r="P880" s="264"/>
      <c r="Q880" s="265"/>
      <c r="R880" s="30">
        <f>MBQ[[#This Row],[HEIGHT (mm)]]*MBQ[[#This Row],[QTY TOTAL]]/1000</f>
        <v>0</v>
      </c>
      <c r="S880" s="30">
        <f>MBQ[[#This Row],[WIDTH (mm)]]*MBQ[[#This Row],[QTY TOTAL]]/1000</f>
        <v>0</v>
      </c>
      <c r="T880" s="9">
        <f>(MBQ[[#This Row],[HEIGHT (mm)]]+MBQ[[#This Row],[WIDTH (mm)]])/1000*2*MBQ[[#This Row],[QTY TOTAL]]</f>
        <v>0</v>
      </c>
      <c r="U880" s="266">
        <f>MBQ[[#This Row],[MULTIPLIER]]*MBQ[[#This Row],[QTY]]</f>
        <v>0</v>
      </c>
      <c r="V880" s="9">
        <f>MBQ[[#This Row],[HEIGHT (mm)]]/1000*MBQ[[#This Row],[WIDTH (mm)]]/1000*MBQ[[#This Row],[QTY TOTAL]]</f>
        <v>0</v>
      </c>
      <c r="W880" s="287">
        <f>ROUNDUP(MBQ[[#This Row],[HEIGHT (mm)]]/450*MBQ[[#This Row],[QTY]]*2,0)+ROUNDUP(MBQ[[#This Row],[WIDTH (mm)]]/450*MBQ[[#This Row],[QTY]]*2,0)</f>
        <v>0</v>
      </c>
    </row>
    <row r="881" spans="1:23" hidden="1">
      <c r="A881" s="258">
        <v>1</v>
      </c>
      <c r="B881" s="259"/>
      <c r="C881" s="233"/>
      <c r="D881" s="260"/>
      <c r="E881" s="260"/>
      <c r="F881" s="261"/>
      <c r="G881" s="262"/>
      <c r="H881" s="262"/>
      <c r="I881" s="260"/>
      <c r="J881" s="233"/>
      <c r="K881" s="263"/>
      <c r="L881" s="260"/>
      <c r="M881" s="263"/>
      <c r="N881" s="263"/>
      <c r="O881" s="264"/>
      <c r="P881" s="264"/>
      <c r="Q881" s="265"/>
      <c r="R881" s="30">
        <f>MBQ[[#This Row],[HEIGHT (mm)]]*MBQ[[#This Row],[QTY TOTAL]]/1000</f>
        <v>0</v>
      </c>
      <c r="S881" s="30">
        <f>MBQ[[#This Row],[WIDTH (mm)]]*MBQ[[#This Row],[QTY TOTAL]]/1000</f>
        <v>0</v>
      </c>
      <c r="T881" s="9">
        <f>(MBQ[[#This Row],[HEIGHT (mm)]]+MBQ[[#This Row],[WIDTH (mm)]])/1000*2*MBQ[[#This Row],[QTY TOTAL]]</f>
        <v>0</v>
      </c>
      <c r="U881" s="266">
        <f>MBQ[[#This Row],[MULTIPLIER]]*MBQ[[#This Row],[QTY]]</f>
        <v>0</v>
      </c>
      <c r="V881" s="9">
        <f>MBQ[[#This Row],[HEIGHT (mm)]]/1000*MBQ[[#This Row],[WIDTH (mm)]]/1000*MBQ[[#This Row],[QTY TOTAL]]</f>
        <v>0</v>
      </c>
      <c r="W881" s="287">
        <f>ROUNDUP(MBQ[[#This Row],[HEIGHT (mm)]]/450*MBQ[[#This Row],[QTY]]*2,0)+ROUNDUP(MBQ[[#This Row],[WIDTH (mm)]]/450*MBQ[[#This Row],[QTY]]*2,0)</f>
        <v>0</v>
      </c>
    </row>
    <row r="882" spans="1:23" hidden="1">
      <c r="A882" s="258">
        <v>1</v>
      </c>
      <c r="B882" s="259"/>
      <c r="C882" s="233"/>
      <c r="D882" s="260"/>
      <c r="E882" s="260"/>
      <c r="F882" s="261"/>
      <c r="G882" s="262"/>
      <c r="H882" s="262"/>
      <c r="I882" s="260"/>
      <c r="J882" s="233"/>
      <c r="K882" s="263"/>
      <c r="L882" s="260"/>
      <c r="M882" s="263"/>
      <c r="N882" s="263"/>
      <c r="O882" s="264"/>
      <c r="P882" s="264"/>
      <c r="Q882" s="265"/>
      <c r="R882" s="30">
        <f>MBQ[[#This Row],[HEIGHT (mm)]]*MBQ[[#This Row],[QTY TOTAL]]/1000</f>
        <v>0</v>
      </c>
      <c r="S882" s="30">
        <f>MBQ[[#This Row],[WIDTH (mm)]]*MBQ[[#This Row],[QTY TOTAL]]/1000</f>
        <v>0</v>
      </c>
      <c r="T882" s="9">
        <f>(MBQ[[#This Row],[HEIGHT (mm)]]+MBQ[[#This Row],[WIDTH (mm)]])/1000*2*MBQ[[#This Row],[QTY TOTAL]]</f>
        <v>0</v>
      </c>
      <c r="U882" s="266">
        <f>MBQ[[#This Row],[MULTIPLIER]]*MBQ[[#This Row],[QTY]]</f>
        <v>0</v>
      </c>
      <c r="V882" s="9">
        <f>MBQ[[#This Row],[HEIGHT (mm)]]/1000*MBQ[[#This Row],[WIDTH (mm)]]/1000*MBQ[[#This Row],[QTY TOTAL]]</f>
        <v>0</v>
      </c>
      <c r="W882" s="287">
        <f>ROUNDUP(MBQ[[#This Row],[HEIGHT (mm)]]/450*MBQ[[#This Row],[QTY]]*2,0)+ROUNDUP(MBQ[[#This Row],[WIDTH (mm)]]/450*MBQ[[#This Row],[QTY]]*2,0)</f>
        <v>0</v>
      </c>
    </row>
    <row r="883" spans="1:23" hidden="1">
      <c r="A883" s="258">
        <v>1</v>
      </c>
      <c r="B883" s="259"/>
      <c r="C883" s="233"/>
      <c r="D883" s="260"/>
      <c r="E883" s="260"/>
      <c r="F883" s="261"/>
      <c r="G883" s="262"/>
      <c r="H883" s="262"/>
      <c r="I883" s="260"/>
      <c r="J883" s="233"/>
      <c r="K883" s="263"/>
      <c r="L883" s="260"/>
      <c r="M883" s="263"/>
      <c r="N883" s="263"/>
      <c r="O883" s="264"/>
      <c r="P883" s="264"/>
      <c r="Q883" s="265"/>
      <c r="R883" s="30">
        <f>MBQ[[#This Row],[HEIGHT (mm)]]*MBQ[[#This Row],[QTY TOTAL]]/1000</f>
        <v>0</v>
      </c>
      <c r="S883" s="30">
        <f>MBQ[[#This Row],[WIDTH (mm)]]*MBQ[[#This Row],[QTY TOTAL]]/1000</f>
        <v>0</v>
      </c>
      <c r="T883" s="9">
        <f>(MBQ[[#This Row],[HEIGHT (mm)]]+MBQ[[#This Row],[WIDTH (mm)]])/1000*2*MBQ[[#This Row],[QTY TOTAL]]</f>
        <v>0</v>
      </c>
      <c r="U883" s="266">
        <f>MBQ[[#This Row],[MULTIPLIER]]*MBQ[[#This Row],[QTY]]</f>
        <v>0</v>
      </c>
      <c r="V883" s="9">
        <f>MBQ[[#This Row],[HEIGHT (mm)]]/1000*MBQ[[#This Row],[WIDTH (mm)]]/1000*MBQ[[#This Row],[QTY TOTAL]]</f>
        <v>0</v>
      </c>
      <c r="W883" s="287">
        <f>ROUNDUP(MBQ[[#This Row],[HEIGHT (mm)]]/450*MBQ[[#This Row],[QTY]]*2,0)+ROUNDUP(MBQ[[#This Row],[WIDTH (mm)]]/450*MBQ[[#This Row],[QTY]]*2,0)</f>
        <v>0</v>
      </c>
    </row>
    <row r="884" spans="1:23" hidden="1">
      <c r="A884" s="258">
        <v>1</v>
      </c>
      <c r="B884" s="259"/>
      <c r="C884" s="233"/>
      <c r="D884" s="260"/>
      <c r="E884" s="260"/>
      <c r="F884" s="261"/>
      <c r="G884" s="262"/>
      <c r="H884" s="262"/>
      <c r="I884" s="260"/>
      <c r="J884" s="233"/>
      <c r="K884" s="263"/>
      <c r="L884" s="260"/>
      <c r="M884" s="263"/>
      <c r="N884" s="263"/>
      <c r="O884" s="264"/>
      <c r="P884" s="264"/>
      <c r="Q884" s="265"/>
      <c r="R884" s="30">
        <f>MBQ[[#This Row],[HEIGHT (mm)]]*MBQ[[#This Row],[QTY TOTAL]]/1000</f>
        <v>0</v>
      </c>
      <c r="S884" s="30">
        <f>MBQ[[#This Row],[WIDTH (mm)]]*MBQ[[#This Row],[QTY TOTAL]]/1000</f>
        <v>0</v>
      </c>
      <c r="T884" s="9">
        <f>(MBQ[[#This Row],[HEIGHT (mm)]]+MBQ[[#This Row],[WIDTH (mm)]])/1000*2*MBQ[[#This Row],[QTY TOTAL]]</f>
        <v>0</v>
      </c>
      <c r="U884" s="266">
        <f>MBQ[[#This Row],[MULTIPLIER]]*MBQ[[#This Row],[QTY]]</f>
        <v>0</v>
      </c>
      <c r="V884" s="9">
        <f>MBQ[[#This Row],[HEIGHT (mm)]]/1000*MBQ[[#This Row],[WIDTH (mm)]]/1000*MBQ[[#This Row],[QTY TOTAL]]</f>
        <v>0</v>
      </c>
      <c r="W884" s="287">
        <f>ROUNDUP(MBQ[[#This Row],[HEIGHT (mm)]]/450*MBQ[[#This Row],[QTY]]*2,0)+ROUNDUP(MBQ[[#This Row],[WIDTH (mm)]]/450*MBQ[[#This Row],[QTY]]*2,0)</f>
        <v>0</v>
      </c>
    </row>
    <row r="885" spans="1:23" hidden="1">
      <c r="A885" s="258">
        <v>1</v>
      </c>
      <c r="B885" s="259"/>
      <c r="C885" s="233"/>
      <c r="D885" s="260"/>
      <c r="E885" s="260"/>
      <c r="F885" s="261"/>
      <c r="G885" s="262"/>
      <c r="H885" s="262"/>
      <c r="I885" s="260"/>
      <c r="J885" s="233"/>
      <c r="K885" s="263"/>
      <c r="L885" s="260"/>
      <c r="M885" s="263"/>
      <c r="N885" s="263"/>
      <c r="O885" s="264"/>
      <c r="P885" s="264"/>
      <c r="Q885" s="265"/>
      <c r="R885" s="30">
        <f>MBQ[[#This Row],[HEIGHT (mm)]]*MBQ[[#This Row],[QTY TOTAL]]/1000</f>
        <v>0</v>
      </c>
      <c r="S885" s="30">
        <f>MBQ[[#This Row],[WIDTH (mm)]]*MBQ[[#This Row],[QTY TOTAL]]/1000</f>
        <v>0</v>
      </c>
      <c r="T885" s="9">
        <f>(MBQ[[#This Row],[HEIGHT (mm)]]+MBQ[[#This Row],[WIDTH (mm)]])/1000*2*MBQ[[#This Row],[QTY TOTAL]]</f>
        <v>0</v>
      </c>
      <c r="U885" s="266">
        <f>MBQ[[#This Row],[MULTIPLIER]]*MBQ[[#This Row],[QTY]]</f>
        <v>0</v>
      </c>
      <c r="V885" s="9">
        <f>MBQ[[#This Row],[HEIGHT (mm)]]/1000*MBQ[[#This Row],[WIDTH (mm)]]/1000*MBQ[[#This Row],[QTY TOTAL]]</f>
        <v>0</v>
      </c>
      <c r="W885" s="287">
        <f>ROUNDUP(MBQ[[#This Row],[HEIGHT (mm)]]/450*MBQ[[#This Row],[QTY]]*2,0)+ROUNDUP(MBQ[[#This Row],[WIDTH (mm)]]/450*MBQ[[#This Row],[QTY]]*2,0)</f>
        <v>0</v>
      </c>
    </row>
    <row r="886" spans="1:23" hidden="1">
      <c r="A886" s="258">
        <v>1</v>
      </c>
      <c r="B886" s="259"/>
      <c r="C886" s="233"/>
      <c r="D886" s="260"/>
      <c r="E886" s="260"/>
      <c r="F886" s="261"/>
      <c r="G886" s="262"/>
      <c r="H886" s="262"/>
      <c r="I886" s="260"/>
      <c r="J886" s="233"/>
      <c r="K886" s="263"/>
      <c r="L886" s="260"/>
      <c r="M886" s="263"/>
      <c r="N886" s="263"/>
      <c r="O886" s="264"/>
      <c r="P886" s="264"/>
      <c r="Q886" s="265"/>
      <c r="R886" s="30">
        <f>MBQ[[#This Row],[HEIGHT (mm)]]*MBQ[[#This Row],[QTY TOTAL]]/1000</f>
        <v>0</v>
      </c>
      <c r="S886" s="30">
        <f>MBQ[[#This Row],[WIDTH (mm)]]*MBQ[[#This Row],[QTY TOTAL]]/1000</f>
        <v>0</v>
      </c>
      <c r="T886" s="9">
        <f>(MBQ[[#This Row],[HEIGHT (mm)]]+MBQ[[#This Row],[WIDTH (mm)]])/1000*2*MBQ[[#This Row],[QTY TOTAL]]</f>
        <v>0</v>
      </c>
      <c r="U886" s="266">
        <f>MBQ[[#This Row],[MULTIPLIER]]*MBQ[[#This Row],[QTY]]</f>
        <v>0</v>
      </c>
      <c r="V886" s="9">
        <f>MBQ[[#This Row],[HEIGHT (mm)]]/1000*MBQ[[#This Row],[WIDTH (mm)]]/1000*MBQ[[#This Row],[QTY TOTAL]]</f>
        <v>0</v>
      </c>
      <c r="W886" s="287">
        <f>ROUNDUP(MBQ[[#This Row],[HEIGHT (mm)]]/450*MBQ[[#This Row],[QTY]]*2,0)+ROUNDUP(MBQ[[#This Row],[WIDTH (mm)]]/450*MBQ[[#This Row],[QTY]]*2,0)</f>
        <v>0</v>
      </c>
    </row>
    <row r="887" spans="1:23" hidden="1">
      <c r="A887" s="258">
        <v>1</v>
      </c>
      <c r="B887" s="259"/>
      <c r="C887" s="233"/>
      <c r="D887" s="260"/>
      <c r="E887" s="260"/>
      <c r="F887" s="261"/>
      <c r="G887" s="262"/>
      <c r="H887" s="262"/>
      <c r="I887" s="260"/>
      <c r="J887" s="233"/>
      <c r="K887" s="263"/>
      <c r="L887" s="260"/>
      <c r="M887" s="263"/>
      <c r="N887" s="263"/>
      <c r="O887" s="264"/>
      <c r="P887" s="264"/>
      <c r="Q887" s="265"/>
      <c r="R887" s="30">
        <f>MBQ[[#This Row],[HEIGHT (mm)]]*MBQ[[#This Row],[QTY TOTAL]]/1000</f>
        <v>0</v>
      </c>
      <c r="S887" s="30">
        <f>MBQ[[#This Row],[WIDTH (mm)]]*MBQ[[#This Row],[QTY TOTAL]]/1000</f>
        <v>0</v>
      </c>
      <c r="T887" s="9">
        <f>(MBQ[[#This Row],[HEIGHT (mm)]]+MBQ[[#This Row],[WIDTH (mm)]])/1000*2*MBQ[[#This Row],[QTY TOTAL]]</f>
        <v>0</v>
      </c>
      <c r="U887" s="266">
        <f>MBQ[[#This Row],[MULTIPLIER]]*MBQ[[#This Row],[QTY]]</f>
        <v>0</v>
      </c>
      <c r="V887" s="9">
        <f>MBQ[[#This Row],[HEIGHT (mm)]]/1000*MBQ[[#This Row],[WIDTH (mm)]]/1000*MBQ[[#This Row],[QTY TOTAL]]</f>
        <v>0</v>
      </c>
      <c r="W887" s="287">
        <f>ROUNDUP(MBQ[[#This Row],[HEIGHT (mm)]]/450*MBQ[[#This Row],[QTY]]*2,0)+ROUNDUP(MBQ[[#This Row],[WIDTH (mm)]]/450*MBQ[[#This Row],[QTY]]*2,0)</f>
        <v>0</v>
      </c>
    </row>
    <row r="888" spans="1:23" hidden="1">
      <c r="A888" s="258">
        <v>1</v>
      </c>
      <c r="B888" s="259"/>
      <c r="C888" s="233"/>
      <c r="D888" s="260"/>
      <c r="E888" s="260"/>
      <c r="F888" s="261"/>
      <c r="G888" s="262"/>
      <c r="H888" s="262"/>
      <c r="I888" s="260"/>
      <c r="J888" s="233"/>
      <c r="K888" s="263"/>
      <c r="L888" s="260"/>
      <c r="M888" s="263"/>
      <c r="N888" s="263"/>
      <c r="O888" s="264"/>
      <c r="P888" s="264"/>
      <c r="Q888" s="265"/>
      <c r="R888" s="30">
        <f>MBQ[[#This Row],[HEIGHT (mm)]]*MBQ[[#This Row],[QTY TOTAL]]/1000</f>
        <v>0</v>
      </c>
      <c r="S888" s="30">
        <f>MBQ[[#This Row],[WIDTH (mm)]]*MBQ[[#This Row],[QTY TOTAL]]/1000</f>
        <v>0</v>
      </c>
      <c r="T888" s="9">
        <f>(MBQ[[#This Row],[HEIGHT (mm)]]+MBQ[[#This Row],[WIDTH (mm)]])/1000*2*MBQ[[#This Row],[QTY TOTAL]]</f>
        <v>0</v>
      </c>
      <c r="U888" s="266">
        <f>MBQ[[#This Row],[MULTIPLIER]]*MBQ[[#This Row],[QTY]]</f>
        <v>0</v>
      </c>
      <c r="V888" s="9">
        <f>MBQ[[#This Row],[HEIGHT (mm)]]/1000*MBQ[[#This Row],[WIDTH (mm)]]/1000*MBQ[[#This Row],[QTY TOTAL]]</f>
        <v>0</v>
      </c>
      <c r="W888" s="287">
        <f>ROUNDUP(MBQ[[#This Row],[HEIGHT (mm)]]/450*MBQ[[#This Row],[QTY]]*2,0)+ROUNDUP(MBQ[[#This Row],[WIDTH (mm)]]/450*MBQ[[#This Row],[QTY]]*2,0)</f>
        <v>0</v>
      </c>
    </row>
    <row r="889" spans="1:23" hidden="1">
      <c r="A889" s="258">
        <v>1</v>
      </c>
      <c r="B889" s="259"/>
      <c r="C889" s="233"/>
      <c r="D889" s="260"/>
      <c r="E889" s="260"/>
      <c r="F889" s="261"/>
      <c r="G889" s="262"/>
      <c r="H889" s="262"/>
      <c r="I889" s="260"/>
      <c r="J889" s="233"/>
      <c r="K889" s="263"/>
      <c r="L889" s="260"/>
      <c r="M889" s="263"/>
      <c r="N889" s="263"/>
      <c r="O889" s="264"/>
      <c r="P889" s="264"/>
      <c r="Q889" s="265"/>
      <c r="R889" s="30">
        <f>MBQ[[#This Row],[HEIGHT (mm)]]*MBQ[[#This Row],[QTY TOTAL]]/1000</f>
        <v>0</v>
      </c>
      <c r="S889" s="30">
        <f>MBQ[[#This Row],[WIDTH (mm)]]*MBQ[[#This Row],[QTY TOTAL]]/1000</f>
        <v>0</v>
      </c>
      <c r="T889" s="9">
        <f>(MBQ[[#This Row],[HEIGHT (mm)]]+MBQ[[#This Row],[WIDTH (mm)]])/1000*2*MBQ[[#This Row],[QTY TOTAL]]</f>
        <v>0</v>
      </c>
      <c r="U889" s="266">
        <f>MBQ[[#This Row],[MULTIPLIER]]*MBQ[[#This Row],[QTY]]</f>
        <v>0</v>
      </c>
      <c r="V889" s="9">
        <f>MBQ[[#This Row],[HEIGHT (mm)]]/1000*MBQ[[#This Row],[WIDTH (mm)]]/1000*MBQ[[#This Row],[QTY TOTAL]]</f>
        <v>0</v>
      </c>
      <c r="W889" s="287">
        <f>ROUNDUP(MBQ[[#This Row],[HEIGHT (mm)]]/450*MBQ[[#This Row],[QTY]]*2,0)+ROUNDUP(MBQ[[#This Row],[WIDTH (mm)]]/450*MBQ[[#This Row],[QTY]]*2,0)</f>
        <v>0</v>
      </c>
    </row>
    <row r="890" spans="1:23" hidden="1">
      <c r="A890" s="258">
        <v>1</v>
      </c>
      <c r="B890" s="259"/>
      <c r="C890" s="233"/>
      <c r="D890" s="260"/>
      <c r="E890" s="260"/>
      <c r="F890" s="261"/>
      <c r="G890" s="262"/>
      <c r="H890" s="262"/>
      <c r="I890" s="260"/>
      <c r="J890" s="233"/>
      <c r="K890" s="263"/>
      <c r="L890" s="260"/>
      <c r="M890" s="263"/>
      <c r="N890" s="263"/>
      <c r="O890" s="264"/>
      <c r="P890" s="264"/>
      <c r="Q890" s="265"/>
      <c r="R890" s="30">
        <f>MBQ[[#This Row],[HEIGHT (mm)]]*MBQ[[#This Row],[QTY TOTAL]]/1000</f>
        <v>0</v>
      </c>
      <c r="S890" s="30">
        <f>MBQ[[#This Row],[WIDTH (mm)]]*MBQ[[#This Row],[QTY TOTAL]]/1000</f>
        <v>0</v>
      </c>
      <c r="T890" s="9">
        <f>(MBQ[[#This Row],[HEIGHT (mm)]]+MBQ[[#This Row],[WIDTH (mm)]])/1000*2*MBQ[[#This Row],[QTY TOTAL]]</f>
        <v>0</v>
      </c>
      <c r="U890" s="266">
        <f>MBQ[[#This Row],[MULTIPLIER]]*MBQ[[#This Row],[QTY]]</f>
        <v>0</v>
      </c>
      <c r="V890" s="9">
        <f>MBQ[[#This Row],[HEIGHT (mm)]]/1000*MBQ[[#This Row],[WIDTH (mm)]]/1000*MBQ[[#This Row],[QTY TOTAL]]</f>
        <v>0</v>
      </c>
      <c r="W890" s="287">
        <f>ROUNDUP(MBQ[[#This Row],[HEIGHT (mm)]]/450*MBQ[[#This Row],[QTY]]*2,0)+ROUNDUP(MBQ[[#This Row],[WIDTH (mm)]]/450*MBQ[[#This Row],[QTY]]*2,0)</f>
        <v>0</v>
      </c>
    </row>
    <row r="891" spans="1:23" hidden="1">
      <c r="A891" s="258">
        <v>1</v>
      </c>
      <c r="B891" s="259"/>
      <c r="C891" s="233"/>
      <c r="D891" s="260"/>
      <c r="E891" s="260"/>
      <c r="F891" s="261"/>
      <c r="G891" s="262"/>
      <c r="H891" s="262"/>
      <c r="I891" s="260"/>
      <c r="J891" s="233"/>
      <c r="K891" s="263"/>
      <c r="L891" s="260"/>
      <c r="M891" s="263"/>
      <c r="N891" s="263"/>
      <c r="O891" s="264"/>
      <c r="P891" s="264"/>
      <c r="Q891" s="265"/>
      <c r="R891" s="30">
        <f>MBQ[[#This Row],[HEIGHT (mm)]]*MBQ[[#This Row],[QTY TOTAL]]/1000</f>
        <v>0</v>
      </c>
      <c r="S891" s="30">
        <f>MBQ[[#This Row],[WIDTH (mm)]]*MBQ[[#This Row],[QTY TOTAL]]/1000</f>
        <v>0</v>
      </c>
      <c r="T891" s="9">
        <f>(MBQ[[#This Row],[HEIGHT (mm)]]+MBQ[[#This Row],[WIDTH (mm)]])/1000*2*MBQ[[#This Row],[QTY TOTAL]]</f>
        <v>0</v>
      </c>
      <c r="U891" s="266">
        <f>MBQ[[#This Row],[MULTIPLIER]]*MBQ[[#This Row],[QTY]]</f>
        <v>0</v>
      </c>
      <c r="V891" s="9">
        <f>MBQ[[#This Row],[HEIGHT (mm)]]/1000*MBQ[[#This Row],[WIDTH (mm)]]/1000*MBQ[[#This Row],[QTY TOTAL]]</f>
        <v>0</v>
      </c>
      <c r="W891" s="287">
        <f>ROUNDUP(MBQ[[#This Row],[HEIGHT (mm)]]/450*MBQ[[#This Row],[QTY]]*2,0)+ROUNDUP(MBQ[[#This Row],[WIDTH (mm)]]/450*MBQ[[#This Row],[QTY]]*2,0)</f>
        <v>0</v>
      </c>
    </row>
    <row r="892" spans="1:23" hidden="1">
      <c r="A892" s="258">
        <v>1</v>
      </c>
      <c r="B892" s="259"/>
      <c r="C892" s="233"/>
      <c r="D892" s="260"/>
      <c r="E892" s="260"/>
      <c r="F892" s="261"/>
      <c r="G892" s="262"/>
      <c r="H892" s="262"/>
      <c r="I892" s="260"/>
      <c r="J892" s="233"/>
      <c r="K892" s="263"/>
      <c r="L892" s="260"/>
      <c r="M892" s="263"/>
      <c r="N892" s="263"/>
      <c r="O892" s="264"/>
      <c r="P892" s="264"/>
      <c r="Q892" s="265"/>
      <c r="R892" s="30">
        <f>MBQ[[#This Row],[HEIGHT (mm)]]*MBQ[[#This Row],[QTY TOTAL]]/1000</f>
        <v>0</v>
      </c>
      <c r="S892" s="30">
        <f>MBQ[[#This Row],[WIDTH (mm)]]*MBQ[[#This Row],[QTY TOTAL]]/1000</f>
        <v>0</v>
      </c>
      <c r="T892" s="9">
        <f>(MBQ[[#This Row],[HEIGHT (mm)]]+MBQ[[#This Row],[WIDTH (mm)]])/1000*2*MBQ[[#This Row],[QTY TOTAL]]</f>
        <v>0</v>
      </c>
      <c r="U892" s="266">
        <f>MBQ[[#This Row],[MULTIPLIER]]*MBQ[[#This Row],[QTY]]</f>
        <v>0</v>
      </c>
      <c r="V892" s="9">
        <f>MBQ[[#This Row],[HEIGHT (mm)]]/1000*MBQ[[#This Row],[WIDTH (mm)]]/1000*MBQ[[#This Row],[QTY TOTAL]]</f>
        <v>0</v>
      </c>
      <c r="W892" s="287">
        <f>ROUNDUP(MBQ[[#This Row],[HEIGHT (mm)]]/450*MBQ[[#This Row],[QTY]]*2,0)+ROUNDUP(MBQ[[#This Row],[WIDTH (mm)]]/450*MBQ[[#This Row],[QTY]]*2,0)</f>
        <v>0</v>
      </c>
    </row>
    <row r="893" spans="1:23" hidden="1">
      <c r="A893" s="258">
        <v>1</v>
      </c>
      <c r="B893" s="259"/>
      <c r="C893" s="233"/>
      <c r="D893" s="260"/>
      <c r="E893" s="260"/>
      <c r="F893" s="261"/>
      <c r="G893" s="262"/>
      <c r="H893" s="262"/>
      <c r="I893" s="260"/>
      <c r="J893" s="233"/>
      <c r="K893" s="263"/>
      <c r="L893" s="260"/>
      <c r="M893" s="263"/>
      <c r="N893" s="263"/>
      <c r="O893" s="264"/>
      <c r="P893" s="264"/>
      <c r="Q893" s="265"/>
      <c r="R893" s="30">
        <f>MBQ[[#This Row],[HEIGHT (mm)]]*MBQ[[#This Row],[QTY TOTAL]]/1000</f>
        <v>0</v>
      </c>
      <c r="S893" s="30">
        <f>MBQ[[#This Row],[WIDTH (mm)]]*MBQ[[#This Row],[QTY TOTAL]]/1000</f>
        <v>0</v>
      </c>
      <c r="T893" s="9">
        <f>(MBQ[[#This Row],[HEIGHT (mm)]]+MBQ[[#This Row],[WIDTH (mm)]])/1000*2*MBQ[[#This Row],[QTY TOTAL]]</f>
        <v>0</v>
      </c>
      <c r="U893" s="266">
        <f>MBQ[[#This Row],[MULTIPLIER]]*MBQ[[#This Row],[QTY]]</f>
        <v>0</v>
      </c>
      <c r="V893" s="9">
        <f>MBQ[[#This Row],[HEIGHT (mm)]]/1000*MBQ[[#This Row],[WIDTH (mm)]]/1000*MBQ[[#This Row],[QTY TOTAL]]</f>
        <v>0</v>
      </c>
      <c r="W893" s="287">
        <f>ROUNDUP(MBQ[[#This Row],[HEIGHT (mm)]]/450*MBQ[[#This Row],[QTY]]*2,0)+ROUNDUP(MBQ[[#This Row],[WIDTH (mm)]]/450*MBQ[[#This Row],[QTY]]*2,0)</f>
        <v>0</v>
      </c>
    </row>
    <row r="894" spans="1:23" hidden="1">
      <c r="A894" s="258">
        <v>1</v>
      </c>
      <c r="B894" s="259"/>
      <c r="C894" s="233"/>
      <c r="D894" s="260"/>
      <c r="E894" s="260"/>
      <c r="F894" s="261"/>
      <c r="G894" s="262"/>
      <c r="H894" s="262"/>
      <c r="I894" s="260"/>
      <c r="J894" s="233"/>
      <c r="K894" s="263"/>
      <c r="L894" s="260"/>
      <c r="M894" s="263"/>
      <c r="N894" s="263"/>
      <c r="O894" s="264"/>
      <c r="P894" s="264"/>
      <c r="Q894" s="265"/>
      <c r="R894" s="30">
        <f>MBQ[[#This Row],[HEIGHT (mm)]]*MBQ[[#This Row],[QTY TOTAL]]/1000</f>
        <v>0</v>
      </c>
      <c r="S894" s="30">
        <f>MBQ[[#This Row],[WIDTH (mm)]]*MBQ[[#This Row],[QTY TOTAL]]/1000</f>
        <v>0</v>
      </c>
      <c r="T894" s="9">
        <f>(MBQ[[#This Row],[HEIGHT (mm)]]+MBQ[[#This Row],[WIDTH (mm)]])/1000*2*MBQ[[#This Row],[QTY TOTAL]]</f>
        <v>0</v>
      </c>
      <c r="U894" s="266">
        <f>MBQ[[#This Row],[MULTIPLIER]]*MBQ[[#This Row],[QTY]]</f>
        <v>0</v>
      </c>
      <c r="V894" s="9">
        <f>MBQ[[#This Row],[HEIGHT (mm)]]/1000*MBQ[[#This Row],[WIDTH (mm)]]/1000*MBQ[[#This Row],[QTY TOTAL]]</f>
        <v>0</v>
      </c>
      <c r="W894" s="287">
        <f>ROUNDUP(MBQ[[#This Row],[HEIGHT (mm)]]/450*MBQ[[#This Row],[QTY]]*2,0)+ROUNDUP(MBQ[[#This Row],[WIDTH (mm)]]/450*MBQ[[#This Row],[QTY]]*2,0)</f>
        <v>0</v>
      </c>
    </row>
    <row r="895" spans="1:23" hidden="1">
      <c r="A895" s="258">
        <v>1</v>
      </c>
      <c r="B895" s="259"/>
      <c r="C895" s="233"/>
      <c r="D895" s="260"/>
      <c r="E895" s="260"/>
      <c r="F895" s="261"/>
      <c r="G895" s="262"/>
      <c r="H895" s="262"/>
      <c r="I895" s="260"/>
      <c r="J895" s="233"/>
      <c r="K895" s="263"/>
      <c r="L895" s="260"/>
      <c r="M895" s="263"/>
      <c r="N895" s="263"/>
      <c r="O895" s="264"/>
      <c r="P895" s="264"/>
      <c r="Q895" s="265"/>
      <c r="R895" s="30">
        <f>MBQ[[#This Row],[HEIGHT (mm)]]*MBQ[[#This Row],[QTY TOTAL]]/1000</f>
        <v>0</v>
      </c>
      <c r="S895" s="30">
        <f>MBQ[[#This Row],[WIDTH (mm)]]*MBQ[[#This Row],[QTY TOTAL]]/1000</f>
        <v>0</v>
      </c>
      <c r="T895" s="9">
        <f>(MBQ[[#This Row],[HEIGHT (mm)]]+MBQ[[#This Row],[WIDTH (mm)]])/1000*2*MBQ[[#This Row],[QTY TOTAL]]</f>
        <v>0</v>
      </c>
      <c r="U895" s="266">
        <f>MBQ[[#This Row],[MULTIPLIER]]*MBQ[[#This Row],[QTY]]</f>
        <v>0</v>
      </c>
      <c r="V895" s="9">
        <f>MBQ[[#This Row],[HEIGHT (mm)]]/1000*MBQ[[#This Row],[WIDTH (mm)]]/1000*MBQ[[#This Row],[QTY TOTAL]]</f>
        <v>0</v>
      </c>
      <c r="W895" s="287">
        <f>ROUNDUP(MBQ[[#This Row],[HEIGHT (mm)]]/450*MBQ[[#This Row],[QTY]]*2,0)+ROUNDUP(MBQ[[#This Row],[WIDTH (mm)]]/450*MBQ[[#This Row],[QTY]]*2,0)</f>
        <v>0</v>
      </c>
    </row>
    <row r="896" spans="1:23" hidden="1">
      <c r="A896" s="258">
        <v>1</v>
      </c>
      <c r="B896" s="259"/>
      <c r="C896" s="233"/>
      <c r="D896" s="260"/>
      <c r="E896" s="260"/>
      <c r="F896" s="261"/>
      <c r="G896" s="262"/>
      <c r="H896" s="262"/>
      <c r="I896" s="260"/>
      <c r="J896" s="233"/>
      <c r="K896" s="263"/>
      <c r="L896" s="260"/>
      <c r="M896" s="263"/>
      <c r="N896" s="263"/>
      <c r="O896" s="264"/>
      <c r="P896" s="264"/>
      <c r="Q896" s="265"/>
      <c r="R896" s="30">
        <f>MBQ[[#This Row],[HEIGHT (mm)]]*MBQ[[#This Row],[QTY TOTAL]]/1000</f>
        <v>0</v>
      </c>
      <c r="S896" s="30">
        <f>MBQ[[#This Row],[WIDTH (mm)]]*MBQ[[#This Row],[QTY TOTAL]]/1000</f>
        <v>0</v>
      </c>
      <c r="T896" s="9">
        <f>(MBQ[[#This Row],[HEIGHT (mm)]]+MBQ[[#This Row],[WIDTH (mm)]])/1000*2*MBQ[[#This Row],[QTY TOTAL]]</f>
        <v>0</v>
      </c>
      <c r="U896" s="266">
        <f>MBQ[[#This Row],[MULTIPLIER]]*MBQ[[#This Row],[QTY]]</f>
        <v>0</v>
      </c>
      <c r="V896" s="9">
        <f>MBQ[[#This Row],[HEIGHT (mm)]]/1000*MBQ[[#This Row],[WIDTH (mm)]]/1000*MBQ[[#This Row],[QTY TOTAL]]</f>
        <v>0</v>
      </c>
      <c r="W896" s="287">
        <f>ROUNDUP(MBQ[[#This Row],[HEIGHT (mm)]]/450*MBQ[[#This Row],[QTY]]*2,0)+ROUNDUP(MBQ[[#This Row],[WIDTH (mm)]]/450*MBQ[[#This Row],[QTY]]*2,0)</f>
        <v>0</v>
      </c>
    </row>
    <row r="897" spans="1:23" hidden="1">
      <c r="A897" s="258">
        <v>1</v>
      </c>
      <c r="B897" s="259"/>
      <c r="C897" s="233"/>
      <c r="D897" s="260"/>
      <c r="E897" s="260"/>
      <c r="F897" s="261"/>
      <c r="G897" s="262"/>
      <c r="H897" s="262"/>
      <c r="I897" s="260"/>
      <c r="J897" s="233"/>
      <c r="K897" s="263"/>
      <c r="L897" s="260"/>
      <c r="M897" s="263"/>
      <c r="N897" s="263"/>
      <c r="O897" s="264"/>
      <c r="P897" s="264"/>
      <c r="Q897" s="265"/>
      <c r="R897" s="30">
        <f>MBQ[[#This Row],[HEIGHT (mm)]]*MBQ[[#This Row],[QTY TOTAL]]/1000</f>
        <v>0</v>
      </c>
      <c r="S897" s="30">
        <f>MBQ[[#This Row],[WIDTH (mm)]]*MBQ[[#This Row],[QTY TOTAL]]/1000</f>
        <v>0</v>
      </c>
      <c r="T897" s="9">
        <f>(MBQ[[#This Row],[HEIGHT (mm)]]+MBQ[[#This Row],[WIDTH (mm)]])/1000*2*MBQ[[#This Row],[QTY TOTAL]]</f>
        <v>0</v>
      </c>
      <c r="U897" s="266">
        <f>MBQ[[#This Row],[MULTIPLIER]]*MBQ[[#This Row],[QTY]]</f>
        <v>0</v>
      </c>
      <c r="V897" s="9">
        <f>MBQ[[#This Row],[HEIGHT (mm)]]/1000*MBQ[[#This Row],[WIDTH (mm)]]/1000*MBQ[[#This Row],[QTY TOTAL]]</f>
        <v>0</v>
      </c>
      <c r="W897" s="287">
        <f>ROUNDUP(MBQ[[#This Row],[HEIGHT (mm)]]/450*MBQ[[#This Row],[QTY]]*2,0)+ROUNDUP(MBQ[[#This Row],[WIDTH (mm)]]/450*MBQ[[#This Row],[QTY]]*2,0)</f>
        <v>0</v>
      </c>
    </row>
    <row r="898" spans="1:23" hidden="1">
      <c r="A898" s="258">
        <v>1</v>
      </c>
      <c r="B898" s="259"/>
      <c r="C898" s="233"/>
      <c r="D898" s="260"/>
      <c r="E898" s="260"/>
      <c r="F898" s="261"/>
      <c r="G898" s="262"/>
      <c r="H898" s="262"/>
      <c r="I898" s="260"/>
      <c r="J898" s="233"/>
      <c r="K898" s="263"/>
      <c r="L898" s="260"/>
      <c r="M898" s="263"/>
      <c r="N898" s="263"/>
      <c r="O898" s="264"/>
      <c r="P898" s="264"/>
      <c r="Q898" s="265"/>
      <c r="R898" s="30">
        <f>MBQ[[#This Row],[HEIGHT (mm)]]*MBQ[[#This Row],[QTY TOTAL]]/1000</f>
        <v>0</v>
      </c>
      <c r="S898" s="30">
        <f>MBQ[[#This Row],[WIDTH (mm)]]*MBQ[[#This Row],[QTY TOTAL]]/1000</f>
        <v>0</v>
      </c>
      <c r="T898" s="9">
        <f>(MBQ[[#This Row],[HEIGHT (mm)]]+MBQ[[#This Row],[WIDTH (mm)]])/1000*2*MBQ[[#This Row],[QTY TOTAL]]</f>
        <v>0</v>
      </c>
      <c r="U898" s="266">
        <f>MBQ[[#This Row],[MULTIPLIER]]*MBQ[[#This Row],[QTY]]</f>
        <v>0</v>
      </c>
      <c r="V898" s="9">
        <f>MBQ[[#This Row],[HEIGHT (mm)]]/1000*MBQ[[#This Row],[WIDTH (mm)]]/1000*MBQ[[#This Row],[QTY TOTAL]]</f>
        <v>0</v>
      </c>
      <c r="W898" s="287">
        <f>ROUNDUP(MBQ[[#This Row],[HEIGHT (mm)]]/450*MBQ[[#This Row],[QTY]]*2,0)+ROUNDUP(MBQ[[#This Row],[WIDTH (mm)]]/450*MBQ[[#This Row],[QTY]]*2,0)</f>
        <v>0</v>
      </c>
    </row>
    <row r="899" spans="1:23" hidden="1">
      <c r="A899" s="258">
        <v>1</v>
      </c>
      <c r="B899" s="259"/>
      <c r="C899" s="233"/>
      <c r="D899" s="260"/>
      <c r="E899" s="260"/>
      <c r="F899" s="261"/>
      <c r="G899" s="262"/>
      <c r="H899" s="262"/>
      <c r="I899" s="260"/>
      <c r="J899" s="233"/>
      <c r="K899" s="263"/>
      <c r="L899" s="260"/>
      <c r="M899" s="263"/>
      <c r="N899" s="263"/>
      <c r="O899" s="264"/>
      <c r="P899" s="264"/>
      <c r="Q899" s="265"/>
      <c r="R899" s="30">
        <f>MBQ[[#This Row],[HEIGHT (mm)]]*MBQ[[#This Row],[QTY TOTAL]]/1000</f>
        <v>0</v>
      </c>
      <c r="S899" s="30">
        <f>MBQ[[#This Row],[WIDTH (mm)]]*MBQ[[#This Row],[QTY TOTAL]]/1000</f>
        <v>0</v>
      </c>
      <c r="T899" s="9">
        <f>(MBQ[[#This Row],[HEIGHT (mm)]]+MBQ[[#This Row],[WIDTH (mm)]])/1000*2*MBQ[[#This Row],[QTY TOTAL]]</f>
        <v>0</v>
      </c>
      <c r="U899" s="266">
        <f>MBQ[[#This Row],[MULTIPLIER]]*MBQ[[#This Row],[QTY]]</f>
        <v>0</v>
      </c>
      <c r="V899" s="9">
        <f>MBQ[[#This Row],[HEIGHT (mm)]]/1000*MBQ[[#This Row],[WIDTH (mm)]]/1000*MBQ[[#This Row],[QTY TOTAL]]</f>
        <v>0</v>
      </c>
      <c r="W899" s="287">
        <f>ROUNDUP(MBQ[[#This Row],[HEIGHT (mm)]]/450*MBQ[[#This Row],[QTY]]*2,0)+ROUNDUP(MBQ[[#This Row],[WIDTH (mm)]]/450*MBQ[[#This Row],[QTY]]*2,0)</f>
        <v>0</v>
      </c>
    </row>
    <row r="900" spans="1:23" hidden="1">
      <c r="A900" s="258">
        <v>1</v>
      </c>
      <c r="B900" s="259"/>
      <c r="C900" s="233"/>
      <c r="D900" s="260"/>
      <c r="E900" s="260"/>
      <c r="F900" s="261"/>
      <c r="G900" s="262"/>
      <c r="H900" s="262"/>
      <c r="I900" s="260"/>
      <c r="J900" s="233"/>
      <c r="K900" s="263"/>
      <c r="L900" s="260"/>
      <c r="M900" s="263"/>
      <c r="N900" s="263"/>
      <c r="O900" s="264"/>
      <c r="P900" s="264"/>
      <c r="Q900" s="265"/>
      <c r="R900" s="30">
        <f>MBQ[[#This Row],[HEIGHT (mm)]]*MBQ[[#This Row],[QTY TOTAL]]/1000</f>
        <v>0</v>
      </c>
      <c r="S900" s="30">
        <f>MBQ[[#This Row],[WIDTH (mm)]]*MBQ[[#This Row],[QTY TOTAL]]/1000</f>
        <v>0</v>
      </c>
      <c r="T900" s="9">
        <f>(MBQ[[#This Row],[HEIGHT (mm)]]+MBQ[[#This Row],[WIDTH (mm)]])/1000*2*MBQ[[#This Row],[QTY TOTAL]]</f>
        <v>0</v>
      </c>
      <c r="U900" s="266">
        <f>MBQ[[#This Row],[MULTIPLIER]]*MBQ[[#This Row],[QTY]]</f>
        <v>0</v>
      </c>
      <c r="V900" s="9">
        <f>MBQ[[#This Row],[HEIGHT (mm)]]/1000*MBQ[[#This Row],[WIDTH (mm)]]/1000*MBQ[[#This Row],[QTY TOTAL]]</f>
        <v>0</v>
      </c>
      <c r="W900" s="287">
        <f>ROUNDUP(MBQ[[#This Row],[HEIGHT (mm)]]/450*MBQ[[#This Row],[QTY]]*2,0)+ROUNDUP(MBQ[[#This Row],[WIDTH (mm)]]/450*MBQ[[#This Row],[QTY]]*2,0)</f>
        <v>0</v>
      </c>
    </row>
    <row r="901" spans="1:23" hidden="1">
      <c r="A901" s="258">
        <v>1</v>
      </c>
      <c r="B901" s="259"/>
      <c r="C901" s="233"/>
      <c r="D901" s="260"/>
      <c r="E901" s="260"/>
      <c r="F901" s="261"/>
      <c r="G901" s="262"/>
      <c r="H901" s="262"/>
      <c r="I901" s="260"/>
      <c r="J901" s="233"/>
      <c r="K901" s="263"/>
      <c r="L901" s="260"/>
      <c r="M901" s="263"/>
      <c r="N901" s="263"/>
      <c r="O901" s="264"/>
      <c r="P901" s="264"/>
      <c r="Q901" s="265"/>
      <c r="R901" s="30">
        <f>MBQ[[#This Row],[HEIGHT (mm)]]*MBQ[[#This Row],[QTY TOTAL]]/1000</f>
        <v>0</v>
      </c>
      <c r="S901" s="30">
        <f>MBQ[[#This Row],[WIDTH (mm)]]*MBQ[[#This Row],[QTY TOTAL]]/1000</f>
        <v>0</v>
      </c>
      <c r="T901" s="9">
        <f>(MBQ[[#This Row],[HEIGHT (mm)]]+MBQ[[#This Row],[WIDTH (mm)]])/1000*2*MBQ[[#This Row],[QTY TOTAL]]</f>
        <v>0</v>
      </c>
      <c r="U901" s="266">
        <f>MBQ[[#This Row],[MULTIPLIER]]*MBQ[[#This Row],[QTY]]</f>
        <v>0</v>
      </c>
      <c r="V901" s="9">
        <f>MBQ[[#This Row],[HEIGHT (mm)]]/1000*MBQ[[#This Row],[WIDTH (mm)]]/1000*MBQ[[#This Row],[QTY TOTAL]]</f>
        <v>0</v>
      </c>
      <c r="W901" s="287">
        <f>ROUNDUP(MBQ[[#This Row],[HEIGHT (mm)]]/450*MBQ[[#This Row],[QTY]]*2,0)+ROUNDUP(MBQ[[#This Row],[WIDTH (mm)]]/450*MBQ[[#This Row],[QTY]]*2,0)</f>
        <v>0</v>
      </c>
    </row>
    <row r="902" spans="1:23" hidden="1">
      <c r="A902" s="258">
        <v>1</v>
      </c>
      <c r="B902" s="259"/>
      <c r="C902" s="233"/>
      <c r="D902" s="260"/>
      <c r="E902" s="260"/>
      <c r="F902" s="261"/>
      <c r="G902" s="262"/>
      <c r="H902" s="262"/>
      <c r="I902" s="260"/>
      <c r="J902" s="233"/>
      <c r="K902" s="263"/>
      <c r="L902" s="260"/>
      <c r="M902" s="263"/>
      <c r="N902" s="263"/>
      <c r="O902" s="264"/>
      <c r="P902" s="264"/>
      <c r="Q902" s="265"/>
      <c r="R902" s="30">
        <f>MBQ[[#This Row],[HEIGHT (mm)]]*MBQ[[#This Row],[QTY TOTAL]]/1000</f>
        <v>0</v>
      </c>
      <c r="S902" s="30">
        <f>MBQ[[#This Row],[WIDTH (mm)]]*MBQ[[#This Row],[QTY TOTAL]]/1000</f>
        <v>0</v>
      </c>
      <c r="T902" s="9">
        <f>(MBQ[[#This Row],[HEIGHT (mm)]]+MBQ[[#This Row],[WIDTH (mm)]])/1000*2*MBQ[[#This Row],[QTY TOTAL]]</f>
        <v>0</v>
      </c>
      <c r="U902" s="266">
        <f>MBQ[[#This Row],[MULTIPLIER]]*MBQ[[#This Row],[QTY]]</f>
        <v>0</v>
      </c>
      <c r="V902" s="9">
        <f>MBQ[[#This Row],[HEIGHT (mm)]]/1000*MBQ[[#This Row],[WIDTH (mm)]]/1000*MBQ[[#This Row],[QTY TOTAL]]</f>
        <v>0</v>
      </c>
      <c r="W902" s="287">
        <f>ROUNDUP(MBQ[[#This Row],[HEIGHT (mm)]]/450*MBQ[[#This Row],[QTY]]*2,0)+ROUNDUP(MBQ[[#This Row],[WIDTH (mm)]]/450*MBQ[[#This Row],[QTY]]*2,0)</f>
        <v>0</v>
      </c>
    </row>
    <row r="903" spans="1:23" hidden="1">
      <c r="A903" s="258">
        <v>1</v>
      </c>
      <c r="B903" s="259"/>
      <c r="C903" s="233"/>
      <c r="D903" s="260"/>
      <c r="E903" s="260"/>
      <c r="F903" s="261"/>
      <c r="G903" s="262"/>
      <c r="H903" s="262"/>
      <c r="I903" s="260"/>
      <c r="J903" s="233"/>
      <c r="K903" s="263"/>
      <c r="L903" s="260"/>
      <c r="M903" s="263"/>
      <c r="N903" s="263"/>
      <c r="O903" s="264"/>
      <c r="P903" s="264"/>
      <c r="Q903" s="265"/>
      <c r="R903" s="30">
        <f>MBQ[[#This Row],[HEIGHT (mm)]]*MBQ[[#This Row],[QTY TOTAL]]/1000</f>
        <v>0</v>
      </c>
      <c r="S903" s="30">
        <f>MBQ[[#This Row],[WIDTH (mm)]]*MBQ[[#This Row],[QTY TOTAL]]/1000</f>
        <v>0</v>
      </c>
      <c r="T903" s="9">
        <f>(MBQ[[#This Row],[HEIGHT (mm)]]+MBQ[[#This Row],[WIDTH (mm)]])/1000*2*MBQ[[#This Row],[QTY TOTAL]]</f>
        <v>0</v>
      </c>
      <c r="U903" s="266">
        <f>MBQ[[#This Row],[MULTIPLIER]]*MBQ[[#This Row],[QTY]]</f>
        <v>0</v>
      </c>
      <c r="V903" s="9">
        <f>MBQ[[#This Row],[HEIGHT (mm)]]/1000*MBQ[[#This Row],[WIDTH (mm)]]/1000*MBQ[[#This Row],[QTY TOTAL]]</f>
        <v>0</v>
      </c>
      <c r="W903" s="287">
        <f>ROUNDUP(MBQ[[#This Row],[HEIGHT (mm)]]/450*MBQ[[#This Row],[QTY]]*2,0)+ROUNDUP(MBQ[[#This Row],[WIDTH (mm)]]/450*MBQ[[#This Row],[QTY]]*2,0)</f>
        <v>0</v>
      </c>
    </row>
    <row r="904" spans="1:23" hidden="1">
      <c r="A904" s="258">
        <v>1</v>
      </c>
      <c r="B904" s="259"/>
      <c r="C904" s="233"/>
      <c r="D904" s="260"/>
      <c r="E904" s="260"/>
      <c r="F904" s="261"/>
      <c r="G904" s="262"/>
      <c r="H904" s="262"/>
      <c r="I904" s="260"/>
      <c r="J904" s="233"/>
      <c r="K904" s="263"/>
      <c r="L904" s="260"/>
      <c r="M904" s="263"/>
      <c r="N904" s="263"/>
      <c r="O904" s="264"/>
      <c r="P904" s="264"/>
      <c r="Q904" s="265"/>
      <c r="R904" s="30">
        <f>MBQ[[#This Row],[HEIGHT (mm)]]*MBQ[[#This Row],[QTY TOTAL]]/1000</f>
        <v>0</v>
      </c>
      <c r="S904" s="30">
        <f>MBQ[[#This Row],[WIDTH (mm)]]*MBQ[[#This Row],[QTY TOTAL]]/1000</f>
        <v>0</v>
      </c>
      <c r="T904" s="9">
        <f>(MBQ[[#This Row],[HEIGHT (mm)]]+MBQ[[#This Row],[WIDTH (mm)]])/1000*2*MBQ[[#This Row],[QTY TOTAL]]</f>
        <v>0</v>
      </c>
      <c r="U904" s="266">
        <f>MBQ[[#This Row],[MULTIPLIER]]*MBQ[[#This Row],[QTY]]</f>
        <v>0</v>
      </c>
      <c r="V904" s="9">
        <f>MBQ[[#This Row],[HEIGHT (mm)]]/1000*MBQ[[#This Row],[WIDTH (mm)]]/1000*MBQ[[#This Row],[QTY TOTAL]]</f>
        <v>0</v>
      </c>
      <c r="W904" s="287">
        <f>ROUNDUP(MBQ[[#This Row],[HEIGHT (mm)]]/450*MBQ[[#This Row],[QTY]]*2,0)+ROUNDUP(MBQ[[#This Row],[WIDTH (mm)]]/450*MBQ[[#This Row],[QTY]]*2,0)</f>
        <v>0</v>
      </c>
    </row>
    <row r="905" spans="1:23" hidden="1">
      <c r="A905" s="258">
        <v>1</v>
      </c>
      <c r="B905" s="259"/>
      <c r="C905" s="233"/>
      <c r="D905" s="260"/>
      <c r="E905" s="260"/>
      <c r="F905" s="261"/>
      <c r="G905" s="262"/>
      <c r="H905" s="262"/>
      <c r="I905" s="260"/>
      <c r="J905" s="233"/>
      <c r="K905" s="263"/>
      <c r="L905" s="260"/>
      <c r="M905" s="263"/>
      <c r="N905" s="263"/>
      <c r="O905" s="264"/>
      <c r="P905" s="264"/>
      <c r="Q905" s="265"/>
      <c r="R905" s="30">
        <f>MBQ[[#This Row],[HEIGHT (mm)]]*MBQ[[#This Row],[QTY TOTAL]]/1000</f>
        <v>0</v>
      </c>
      <c r="S905" s="30">
        <f>MBQ[[#This Row],[WIDTH (mm)]]*MBQ[[#This Row],[QTY TOTAL]]/1000</f>
        <v>0</v>
      </c>
      <c r="T905" s="9">
        <f>(MBQ[[#This Row],[HEIGHT (mm)]]+MBQ[[#This Row],[WIDTH (mm)]])/1000*2*MBQ[[#This Row],[QTY TOTAL]]</f>
        <v>0</v>
      </c>
      <c r="U905" s="266">
        <f>MBQ[[#This Row],[MULTIPLIER]]*MBQ[[#This Row],[QTY]]</f>
        <v>0</v>
      </c>
      <c r="V905" s="9">
        <f>MBQ[[#This Row],[HEIGHT (mm)]]/1000*MBQ[[#This Row],[WIDTH (mm)]]/1000*MBQ[[#This Row],[QTY TOTAL]]</f>
        <v>0</v>
      </c>
      <c r="W905" s="287">
        <f>ROUNDUP(MBQ[[#This Row],[HEIGHT (mm)]]/450*MBQ[[#This Row],[QTY]]*2,0)+ROUNDUP(MBQ[[#This Row],[WIDTH (mm)]]/450*MBQ[[#This Row],[QTY]]*2,0)</f>
        <v>0</v>
      </c>
    </row>
    <row r="906" spans="1:23" hidden="1">
      <c r="A906" s="258">
        <v>1</v>
      </c>
      <c r="B906" s="259"/>
      <c r="C906" s="233"/>
      <c r="D906" s="260"/>
      <c r="E906" s="260"/>
      <c r="F906" s="261"/>
      <c r="G906" s="262"/>
      <c r="H906" s="262"/>
      <c r="I906" s="260"/>
      <c r="J906" s="233"/>
      <c r="K906" s="263"/>
      <c r="L906" s="260"/>
      <c r="M906" s="263"/>
      <c r="N906" s="263"/>
      <c r="O906" s="264"/>
      <c r="P906" s="264"/>
      <c r="Q906" s="265"/>
      <c r="R906" s="30">
        <f>MBQ[[#This Row],[HEIGHT (mm)]]*MBQ[[#This Row],[QTY TOTAL]]/1000</f>
        <v>0</v>
      </c>
      <c r="S906" s="30">
        <f>MBQ[[#This Row],[WIDTH (mm)]]*MBQ[[#This Row],[QTY TOTAL]]/1000</f>
        <v>0</v>
      </c>
      <c r="T906" s="9">
        <f>(MBQ[[#This Row],[HEIGHT (mm)]]+MBQ[[#This Row],[WIDTH (mm)]])/1000*2*MBQ[[#This Row],[QTY TOTAL]]</f>
        <v>0</v>
      </c>
      <c r="U906" s="266">
        <f>MBQ[[#This Row],[MULTIPLIER]]*MBQ[[#This Row],[QTY]]</f>
        <v>0</v>
      </c>
      <c r="V906" s="9">
        <f>MBQ[[#This Row],[HEIGHT (mm)]]/1000*MBQ[[#This Row],[WIDTH (mm)]]/1000*MBQ[[#This Row],[QTY TOTAL]]</f>
        <v>0</v>
      </c>
      <c r="W906" s="287">
        <f>ROUNDUP(MBQ[[#This Row],[HEIGHT (mm)]]/450*MBQ[[#This Row],[QTY]]*2,0)+ROUNDUP(MBQ[[#This Row],[WIDTH (mm)]]/450*MBQ[[#This Row],[QTY]]*2,0)</f>
        <v>0</v>
      </c>
    </row>
    <row r="907" spans="1:23" hidden="1">
      <c r="A907" s="258">
        <v>1</v>
      </c>
      <c r="B907" s="259"/>
      <c r="C907" s="233"/>
      <c r="D907" s="260"/>
      <c r="E907" s="260"/>
      <c r="F907" s="261"/>
      <c r="G907" s="262"/>
      <c r="H907" s="262"/>
      <c r="I907" s="260"/>
      <c r="J907" s="233"/>
      <c r="K907" s="263"/>
      <c r="L907" s="260"/>
      <c r="M907" s="263"/>
      <c r="N907" s="263"/>
      <c r="O907" s="264"/>
      <c r="P907" s="264"/>
      <c r="Q907" s="265"/>
      <c r="R907" s="30">
        <f>MBQ[[#This Row],[HEIGHT (mm)]]*MBQ[[#This Row],[QTY TOTAL]]/1000</f>
        <v>0</v>
      </c>
      <c r="S907" s="30">
        <f>MBQ[[#This Row],[WIDTH (mm)]]*MBQ[[#This Row],[QTY TOTAL]]/1000</f>
        <v>0</v>
      </c>
      <c r="T907" s="9">
        <f>(MBQ[[#This Row],[HEIGHT (mm)]]+MBQ[[#This Row],[WIDTH (mm)]])/1000*2*MBQ[[#This Row],[QTY TOTAL]]</f>
        <v>0</v>
      </c>
      <c r="U907" s="266">
        <f>MBQ[[#This Row],[MULTIPLIER]]*MBQ[[#This Row],[QTY]]</f>
        <v>0</v>
      </c>
      <c r="V907" s="9">
        <f>MBQ[[#This Row],[HEIGHT (mm)]]/1000*MBQ[[#This Row],[WIDTH (mm)]]/1000*MBQ[[#This Row],[QTY TOTAL]]</f>
        <v>0</v>
      </c>
      <c r="W907" s="287">
        <f>ROUNDUP(MBQ[[#This Row],[HEIGHT (mm)]]/450*MBQ[[#This Row],[QTY]]*2,0)+ROUNDUP(MBQ[[#This Row],[WIDTH (mm)]]/450*MBQ[[#This Row],[QTY]]*2,0)</f>
        <v>0</v>
      </c>
    </row>
    <row r="908" spans="1:23" hidden="1">
      <c r="A908" s="258">
        <v>1</v>
      </c>
      <c r="B908" s="259"/>
      <c r="C908" s="233"/>
      <c r="D908" s="260"/>
      <c r="E908" s="260"/>
      <c r="F908" s="261"/>
      <c r="G908" s="262"/>
      <c r="H908" s="262"/>
      <c r="I908" s="260"/>
      <c r="J908" s="233"/>
      <c r="K908" s="263"/>
      <c r="L908" s="260"/>
      <c r="M908" s="263"/>
      <c r="N908" s="263"/>
      <c r="O908" s="264"/>
      <c r="P908" s="264"/>
      <c r="Q908" s="265"/>
      <c r="R908" s="30">
        <f>MBQ[[#This Row],[HEIGHT (mm)]]*MBQ[[#This Row],[QTY TOTAL]]/1000</f>
        <v>0</v>
      </c>
      <c r="S908" s="30">
        <f>MBQ[[#This Row],[WIDTH (mm)]]*MBQ[[#This Row],[QTY TOTAL]]/1000</f>
        <v>0</v>
      </c>
      <c r="T908" s="9">
        <f>(MBQ[[#This Row],[HEIGHT (mm)]]+MBQ[[#This Row],[WIDTH (mm)]])/1000*2*MBQ[[#This Row],[QTY TOTAL]]</f>
        <v>0</v>
      </c>
      <c r="U908" s="266">
        <f>MBQ[[#This Row],[MULTIPLIER]]*MBQ[[#This Row],[QTY]]</f>
        <v>0</v>
      </c>
      <c r="V908" s="9">
        <f>MBQ[[#This Row],[HEIGHT (mm)]]/1000*MBQ[[#This Row],[WIDTH (mm)]]/1000*MBQ[[#This Row],[QTY TOTAL]]</f>
        <v>0</v>
      </c>
      <c r="W908" s="287">
        <f>ROUNDUP(MBQ[[#This Row],[HEIGHT (mm)]]/450*MBQ[[#This Row],[QTY]]*2,0)+ROUNDUP(MBQ[[#This Row],[WIDTH (mm)]]/450*MBQ[[#This Row],[QTY]]*2,0)</f>
        <v>0</v>
      </c>
    </row>
    <row r="909" spans="1:23" hidden="1">
      <c r="A909" s="258">
        <v>1</v>
      </c>
      <c r="B909" s="259"/>
      <c r="C909" s="233"/>
      <c r="D909" s="260"/>
      <c r="E909" s="260"/>
      <c r="F909" s="261"/>
      <c r="G909" s="262"/>
      <c r="H909" s="262"/>
      <c r="I909" s="260"/>
      <c r="J909" s="233"/>
      <c r="K909" s="263"/>
      <c r="L909" s="260"/>
      <c r="M909" s="263"/>
      <c r="N909" s="263"/>
      <c r="O909" s="264"/>
      <c r="P909" s="264"/>
      <c r="Q909" s="265"/>
      <c r="R909" s="30">
        <f>MBQ[[#This Row],[HEIGHT (mm)]]*MBQ[[#This Row],[QTY TOTAL]]/1000</f>
        <v>0</v>
      </c>
      <c r="S909" s="30">
        <f>MBQ[[#This Row],[WIDTH (mm)]]*MBQ[[#This Row],[QTY TOTAL]]/1000</f>
        <v>0</v>
      </c>
      <c r="T909" s="9">
        <f>(MBQ[[#This Row],[HEIGHT (mm)]]+MBQ[[#This Row],[WIDTH (mm)]])/1000*2*MBQ[[#This Row],[QTY TOTAL]]</f>
        <v>0</v>
      </c>
      <c r="U909" s="266">
        <f>MBQ[[#This Row],[MULTIPLIER]]*MBQ[[#This Row],[QTY]]</f>
        <v>0</v>
      </c>
      <c r="V909" s="9">
        <f>MBQ[[#This Row],[HEIGHT (mm)]]/1000*MBQ[[#This Row],[WIDTH (mm)]]/1000*MBQ[[#This Row],[QTY TOTAL]]</f>
        <v>0</v>
      </c>
      <c r="W909" s="287">
        <f>ROUNDUP(MBQ[[#This Row],[HEIGHT (mm)]]/450*MBQ[[#This Row],[QTY]]*2,0)+ROUNDUP(MBQ[[#This Row],[WIDTH (mm)]]/450*MBQ[[#This Row],[QTY]]*2,0)</f>
        <v>0</v>
      </c>
    </row>
    <row r="910" spans="1:23" hidden="1">
      <c r="A910" s="258">
        <v>1</v>
      </c>
      <c r="B910" s="259"/>
      <c r="C910" s="233"/>
      <c r="D910" s="260"/>
      <c r="E910" s="260"/>
      <c r="F910" s="261"/>
      <c r="G910" s="262"/>
      <c r="H910" s="262"/>
      <c r="I910" s="260"/>
      <c r="J910" s="233"/>
      <c r="K910" s="263"/>
      <c r="L910" s="260"/>
      <c r="M910" s="263"/>
      <c r="N910" s="263"/>
      <c r="O910" s="264"/>
      <c r="P910" s="264"/>
      <c r="Q910" s="265"/>
      <c r="R910" s="30">
        <f>MBQ[[#This Row],[HEIGHT (mm)]]*MBQ[[#This Row],[QTY TOTAL]]/1000</f>
        <v>0</v>
      </c>
      <c r="S910" s="30">
        <f>MBQ[[#This Row],[WIDTH (mm)]]*MBQ[[#This Row],[QTY TOTAL]]/1000</f>
        <v>0</v>
      </c>
      <c r="T910" s="9">
        <f>(MBQ[[#This Row],[HEIGHT (mm)]]+MBQ[[#This Row],[WIDTH (mm)]])/1000*2*MBQ[[#This Row],[QTY TOTAL]]</f>
        <v>0</v>
      </c>
      <c r="U910" s="266">
        <f>MBQ[[#This Row],[MULTIPLIER]]*MBQ[[#This Row],[QTY]]</f>
        <v>0</v>
      </c>
      <c r="V910" s="9">
        <f>MBQ[[#This Row],[HEIGHT (mm)]]/1000*MBQ[[#This Row],[WIDTH (mm)]]/1000*MBQ[[#This Row],[QTY TOTAL]]</f>
        <v>0</v>
      </c>
      <c r="W910" s="287">
        <f>ROUNDUP(MBQ[[#This Row],[HEIGHT (mm)]]/450*MBQ[[#This Row],[QTY]]*2,0)+ROUNDUP(MBQ[[#This Row],[WIDTH (mm)]]/450*MBQ[[#This Row],[QTY]]*2,0)</f>
        <v>0</v>
      </c>
    </row>
    <row r="911" spans="1:23" hidden="1">
      <c r="A911" s="258">
        <v>1</v>
      </c>
      <c r="B911" s="259"/>
      <c r="C911" s="233"/>
      <c r="D911" s="260"/>
      <c r="E911" s="260"/>
      <c r="F911" s="261"/>
      <c r="G911" s="262"/>
      <c r="H911" s="262"/>
      <c r="I911" s="260"/>
      <c r="J911" s="233"/>
      <c r="K911" s="263"/>
      <c r="L911" s="260"/>
      <c r="M911" s="263"/>
      <c r="N911" s="263"/>
      <c r="O911" s="264"/>
      <c r="P911" s="264"/>
      <c r="Q911" s="265"/>
      <c r="R911" s="30">
        <f>MBQ[[#This Row],[HEIGHT (mm)]]*MBQ[[#This Row],[QTY TOTAL]]/1000</f>
        <v>0</v>
      </c>
      <c r="S911" s="30">
        <f>MBQ[[#This Row],[WIDTH (mm)]]*MBQ[[#This Row],[QTY TOTAL]]/1000</f>
        <v>0</v>
      </c>
      <c r="T911" s="9">
        <f>(MBQ[[#This Row],[HEIGHT (mm)]]+MBQ[[#This Row],[WIDTH (mm)]])/1000*2*MBQ[[#This Row],[QTY TOTAL]]</f>
        <v>0</v>
      </c>
      <c r="U911" s="266">
        <f>MBQ[[#This Row],[MULTIPLIER]]*MBQ[[#This Row],[QTY]]</f>
        <v>0</v>
      </c>
      <c r="V911" s="9">
        <f>MBQ[[#This Row],[HEIGHT (mm)]]/1000*MBQ[[#This Row],[WIDTH (mm)]]/1000*MBQ[[#This Row],[QTY TOTAL]]</f>
        <v>0</v>
      </c>
      <c r="W911" s="287">
        <f>ROUNDUP(MBQ[[#This Row],[HEIGHT (mm)]]/450*MBQ[[#This Row],[QTY]]*2,0)+ROUNDUP(MBQ[[#This Row],[WIDTH (mm)]]/450*MBQ[[#This Row],[QTY]]*2,0)</f>
        <v>0</v>
      </c>
    </row>
    <row r="912" spans="1:23" hidden="1">
      <c r="A912" s="258">
        <v>1</v>
      </c>
      <c r="B912" s="259"/>
      <c r="C912" s="233"/>
      <c r="D912" s="260"/>
      <c r="E912" s="260"/>
      <c r="F912" s="261"/>
      <c r="G912" s="262"/>
      <c r="H912" s="262"/>
      <c r="I912" s="260"/>
      <c r="J912" s="233"/>
      <c r="K912" s="263"/>
      <c r="L912" s="260"/>
      <c r="M912" s="263"/>
      <c r="N912" s="263"/>
      <c r="O912" s="264"/>
      <c r="P912" s="264"/>
      <c r="Q912" s="265"/>
      <c r="R912" s="30">
        <f>MBQ[[#This Row],[HEIGHT (mm)]]*MBQ[[#This Row],[QTY TOTAL]]/1000</f>
        <v>0</v>
      </c>
      <c r="S912" s="30">
        <f>MBQ[[#This Row],[WIDTH (mm)]]*MBQ[[#This Row],[QTY TOTAL]]/1000</f>
        <v>0</v>
      </c>
      <c r="T912" s="9">
        <f>(MBQ[[#This Row],[HEIGHT (mm)]]+MBQ[[#This Row],[WIDTH (mm)]])/1000*2*MBQ[[#This Row],[QTY TOTAL]]</f>
        <v>0</v>
      </c>
      <c r="U912" s="266">
        <f>MBQ[[#This Row],[MULTIPLIER]]*MBQ[[#This Row],[QTY]]</f>
        <v>0</v>
      </c>
      <c r="V912" s="9">
        <f>MBQ[[#This Row],[HEIGHT (mm)]]/1000*MBQ[[#This Row],[WIDTH (mm)]]/1000*MBQ[[#This Row],[QTY TOTAL]]</f>
        <v>0</v>
      </c>
      <c r="W912" s="287">
        <f>ROUNDUP(MBQ[[#This Row],[HEIGHT (mm)]]/450*MBQ[[#This Row],[QTY]]*2,0)+ROUNDUP(MBQ[[#This Row],[WIDTH (mm)]]/450*MBQ[[#This Row],[QTY]]*2,0)</f>
        <v>0</v>
      </c>
    </row>
    <row r="913" spans="1:23" hidden="1">
      <c r="A913" s="258">
        <v>1</v>
      </c>
      <c r="B913" s="259"/>
      <c r="C913" s="233"/>
      <c r="D913" s="260"/>
      <c r="E913" s="260"/>
      <c r="F913" s="261"/>
      <c r="G913" s="262"/>
      <c r="H913" s="262"/>
      <c r="I913" s="260"/>
      <c r="J913" s="233"/>
      <c r="K913" s="263"/>
      <c r="L913" s="260"/>
      <c r="M913" s="263"/>
      <c r="N913" s="263"/>
      <c r="O913" s="264"/>
      <c r="P913" s="264"/>
      <c r="Q913" s="265"/>
      <c r="R913" s="30">
        <f>MBQ[[#This Row],[HEIGHT (mm)]]*MBQ[[#This Row],[QTY TOTAL]]/1000</f>
        <v>0</v>
      </c>
      <c r="S913" s="30">
        <f>MBQ[[#This Row],[WIDTH (mm)]]*MBQ[[#This Row],[QTY TOTAL]]/1000</f>
        <v>0</v>
      </c>
      <c r="T913" s="9">
        <f>(MBQ[[#This Row],[HEIGHT (mm)]]+MBQ[[#This Row],[WIDTH (mm)]])/1000*2*MBQ[[#This Row],[QTY TOTAL]]</f>
        <v>0</v>
      </c>
      <c r="U913" s="266">
        <f>MBQ[[#This Row],[MULTIPLIER]]*MBQ[[#This Row],[QTY]]</f>
        <v>0</v>
      </c>
      <c r="V913" s="9">
        <f>MBQ[[#This Row],[HEIGHT (mm)]]/1000*MBQ[[#This Row],[WIDTH (mm)]]/1000*MBQ[[#This Row],[QTY TOTAL]]</f>
        <v>0</v>
      </c>
      <c r="W913" s="287">
        <f>ROUNDUP(MBQ[[#This Row],[HEIGHT (mm)]]/450*MBQ[[#This Row],[QTY]]*2,0)+ROUNDUP(MBQ[[#This Row],[WIDTH (mm)]]/450*MBQ[[#This Row],[QTY]]*2,0)</f>
        <v>0</v>
      </c>
    </row>
    <row r="914" spans="1:23" hidden="1">
      <c r="A914" s="258">
        <v>1</v>
      </c>
      <c r="B914" s="259"/>
      <c r="C914" s="233"/>
      <c r="D914" s="260"/>
      <c r="E914" s="260"/>
      <c r="F914" s="261"/>
      <c r="G914" s="262"/>
      <c r="H914" s="262"/>
      <c r="I914" s="260"/>
      <c r="J914" s="233"/>
      <c r="K914" s="263"/>
      <c r="L914" s="260"/>
      <c r="M914" s="263"/>
      <c r="N914" s="263"/>
      <c r="O914" s="264"/>
      <c r="P914" s="264"/>
      <c r="Q914" s="265"/>
      <c r="R914" s="30">
        <f>MBQ[[#This Row],[HEIGHT (mm)]]*MBQ[[#This Row],[QTY TOTAL]]/1000</f>
        <v>0</v>
      </c>
      <c r="S914" s="30">
        <f>MBQ[[#This Row],[WIDTH (mm)]]*MBQ[[#This Row],[QTY TOTAL]]/1000</f>
        <v>0</v>
      </c>
      <c r="T914" s="9">
        <f>(MBQ[[#This Row],[HEIGHT (mm)]]+MBQ[[#This Row],[WIDTH (mm)]])/1000*2*MBQ[[#This Row],[QTY TOTAL]]</f>
        <v>0</v>
      </c>
      <c r="U914" s="266">
        <f>MBQ[[#This Row],[MULTIPLIER]]*MBQ[[#This Row],[QTY]]</f>
        <v>0</v>
      </c>
      <c r="V914" s="9">
        <f>MBQ[[#This Row],[HEIGHT (mm)]]/1000*MBQ[[#This Row],[WIDTH (mm)]]/1000*MBQ[[#This Row],[QTY TOTAL]]</f>
        <v>0</v>
      </c>
      <c r="W914" s="287">
        <f>ROUNDUP(MBQ[[#This Row],[HEIGHT (mm)]]/450*MBQ[[#This Row],[QTY]]*2,0)+ROUNDUP(MBQ[[#This Row],[WIDTH (mm)]]/450*MBQ[[#This Row],[QTY]]*2,0)</f>
        <v>0</v>
      </c>
    </row>
    <row r="915" spans="1:23" hidden="1">
      <c r="A915" s="258">
        <v>1</v>
      </c>
      <c r="B915" s="259"/>
      <c r="C915" s="233"/>
      <c r="D915" s="260"/>
      <c r="E915" s="260"/>
      <c r="F915" s="261"/>
      <c r="G915" s="262"/>
      <c r="H915" s="262"/>
      <c r="I915" s="260"/>
      <c r="J915" s="233"/>
      <c r="K915" s="263"/>
      <c r="L915" s="260"/>
      <c r="M915" s="263"/>
      <c r="N915" s="263"/>
      <c r="O915" s="264"/>
      <c r="P915" s="264"/>
      <c r="Q915" s="265"/>
      <c r="R915" s="30">
        <f>MBQ[[#This Row],[HEIGHT (mm)]]*MBQ[[#This Row],[QTY TOTAL]]/1000</f>
        <v>0</v>
      </c>
      <c r="S915" s="30">
        <f>MBQ[[#This Row],[WIDTH (mm)]]*MBQ[[#This Row],[QTY TOTAL]]/1000</f>
        <v>0</v>
      </c>
      <c r="T915" s="9">
        <f>(MBQ[[#This Row],[HEIGHT (mm)]]+MBQ[[#This Row],[WIDTH (mm)]])/1000*2*MBQ[[#This Row],[QTY TOTAL]]</f>
        <v>0</v>
      </c>
      <c r="U915" s="266">
        <f>MBQ[[#This Row],[MULTIPLIER]]*MBQ[[#This Row],[QTY]]</f>
        <v>0</v>
      </c>
      <c r="V915" s="9">
        <f>MBQ[[#This Row],[HEIGHT (mm)]]/1000*MBQ[[#This Row],[WIDTH (mm)]]/1000*MBQ[[#This Row],[QTY TOTAL]]</f>
        <v>0</v>
      </c>
      <c r="W915" s="287">
        <f>ROUNDUP(MBQ[[#This Row],[HEIGHT (mm)]]/450*MBQ[[#This Row],[QTY]]*2,0)+ROUNDUP(MBQ[[#This Row],[WIDTH (mm)]]/450*MBQ[[#This Row],[QTY]]*2,0)</f>
        <v>0</v>
      </c>
    </row>
    <row r="916" spans="1:23" hidden="1">
      <c r="A916" s="258">
        <v>1</v>
      </c>
      <c r="B916" s="259"/>
      <c r="C916" s="233"/>
      <c r="D916" s="260"/>
      <c r="E916" s="260"/>
      <c r="F916" s="261"/>
      <c r="G916" s="262"/>
      <c r="H916" s="262"/>
      <c r="I916" s="260"/>
      <c r="J916" s="233"/>
      <c r="K916" s="263"/>
      <c r="L916" s="260"/>
      <c r="M916" s="263"/>
      <c r="N916" s="263"/>
      <c r="O916" s="264"/>
      <c r="P916" s="264"/>
      <c r="Q916" s="265"/>
      <c r="R916" s="30">
        <f>MBQ[[#This Row],[HEIGHT (mm)]]*MBQ[[#This Row],[QTY TOTAL]]/1000</f>
        <v>0</v>
      </c>
      <c r="S916" s="30">
        <f>MBQ[[#This Row],[WIDTH (mm)]]*MBQ[[#This Row],[QTY TOTAL]]/1000</f>
        <v>0</v>
      </c>
      <c r="T916" s="9">
        <f>(MBQ[[#This Row],[HEIGHT (mm)]]+MBQ[[#This Row],[WIDTH (mm)]])/1000*2*MBQ[[#This Row],[QTY TOTAL]]</f>
        <v>0</v>
      </c>
      <c r="U916" s="266">
        <f>MBQ[[#This Row],[MULTIPLIER]]*MBQ[[#This Row],[QTY]]</f>
        <v>0</v>
      </c>
      <c r="V916" s="9">
        <f>MBQ[[#This Row],[HEIGHT (mm)]]/1000*MBQ[[#This Row],[WIDTH (mm)]]/1000*MBQ[[#This Row],[QTY TOTAL]]</f>
        <v>0</v>
      </c>
      <c r="W916" s="287">
        <f>ROUNDUP(MBQ[[#This Row],[HEIGHT (mm)]]/450*MBQ[[#This Row],[QTY]]*2,0)+ROUNDUP(MBQ[[#This Row],[WIDTH (mm)]]/450*MBQ[[#This Row],[QTY]]*2,0)</f>
        <v>0</v>
      </c>
    </row>
    <row r="917" spans="1:23" hidden="1">
      <c r="A917" s="258">
        <v>1</v>
      </c>
      <c r="B917" s="259"/>
      <c r="C917" s="233"/>
      <c r="D917" s="260"/>
      <c r="E917" s="260"/>
      <c r="F917" s="261"/>
      <c r="G917" s="262"/>
      <c r="H917" s="262"/>
      <c r="I917" s="260"/>
      <c r="J917" s="233"/>
      <c r="K917" s="263"/>
      <c r="L917" s="260"/>
      <c r="M917" s="263"/>
      <c r="N917" s="263"/>
      <c r="O917" s="264"/>
      <c r="P917" s="264"/>
      <c r="Q917" s="265"/>
      <c r="R917" s="30">
        <f>MBQ[[#This Row],[HEIGHT (mm)]]*MBQ[[#This Row],[QTY TOTAL]]/1000</f>
        <v>0</v>
      </c>
      <c r="S917" s="30">
        <f>MBQ[[#This Row],[WIDTH (mm)]]*MBQ[[#This Row],[QTY TOTAL]]/1000</f>
        <v>0</v>
      </c>
      <c r="T917" s="9">
        <f>(MBQ[[#This Row],[HEIGHT (mm)]]+MBQ[[#This Row],[WIDTH (mm)]])/1000*2*MBQ[[#This Row],[QTY TOTAL]]</f>
        <v>0</v>
      </c>
      <c r="U917" s="266">
        <f>MBQ[[#This Row],[MULTIPLIER]]*MBQ[[#This Row],[QTY]]</f>
        <v>0</v>
      </c>
      <c r="V917" s="9">
        <f>MBQ[[#This Row],[HEIGHT (mm)]]/1000*MBQ[[#This Row],[WIDTH (mm)]]/1000*MBQ[[#This Row],[QTY TOTAL]]</f>
        <v>0</v>
      </c>
      <c r="W917" s="287">
        <f>ROUNDUP(MBQ[[#This Row],[HEIGHT (mm)]]/450*MBQ[[#This Row],[QTY]]*2,0)+ROUNDUP(MBQ[[#This Row],[WIDTH (mm)]]/450*MBQ[[#This Row],[QTY]]*2,0)</f>
        <v>0</v>
      </c>
    </row>
    <row r="918" spans="1:23" hidden="1">
      <c r="A918" s="258">
        <v>1</v>
      </c>
      <c r="B918" s="259"/>
      <c r="C918" s="233"/>
      <c r="D918" s="260"/>
      <c r="E918" s="260"/>
      <c r="F918" s="261"/>
      <c r="G918" s="262"/>
      <c r="H918" s="262"/>
      <c r="I918" s="260"/>
      <c r="J918" s="233"/>
      <c r="K918" s="263"/>
      <c r="L918" s="260"/>
      <c r="M918" s="263"/>
      <c r="N918" s="263"/>
      <c r="O918" s="264"/>
      <c r="P918" s="264"/>
      <c r="Q918" s="265"/>
      <c r="R918" s="30">
        <f>MBQ[[#This Row],[HEIGHT (mm)]]*MBQ[[#This Row],[QTY TOTAL]]/1000</f>
        <v>0</v>
      </c>
      <c r="S918" s="30">
        <f>MBQ[[#This Row],[WIDTH (mm)]]*MBQ[[#This Row],[QTY TOTAL]]/1000</f>
        <v>0</v>
      </c>
      <c r="T918" s="9">
        <f>(MBQ[[#This Row],[HEIGHT (mm)]]+MBQ[[#This Row],[WIDTH (mm)]])/1000*2*MBQ[[#This Row],[QTY TOTAL]]</f>
        <v>0</v>
      </c>
      <c r="U918" s="266">
        <f>MBQ[[#This Row],[MULTIPLIER]]*MBQ[[#This Row],[QTY]]</f>
        <v>0</v>
      </c>
      <c r="V918" s="9">
        <f>MBQ[[#This Row],[HEIGHT (mm)]]/1000*MBQ[[#This Row],[WIDTH (mm)]]/1000*MBQ[[#This Row],[QTY TOTAL]]</f>
        <v>0</v>
      </c>
      <c r="W918" s="287">
        <f>ROUNDUP(MBQ[[#This Row],[HEIGHT (mm)]]/450*MBQ[[#This Row],[QTY]]*2,0)+ROUNDUP(MBQ[[#This Row],[WIDTH (mm)]]/450*MBQ[[#This Row],[QTY]]*2,0)</f>
        <v>0</v>
      </c>
    </row>
    <row r="919" spans="1:23" hidden="1">
      <c r="A919" s="258">
        <v>1</v>
      </c>
      <c r="B919" s="259"/>
      <c r="C919" s="233"/>
      <c r="D919" s="260"/>
      <c r="E919" s="260"/>
      <c r="F919" s="261"/>
      <c r="G919" s="262"/>
      <c r="H919" s="262"/>
      <c r="I919" s="260"/>
      <c r="J919" s="233"/>
      <c r="K919" s="263"/>
      <c r="L919" s="260"/>
      <c r="M919" s="263"/>
      <c r="N919" s="263"/>
      <c r="O919" s="264"/>
      <c r="P919" s="264"/>
      <c r="Q919" s="265"/>
      <c r="R919" s="30">
        <f>MBQ[[#This Row],[HEIGHT (mm)]]*MBQ[[#This Row],[QTY TOTAL]]/1000</f>
        <v>0</v>
      </c>
      <c r="S919" s="30">
        <f>MBQ[[#This Row],[WIDTH (mm)]]*MBQ[[#This Row],[QTY TOTAL]]/1000</f>
        <v>0</v>
      </c>
      <c r="T919" s="9">
        <f>(MBQ[[#This Row],[HEIGHT (mm)]]+MBQ[[#This Row],[WIDTH (mm)]])/1000*2*MBQ[[#This Row],[QTY TOTAL]]</f>
        <v>0</v>
      </c>
      <c r="U919" s="266">
        <f>MBQ[[#This Row],[MULTIPLIER]]*MBQ[[#This Row],[QTY]]</f>
        <v>0</v>
      </c>
      <c r="V919" s="9">
        <f>MBQ[[#This Row],[HEIGHT (mm)]]/1000*MBQ[[#This Row],[WIDTH (mm)]]/1000*MBQ[[#This Row],[QTY TOTAL]]</f>
        <v>0</v>
      </c>
      <c r="W919" s="287">
        <f>ROUNDUP(MBQ[[#This Row],[HEIGHT (mm)]]/450*MBQ[[#This Row],[QTY]]*2,0)+ROUNDUP(MBQ[[#This Row],[WIDTH (mm)]]/450*MBQ[[#This Row],[QTY]]*2,0)</f>
        <v>0</v>
      </c>
    </row>
    <row r="920" spans="1:23" hidden="1">
      <c r="A920" s="258">
        <v>1</v>
      </c>
      <c r="B920" s="259"/>
      <c r="C920" s="233"/>
      <c r="D920" s="260"/>
      <c r="E920" s="260"/>
      <c r="F920" s="261"/>
      <c r="G920" s="262"/>
      <c r="H920" s="262"/>
      <c r="I920" s="260"/>
      <c r="J920" s="233"/>
      <c r="K920" s="263"/>
      <c r="L920" s="260"/>
      <c r="M920" s="263"/>
      <c r="N920" s="263"/>
      <c r="O920" s="264"/>
      <c r="P920" s="264"/>
      <c r="Q920" s="265"/>
      <c r="R920" s="30">
        <f>MBQ[[#This Row],[HEIGHT (mm)]]*MBQ[[#This Row],[QTY TOTAL]]/1000</f>
        <v>0</v>
      </c>
      <c r="S920" s="30">
        <f>MBQ[[#This Row],[WIDTH (mm)]]*MBQ[[#This Row],[QTY TOTAL]]/1000</f>
        <v>0</v>
      </c>
      <c r="T920" s="9">
        <f>(MBQ[[#This Row],[HEIGHT (mm)]]+MBQ[[#This Row],[WIDTH (mm)]])/1000*2*MBQ[[#This Row],[QTY TOTAL]]</f>
        <v>0</v>
      </c>
      <c r="U920" s="266">
        <f>MBQ[[#This Row],[MULTIPLIER]]*MBQ[[#This Row],[QTY]]</f>
        <v>0</v>
      </c>
      <c r="V920" s="9">
        <f>MBQ[[#This Row],[HEIGHT (mm)]]/1000*MBQ[[#This Row],[WIDTH (mm)]]/1000*MBQ[[#This Row],[QTY TOTAL]]</f>
        <v>0</v>
      </c>
      <c r="W920" s="287">
        <f>ROUNDUP(MBQ[[#This Row],[HEIGHT (mm)]]/450*MBQ[[#This Row],[QTY]]*2,0)+ROUNDUP(MBQ[[#This Row],[WIDTH (mm)]]/450*MBQ[[#This Row],[QTY]]*2,0)</f>
        <v>0</v>
      </c>
    </row>
    <row r="921" spans="1:23" hidden="1">
      <c r="A921" s="258">
        <v>1</v>
      </c>
      <c r="B921" s="259"/>
      <c r="C921" s="233"/>
      <c r="D921" s="260"/>
      <c r="E921" s="260"/>
      <c r="F921" s="261"/>
      <c r="G921" s="262"/>
      <c r="H921" s="262"/>
      <c r="I921" s="260"/>
      <c r="J921" s="233"/>
      <c r="K921" s="263"/>
      <c r="L921" s="260"/>
      <c r="M921" s="263"/>
      <c r="N921" s="263"/>
      <c r="O921" s="264"/>
      <c r="P921" s="264"/>
      <c r="Q921" s="265"/>
      <c r="R921" s="30">
        <f>MBQ[[#This Row],[HEIGHT (mm)]]*MBQ[[#This Row],[QTY TOTAL]]/1000</f>
        <v>0</v>
      </c>
      <c r="S921" s="30">
        <f>MBQ[[#This Row],[WIDTH (mm)]]*MBQ[[#This Row],[QTY TOTAL]]/1000</f>
        <v>0</v>
      </c>
      <c r="T921" s="9">
        <f>(MBQ[[#This Row],[HEIGHT (mm)]]+MBQ[[#This Row],[WIDTH (mm)]])/1000*2*MBQ[[#This Row],[QTY TOTAL]]</f>
        <v>0</v>
      </c>
      <c r="U921" s="266">
        <f>MBQ[[#This Row],[MULTIPLIER]]*MBQ[[#This Row],[QTY]]</f>
        <v>0</v>
      </c>
      <c r="V921" s="9">
        <f>MBQ[[#This Row],[HEIGHT (mm)]]/1000*MBQ[[#This Row],[WIDTH (mm)]]/1000*MBQ[[#This Row],[QTY TOTAL]]</f>
        <v>0</v>
      </c>
      <c r="W921" s="287">
        <f>ROUNDUP(MBQ[[#This Row],[HEIGHT (mm)]]/450*MBQ[[#This Row],[QTY]]*2,0)+ROUNDUP(MBQ[[#This Row],[WIDTH (mm)]]/450*MBQ[[#This Row],[QTY]]*2,0)</f>
        <v>0</v>
      </c>
    </row>
    <row r="922" spans="1:23" hidden="1">
      <c r="A922" s="258">
        <v>1</v>
      </c>
      <c r="B922" s="259"/>
      <c r="C922" s="233"/>
      <c r="D922" s="260"/>
      <c r="E922" s="260"/>
      <c r="F922" s="261"/>
      <c r="G922" s="262"/>
      <c r="H922" s="262"/>
      <c r="I922" s="260"/>
      <c r="J922" s="233"/>
      <c r="K922" s="263"/>
      <c r="L922" s="260"/>
      <c r="M922" s="263"/>
      <c r="N922" s="263"/>
      <c r="O922" s="264"/>
      <c r="P922" s="264"/>
      <c r="Q922" s="265"/>
      <c r="R922" s="30">
        <f>MBQ[[#This Row],[HEIGHT (mm)]]*MBQ[[#This Row],[QTY TOTAL]]/1000</f>
        <v>0</v>
      </c>
      <c r="S922" s="30">
        <f>MBQ[[#This Row],[WIDTH (mm)]]*MBQ[[#This Row],[QTY TOTAL]]/1000</f>
        <v>0</v>
      </c>
      <c r="T922" s="9">
        <f>(MBQ[[#This Row],[HEIGHT (mm)]]+MBQ[[#This Row],[WIDTH (mm)]])/1000*2*MBQ[[#This Row],[QTY TOTAL]]</f>
        <v>0</v>
      </c>
      <c r="U922" s="266">
        <f>MBQ[[#This Row],[MULTIPLIER]]*MBQ[[#This Row],[QTY]]</f>
        <v>0</v>
      </c>
      <c r="V922" s="9">
        <f>MBQ[[#This Row],[HEIGHT (mm)]]/1000*MBQ[[#This Row],[WIDTH (mm)]]/1000*MBQ[[#This Row],[QTY TOTAL]]</f>
        <v>0</v>
      </c>
      <c r="W922" s="287">
        <f>ROUNDUP(MBQ[[#This Row],[HEIGHT (mm)]]/450*MBQ[[#This Row],[QTY]]*2,0)+ROUNDUP(MBQ[[#This Row],[WIDTH (mm)]]/450*MBQ[[#This Row],[QTY]]*2,0)</f>
        <v>0</v>
      </c>
    </row>
    <row r="923" spans="1:23" hidden="1">
      <c r="A923" s="258">
        <v>1</v>
      </c>
      <c r="B923" s="259"/>
      <c r="C923" s="233"/>
      <c r="D923" s="260"/>
      <c r="E923" s="260"/>
      <c r="F923" s="261"/>
      <c r="G923" s="262"/>
      <c r="H923" s="262"/>
      <c r="I923" s="260"/>
      <c r="J923" s="233"/>
      <c r="K923" s="263"/>
      <c r="L923" s="260"/>
      <c r="M923" s="263"/>
      <c r="N923" s="263"/>
      <c r="O923" s="264"/>
      <c r="P923" s="264"/>
      <c r="Q923" s="265"/>
      <c r="R923" s="30">
        <f>MBQ[[#This Row],[HEIGHT (mm)]]*MBQ[[#This Row],[QTY TOTAL]]/1000</f>
        <v>0</v>
      </c>
      <c r="S923" s="30">
        <f>MBQ[[#This Row],[WIDTH (mm)]]*MBQ[[#This Row],[QTY TOTAL]]/1000</f>
        <v>0</v>
      </c>
      <c r="T923" s="9">
        <f>(MBQ[[#This Row],[HEIGHT (mm)]]+MBQ[[#This Row],[WIDTH (mm)]])/1000*2*MBQ[[#This Row],[QTY TOTAL]]</f>
        <v>0</v>
      </c>
      <c r="U923" s="266">
        <f>MBQ[[#This Row],[MULTIPLIER]]*MBQ[[#This Row],[QTY]]</f>
        <v>0</v>
      </c>
      <c r="V923" s="9">
        <f>MBQ[[#This Row],[HEIGHT (mm)]]/1000*MBQ[[#This Row],[WIDTH (mm)]]/1000*MBQ[[#This Row],[QTY TOTAL]]</f>
        <v>0</v>
      </c>
      <c r="W923" s="287">
        <f>ROUNDUP(MBQ[[#This Row],[HEIGHT (mm)]]/450*MBQ[[#This Row],[QTY]]*2,0)+ROUNDUP(MBQ[[#This Row],[WIDTH (mm)]]/450*MBQ[[#This Row],[QTY]]*2,0)</f>
        <v>0</v>
      </c>
    </row>
    <row r="924" spans="1:23" hidden="1">
      <c r="A924" s="258">
        <v>1</v>
      </c>
      <c r="B924" s="259"/>
      <c r="C924" s="233"/>
      <c r="D924" s="260"/>
      <c r="E924" s="260"/>
      <c r="F924" s="261"/>
      <c r="G924" s="262"/>
      <c r="H924" s="262"/>
      <c r="I924" s="260"/>
      <c r="J924" s="233"/>
      <c r="K924" s="263"/>
      <c r="L924" s="260"/>
      <c r="M924" s="263"/>
      <c r="N924" s="263"/>
      <c r="O924" s="264"/>
      <c r="P924" s="264"/>
      <c r="Q924" s="265"/>
      <c r="R924" s="30">
        <f>MBQ[[#This Row],[HEIGHT (mm)]]*MBQ[[#This Row],[QTY TOTAL]]/1000</f>
        <v>0</v>
      </c>
      <c r="S924" s="30">
        <f>MBQ[[#This Row],[WIDTH (mm)]]*MBQ[[#This Row],[QTY TOTAL]]/1000</f>
        <v>0</v>
      </c>
      <c r="T924" s="9">
        <f>(MBQ[[#This Row],[HEIGHT (mm)]]+MBQ[[#This Row],[WIDTH (mm)]])/1000*2*MBQ[[#This Row],[QTY TOTAL]]</f>
        <v>0</v>
      </c>
      <c r="U924" s="266">
        <f>MBQ[[#This Row],[MULTIPLIER]]*MBQ[[#This Row],[QTY]]</f>
        <v>0</v>
      </c>
      <c r="V924" s="9">
        <f>MBQ[[#This Row],[HEIGHT (mm)]]/1000*MBQ[[#This Row],[WIDTH (mm)]]/1000*MBQ[[#This Row],[QTY TOTAL]]</f>
        <v>0</v>
      </c>
      <c r="W924" s="287">
        <f>ROUNDUP(MBQ[[#This Row],[HEIGHT (mm)]]/450*MBQ[[#This Row],[QTY]]*2,0)+ROUNDUP(MBQ[[#This Row],[WIDTH (mm)]]/450*MBQ[[#This Row],[QTY]]*2,0)</f>
        <v>0</v>
      </c>
    </row>
    <row r="925" spans="1:23" hidden="1">
      <c r="A925" s="258">
        <v>1</v>
      </c>
      <c r="B925" s="259"/>
      <c r="C925" s="233"/>
      <c r="D925" s="260"/>
      <c r="E925" s="260"/>
      <c r="F925" s="261"/>
      <c r="G925" s="262"/>
      <c r="H925" s="262"/>
      <c r="I925" s="260"/>
      <c r="J925" s="233"/>
      <c r="K925" s="263"/>
      <c r="L925" s="260"/>
      <c r="M925" s="263"/>
      <c r="N925" s="263"/>
      <c r="O925" s="264"/>
      <c r="P925" s="264"/>
      <c r="Q925" s="265"/>
      <c r="R925" s="30">
        <f>MBQ[[#This Row],[HEIGHT (mm)]]*MBQ[[#This Row],[QTY TOTAL]]/1000</f>
        <v>0</v>
      </c>
      <c r="S925" s="30">
        <f>MBQ[[#This Row],[WIDTH (mm)]]*MBQ[[#This Row],[QTY TOTAL]]/1000</f>
        <v>0</v>
      </c>
      <c r="T925" s="9">
        <f>(MBQ[[#This Row],[HEIGHT (mm)]]+MBQ[[#This Row],[WIDTH (mm)]])/1000*2*MBQ[[#This Row],[QTY TOTAL]]</f>
        <v>0</v>
      </c>
      <c r="U925" s="266">
        <f>MBQ[[#This Row],[MULTIPLIER]]*MBQ[[#This Row],[QTY]]</f>
        <v>0</v>
      </c>
      <c r="V925" s="9">
        <f>MBQ[[#This Row],[HEIGHT (mm)]]/1000*MBQ[[#This Row],[WIDTH (mm)]]/1000*MBQ[[#This Row],[QTY TOTAL]]</f>
        <v>0</v>
      </c>
      <c r="W925" s="287">
        <f>ROUNDUP(MBQ[[#This Row],[HEIGHT (mm)]]/450*MBQ[[#This Row],[QTY]]*2,0)+ROUNDUP(MBQ[[#This Row],[WIDTH (mm)]]/450*MBQ[[#This Row],[QTY]]*2,0)</f>
        <v>0</v>
      </c>
    </row>
    <row r="926" spans="1:23" hidden="1">
      <c r="A926" s="258">
        <v>1</v>
      </c>
      <c r="B926" s="259"/>
      <c r="C926" s="233"/>
      <c r="D926" s="260"/>
      <c r="E926" s="260"/>
      <c r="F926" s="261"/>
      <c r="G926" s="262"/>
      <c r="H926" s="262"/>
      <c r="I926" s="260"/>
      <c r="J926" s="233"/>
      <c r="K926" s="263"/>
      <c r="L926" s="260"/>
      <c r="M926" s="263"/>
      <c r="N926" s="263"/>
      <c r="O926" s="264"/>
      <c r="P926" s="264"/>
      <c r="Q926" s="265"/>
      <c r="R926" s="30">
        <f>MBQ[[#This Row],[HEIGHT (mm)]]*MBQ[[#This Row],[QTY TOTAL]]/1000</f>
        <v>0</v>
      </c>
      <c r="S926" s="30">
        <f>MBQ[[#This Row],[WIDTH (mm)]]*MBQ[[#This Row],[QTY TOTAL]]/1000</f>
        <v>0</v>
      </c>
      <c r="T926" s="9">
        <f>(MBQ[[#This Row],[HEIGHT (mm)]]+MBQ[[#This Row],[WIDTH (mm)]])/1000*2*MBQ[[#This Row],[QTY TOTAL]]</f>
        <v>0</v>
      </c>
      <c r="U926" s="266">
        <f>MBQ[[#This Row],[MULTIPLIER]]*MBQ[[#This Row],[QTY]]</f>
        <v>0</v>
      </c>
      <c r="V926" s="9">
        <f>MBQ[[#This Row],[HEIGHT (mm)]]/1000*MBQ[[#This Row],[WIDTH (mm)]]/1000*MBQ[[#This Row],[QTY TOTAL]]</f>
        <v>0</v>
      </c>
      <c r="W926" s="287">
        <f>ROUNDUP(MBQ[[#This Row],[HEIGHT (mm)]]/450*MBQ[[#This Row],[QTY]]*2,0)+ROUNDUP(MBQ[[#This Row],[WIDTH (mm)]]/450*MBQ[[#This Row],[QTY]]*2,0)</f>
        <v>0</v>
      </c>
    </row>
    <row r="927" spans="1:23" hidden="1">
      <c r="A927" s="258">
        <v>1</v>
      </c>
      <c r="B927" s="259"/>
      <c r="C927" s="233"/>
      <c r="D927" s="260"/>
      <c r="E927" s="260"/>
      <c r="F927" s="261"/>
      <c r="G927" s="262"/>
      <c r="H927" s="262"/>
      <c r="I927" s="260"/>
      <c r="J927" s="233"/>
      <c r="K927" s="263"/>
      <c r="L927" s="260"/>
      <c r="M927" s="263"/>
      <c r="N927" s="263"/>
      <c r="O927" s="264"/>
      <c r="P927" s="264"/>
      <c r="Q927" s="265"/>
      <c r="R927" s="30">
        <f>MBQ[[#This Row],[HEIGHT (mm)]]*MBQ[[#This Row],[QTY TOTAL]]/1000</f>
        <v>0</v>
      </c>
      <c r="S927" s="30">
        <f>MBQ[[#This Row],[WIDTH (mm)]]*MBQ[[#This Row],[QTY TOTAL]]/1000</f>
        <v>0</v>
      </c>
      <c r="T927" s="9">
        <f>(MBQ[[#This Row],[HEIGHT (mm)]]+MBQ[[#This Row],[WIDTH (mm)]])/1000*2*MBQ[[#This Row],[QTY TOTAL]]</f>
        <v>0</v>
      </c>
      <c r="U927" s="266">
        <f>MBQ[[#This Row],[MULTIPLIER]]*MBQ[[#This Row],[QTY]]</f>
        <v>0</v>
      </c>
      <c r="V927" s="9">
        <f>MBQ[[#This Row],[HEIGHT (mm)]]/1000*MBQ[[#This Row],[WIDTH (mm)]]/1000*MBQ[[#This Row],[QTY TOTAL]]</f>
        <v>0</v>
      </c>
      <c r="W927" s="287">
        <f>ROUNDUP(MBQ[[#This Row],[HEIGHT (mm)]]/450*MBQ[[#This Row],[QTY]]*2,0)+ROUNDUP(MBQ[[#This Row],[WIDTH (mm)]]/450*MBQ[[#This Row],[QTY]]*2,0)</f>
        <v>0</v>
      </c>
    </row>
    <row r="928" spans="1:23" hidden="1">
      <c r="A928" s="258">
        <v>1</v>
      </c>
      <c r="B928" s="259"/>
      <c r="C928" s="233"/>
      <c r="D928" s="260"/>
      <c r="E928" s="260"/>
      <c r="F928" s="261"/>
      <c r="G928" s="262"/>
      <c r="H928" s="262"/>
      <c r="I928" s="260"/>
      <c r="J928" s="233"/>
      <c r="K928" s="263"/>
      <c r="L928" s="260"/>
      <c r="M928" s="263"/>
      <c r="N928" s="263"/>
      <c r="O928" s="264"/>
      <c r="P928" s="264"/>
      <c r="Q928" s="265"/>
      <c r="R928" s="30">
        <f>MBQ[[#This Row],[HEIGHT (mm)]]*MBQ[[#This Row],[QTY TOTAL]]/1000</f>
        <v>0</v>
      </c>
      <c r="S928" s="30">
        <f>MBQ[[#This Row],[WIDTH (mm)]]*MBQ[[#This Row],[QTY TOTAL]]/1000</f>
        <v>0</v>
      </c>
      <c r="T928" s="9">
        <f>(MBQ[[#This Row],[HEIGHT (mm)]]+MBQ[[#This Row],[WIDTH (mm)]])/1000*2*MBQ[[#This Row],[QTY TOTAL]]</f>
        <v>0</v>
      </c>
      <c r="U928" s="266">
        <f>MBQ[[#This Row],[MULTIPLIER]]*MBQ[[#This Row],[QTY]]</f>
        <v>0</v>
      </c>
      <c r="V928" s="9">
        <f>MBQ[[#This Row],[HEIGHT (mm)]]/1000*MBQ[[#This Row],[WIDTH (mm)]]/1000*MBQ[[#This Row],[QTY TOTAL]]</f>
        <v>0</v>
      </c>
      <c r="W928" s="287">
        <f>ROUNDUP(MBQ[[#This Row],[HEIGHT (mm)]]/450*MBQ[[#This Row],[QTY]]*2,0)+ROUNDUP(MBQ[[#This Row],[WIDTH (mm)]]/450*MBQ[[#This Row],[QTY]]*2,0)</f>
        <v>0</v>
      </c>
    </row>
    <row r="929" spans="1:23" hidden="1">
      <c r="A929" s="258">
        <v>1</v>
      </c>
      <c r="B929" s="259"/>
      <c r="C929" s="233"/>
      <c r="D929" s="260"/>
      <c r="E929" s="260"/>
      <c r="F929" s="261"/>
      <c r="G929" s="262"/>
      <c r="H929" s="262"/>
      <c r="I929" s="260"/>
      <c r="J929" s="233"/>
      <c r="K929" s="263"/>
      <c r="L929" s="260"/>
      <c r="M929" s="263"/>
      <c r="N929" s="263"/>
      <c r="O929" s="264"/>
      <c r="P929" s="264"/>
      <c r="Q929" s="265"/>
      <c r="R929" s="30">
        <f>MBQ[[#This Row],[HEIGHT (mm)]]*MBQ[[#This Row],[QTY TOTAL]]/1000</f>
        <v>0</v>
      </c>
      <c r="S929" s="30">
        <f>MBQ[[#This Row],[WIDTH (mm)]]*MBQ[[#This Row],[QTY TOTAL]]/1000</f>
        <v>0</v>
      </c>
      <c r="T929" s="9">
        <f>(MBQ[[#This Row],[HEIGHT (mm)]]+MBQ[[#This Row],[WIDTH (mm)]])/1000*2*MBQ[[#This Row],[QTY TOTAL]]</f>
        <v>0</v>
      </c>
      <c r="U929" s="266">
        <f>MBQ[[#This Row],[MULTIPLIER]]*MBQ[[#This Row],[QTY]]</f>
        <v>0</v>
      </c>
      <c r="V929" s="9">
        <f>MBQ[[#This Row],[HEIGHT (mm)]]/1000*MBQ[[#This Row],[WIDTH (mm)]]/1000*MBQ[[#This Row],[QTY TOTAL]]</f>
        <v>0</v>
      </c>
      <c r="W929" s="287">
        <f>ROUNDUP(MBQ[[#This Row],[HEIGHT (mm)]]/450*MBQ[[#This Row],[QTY]]*2,0)+ROUNDUP(MBQ[[#This Row],[WIDTH (mm)]]/450*MBQ[[#This Row],[QTY]]*2,0)</f>
        <v>0</v>
      </c>
    </row>
    <row r="930" spans="1:23" hidden="1">
      <c r="A930" s="258">
        <v>1</v>
      </c>
      <c r="B930" s="259"/>
      <c r="C930" s="233"/>
      <c r="D930" s="260"/>
      <c r="E930" s="260"/>
      <c r="F930" s="261"/>
      <c r="G930" s="262"/>
      <c r="H930" s="262"/>
      <c r="I930" s="260"/>
      <c r="J930" s="233"/>
      <c r="K930" s="263"/>
      <c r="L930" s="260"/>
      <c r="M930" s="263"/>
      <c r="N930" s="263"/>
      <c r="O930" s="264"/>
      <c r="P930" s="264"/>
      <c r="Q930" s="265"/>
      <c r="R930" s="30">
        <f>MBQ[[#This Row],[HEIGHT (mm)]]*MBQ[[#This Row],[QTY TOTAL]]/1000</f>
        <v>0</v>
      </c>
      <c r="S930" s="30">
        <f>MBQ[[#This Row],[WIDTH (mm)]]*MBQ[[#This Row],[QTY TOTAL]]/1000</f>
        <v>0</v>
      </c>
      <c r="T930" s="9">
        <f>(MBQ[[#This Row],[HEIGHT (mm)]]+MBQ[[#This Row],[WIDTH (mm)]])/1000*2*MBQ[[#This Row],[QTY TOTAL]]</f>
        <v>0</v>
      </c>
      <c r="U930" s="266">
        <f>MBQ[[#This Row],[MULTIPLIER]]*MBQ[[#This Row],[QTY]]</f>
        <v>0</v>
      </c>
      <c r="V930" s="9">
        <f>MBQ[[#This Row],[HEIGHT (mm)]]/1000*MBQ[[#This Row],[WIDTH (mm)]]/1000*MBQ[[#This Row],[QTY TOTAL]]</f>
        <v>0</v>
      </c>
      <c r="W930" s="287">
        <f>ROUNDUP(MBQ[[#This Row],[HEIGHT (mm)]]/450*MBQ[[#This Row],[QTY]]*2,0)+ROUNDUP(MBQ[[#This Row],[WIDTH (mm)]]/450*MBQ[[#This Row],[QTY]]*2,0)</f>
        <v>0</v>
      </c>
    </row>
    <row r="931" spans="1:23" hidden="1">
      <c r="A931" s="258">
        <v>1</v>
      </c>
      <c r="B931" s="259"/>
      <c r="C931" s="233"/>
      <c r="D931" s="260"/>
      <c r="E931" s="260"/>
      <c r="F931" s="261"/>
      <c r="G931" s="262"/>
      <c r="H931" s="262"/>
      <c r="I931" s="260"/>
      <c r="J931" s="233"/>
      <c r="K931" s="263"/>
      <c r="L931" s="260"/>
      <c r="M931" s="263"/>
      <c r="N931" s="263"/>
      <c r="O931" s="264"/>
      <c r="P931" s="264"/>
      <c r="Q931" s="265"/>
      <c r="R931" s="30">
        <f>MBQ[[#This Row],[HEIGHT (mm)]]*MBQ[[#This Row],[QTY TOTAL]]/1000</f>
        <v>0</v>
      </c>
      <c r="S931" s="30">
        <f>MBQ[[#This Row],[WIDTH (mm)]]*MBQ[[#This Row],[QTY TOTAL]]/1000</f>
        <v>0</v>
      </c>
      <c r="T931" s="9">
        <f>(MBQ[[#This Row],[HEIGHT (mm)]]+MBQ[[#This Row],[WIDTH (mm)]])/1000*2*MBQ[[#This Row],[QTY TOTAL]]</f>
        <v>0</v>
      </c>
      <c r="U931" s="266">
        <f>MBQ[[#This Row],[MULTIPLIER]]*MBQ[[#This Row],[QTY]]</f>
        <v>0</v>
      </c>
      <c r="V931" s="9">
        <f>MBQ[[#This Row],[HEIGHT (mm)]]/1000*MBQ[[#This Row],[WIDTH (mm)]]/1000*MBQ[[#This Row],[QTY TOTAL]]</f>
        <v>0</v>
      </c>
      <c r="W931" s="287">
        <f>ROUNDUP(MBQ[[#This Row],[HEIGHT (mm)]]/450*MBQ[[#This Row],[QTY]]*2,0)+ROUNDUP(MBQ[[#This Row],[WIDTH (mm)]]/450*MBQ[[#This Row],[QTY]]*2,0)</f>
        <v>0</v>
      </c>
    </row>
    <row r="932" spans="1:23" hidden="1">
      <c r="A932" s="258">
        <v>1</v>
      </c>
      <c r="B932" s="259"/>
      <c r="C932" s="233"/>
      <c r="D932" s="260"/>
      <c r="E932" s="260"/>
      <c r="F932" s="261"/>
      <c r="G932" s="262"/>
      <c r="H932" s="262"/>
      <c r="I932" s="260"/>
      <c r="J932" s="233"/>
      <c r="K932" s="263"/>
      <c r="L932" s="260"/>
      <c r="M932" s="263"/>
      <c r="N932" s="263"/>
      <c r="O932" s="264"/>
      <c r="P932" s="264"/>
      <c r="Q932" s="265"/>
      <c r="R932" s="30">
        <f>MBQ[[#This Row],[HEIGHT (mm)]]*MBQ[[#This Row],[QTY TOTAL]]/1000</f>
        <v>0</v>
      </c>
      <c r="S932" s="30">
        <f>MBQ[[#This Row],[WIDTH (mm)]]*MBQ[[#This Row],[QTY TOTAL]]/1000</f>
        <v>0</v>
      </c>
      <c r="T932" s="9">
        <f>(MBQ[[#This Row],[HEIGHT (mm)]]+MBQ[[#This Row],[WIDTH (mm)]])/1000*2*MBQ[[#This Row],[QTY TOTAL]]</f>
        <v>0</v>
      </c>
      <c r="U932" s="266">
        <f>MBQ[[#This Row],[MULTIPLIER]]*MBQ[[#This Row],[QTY]]</f>
        <v>0</v>
      </c>
      <c r="V932" s="9">
        <f>MBQ[[#This Row],[HEIGHT (mm)]]/1000*MBQ[[#This Row],[WIDTH (mm)]]/1000*MBQ[[#This Row],[QTY TOTAL]]</f>
        <v>0</v>
      </c>
      <c r="W932" s="287">
        <f>ROUNDUP(MBQ[[#This Row],[HEIGHT (mm)]]/450*MBQ[[#This Row],[QTY]]*2,0)+ROUNDUP(MBQ[[#This Row],[WIDTH (mm)]]/450*MBQ[[#This Row],[QTY]]*2,0)</f>
        <v>0</v>
      </c>
    </row>
    <row r="933" spans="1:23" hidden="1">
      <c r="A933" s="258">
        <v>1</v>
      </c>
      <c r="B933" s="259"/>
      <c r="C933" s="233"/>
      <c r="D933" s="260"/>
      <c r="E933" s="260"/>
      <c r="F933" s="261"/>
      <c r="G933" s="262"/>
      <c r="H933" s="262"/>
      <c r="I933" s="260"/>
      <c r="J933" s="233"/>
      <c r="K933" s="263"/>
      <c r="L933" s="260"/>
      <c r="M933" s="263"/>
      <c r="N933" s="263"/>
      <c r="O933" s="264"/>
      <c r="P933" s="264"/>
      <c r="Q933" s="265"/>
      <c r="R933" s="30">
        <f>MBQ[[#This Row],[HEIGHT (mm)]]*MBQ[[#This Row],[QTY TOTAL]]/1000</f>
        <v>0</v>
      </c>
      <c r="S933" s="30">
        <f>MBQ[[#This Row],[WIDTH (mm)]]*MBQ[[#This Row],[QTY TOTAL]]/1000</f>
        <v>0</v>
      </c>
      <c r="T933" s="9">
        <f>(MBQ[[#This Row],[HEIGHT (mm)]]+MBQ[[#This Row],[WIDTH (mm)]])/1000*2*MBQ[[#This Row],[QTY TOTAL]]</f>
        <v>0</v>
      </c>
      <c r="U933" s="266">
        <f>MBQ[[#This Row],[MULTIPLIER]]*MBQ[[#This Row],[QTY]]</f>
        <v>0</v>
      </c>
      <c r="V933" s="9">
        <f>MBQ[[#This Row],[HEIGHT (mm)]]/1000*MBQ[[#This Row],[WIDTH (mm)]]/1000*MBQ[[#This Row],[QTY TOTAL]]</f>
        <v>0</v>
      </c>
      <c r="W933" s="287">
        <f>ROUNDUP(MBQ[[#This Row],[HEIGHT (mm)]]/450*MBQ[[#This Row],[QTY]]*2,0)+ROUNDUP(MBQ[[#This Row],[WIDTH (mm)]]/450*MBQ[[#This Row],[QTY]]*2,0)</f>
        <v>0</v>
      </c>
    </row>
    <row r="934" spans="1:23" hidden="1">
      <c r="A934" s="258">
        <v>1</v>
      </c>
      <c r="B934" s="259"/>
      <c r="C934" s="233"/>
      <c r="D934" s="260"/>
      <c r="E934" s="260"/>
      <c r="F934" s="261"/>
      <c r="G934" s="262"/>
      <c r="H934" s="262"/>
      <c r="I934" s="260"/>
      <c r="J934" s="233"/>
      <c r="K934" s="263"/>
      <c r="L934" s="260"/>
      <c r="M934" s="263"/>
      <c r="N934" s="263"/>
      <c r="O934" s="264"/>
      <c r="P934" s="264"/>
      <c r="Q934" s="265"/>
      <c r="R934" s="30">
        <f>MBQ[[#This Row],[HEIGHT (mm)]]*MBQ[[#This Row],[QTY TOTAL]]/1000</f>
        <v>0</v>
      </c>
      <c r="S934" s="30">
        <f>MBQ[[#This Row],[WIDTH (mm)]]*MBQ[[#This Row],[QTY TOTAL]]/1000</f>
        <v>0</v>
      </c>
      <c r="T934" s="9">
        <f>(MBQ[[#This Row],[HEIGHT (mm)]]+MBQ[[#This Row],[WIDTH (mm)]])/1000*2*MBQ[[#This Row],[QTY TOTAL]]</f>
        <v>0</v>
      </c>
      <c r="U934" s="266">
        <f>MBQ[[#This Row],[MULTIPLIER]]*MBQ[[#This Row],[QTY]]</f>
        <v>0</v>
      </c>
      <c r="V934" s="9">
        <f>MBQ[[#This Row],[HEIGHT (mm)]]/1000*MBQ[[#This Row],[WIDTH (mm)]]/1000*MBQ[[#This Row],[QTY TOTAL]]</f>
        <v>0</v>
      </c>
      <c r="W934" s="287">
        <f>ROUNDUP(MBQ[[#This Row],[HEIGHT (mm)]]/450*MBQ[[#This Row],[QTY]]*2,0)+ROUNDUP(MBQ[[#This Row],[WIDTH (mm)]]/450*MBQ[[#This Row],[QTY]]*2,0)</f>
        <v>0</v>
      </c>
    </row>
    <row r="935" spans="1:23" hidden="1">
      <c r="A935" s="258">
        <v>1</v>
      </c>
      <c r="B935" s="259"/>
      <c r="C935" s="233"/>
      <c r="D935" s="260"/>
      <c r="E935" s="260"/>
      <c r="F935" s="261"/>
      <c r="G935" s="262"/>
      <c r="H935" s="262"/>
      <c r="I935" s="260"/>
      <c r="J935" s="233"/>
      <c r="K935" s="263"/>
      <c r="L935" s="260"/>
      <c r="M935" s="263"/>
      <c r="N935" s="263"/>
      <c r="O935" s="264"/>
      <c r="P935" s="264"/>
      <c r="Q935" s="265"/>
      <c r="R935" s="30">
        <f>MBQ[[#This Row],[HEIGHT (mm)]]*MBQ[[#This Row],[QTY TOTAL]]/1000</f>
        <v>0</v>
      </c>
      <c r="S935" s="30">
        <f>MBQ[[#This Row],[WIDTH (mm)]]*MBQ[[#This Row],[QTY TOTAL]]/1000</f>
        <v>0</v>
      </c>
      <c r="T935" s="9">
        <f>(MBQ[[#This Row],[HEIGHT (mm)]]+MBQ[[#This Row],[WIDTH (mm)]])/1000*2*MBQ[[#This Row],[QTY TOTAL]]</f>
        <v>0</v>
      </c>
      <c r="U935" s="266">
        <f>MBQ[[#This Row],[MULTIPLIER]]*MBQ[[#This Row],[QTY]]</f>
        <v>0</v>
      </c>
      <c r="V935" s="9">
        <f>MBQ[[#This Row],[HEIGHT (mm)]]/1000*MBQ[[#This Row],[WIDTH (mm)]]/1000*MBQ[[#This Row],[QTY TOTAL]]</f>
        <v>0</v>
      </c>
      <c r="W935" s="287">
        <f>ROUNDUP(MBQ[[#This Row],[HEIGHT (mm)]]/450*MBQ[[#This Row],[QTY]]*2,0)+ROUNDUP(MBQ[[#This Row],[WIDTH (mm)]]/450*MBQ[[#This Row],[QTY]]*2,0)</f>
        <v>0</v>
      </c>
    </row>
    <row r="936" spans="1:23" hidden="1">
      <c r="A936" s="258">
        <v>1</v>
      </c>
      <c r="B936" s="259"/>
      <c r="C936" s="233"/>
      <c r="D936" s="260"/>
      <c r="E936" s="260"/>
      <c r="F936" s="261"/>
      <c r="G936" s="262"/>
      <c r="H936" s="262"/>
      <c r="I936" s="260"/>
      <c r="J936" s="233"/>
      <c r="K936" s="263"/>
      <c r="L936" s="260"/>
      <c r="M936" s="263"/>
      <c r="N936" s="263"/>
      <c r="O936" s="264"/>
      <c r="P936" s="264"/>
      <c r="Q936" s="265"/>
      <c r="R936" s="30">
        <f>MBQ[[#This Row],[HEIGHT (mm)]]*MBQ[[#This Row],[QTY TOTAL]]/1000</f>
        <v>0</v>
      </c>
      <c r="S936" s="30">
        <f>MBQ[[#This Row],[WIDTH (mm)]]*MBQ[[#This Row],[QTY TOTAL]]/1000</f>
        <v>0</v>
      </c>
      <c r="T936" s="9">
        <f>(MBQ[[#This Row],[HEIGHT (mm)]]+MBQ[[#This Row],[WIDTH (mm)]])/1000*2*MBQ[[#This Row],[QTY TOTAL]]</f>
        <v>0</v>
      </c>
      <c r="U936" s="266">
        <f>MBQ[[#This Row],[MULTIPLIER]]*MBQ[[#This Row],[QTY]]</f>
        <v>0</v>
      </c>
      <c r="V936" s="9">
        <f>MBQ[[#This Row],[HEIGHT (mm)]]/1000*MBQ[[#This Row],[WIDTH (mm)]]/1000*MBQ[[#This Row],[QTY TOTAL]]</f>
        <v>0</v>
      </c>
      <c r="W936" s="287">
        <f>ROUNDUP(MBQ[[#This Row],[HEIGHT (mm)]]/450*MBQ[[#This Row],[QTY]]*2,0)+ROUNDUP(MBQ[[#This Row],[WIDTH (mm)]]/450*MBQ[[#This Row],[QTY]]*2,0)</f>
        <v>0</v>
      </c>
    </row>
    <row r="937" spans="1:23" hidden="1">
      <c r="A937" s="258">
        <v>1</v>
      </c>
      <c r="B937" s="259"/>
      <c r="C937" s="233"/>
      <c r="D937" s="260"/>
      <c r="E937" s="260"/>
      <c r="F937" s="261"/>
      <c r="G937" s="262"/>
      <c r="H937" s="262"/>
      <c r="I937" s="260"/>
      <c r="J937" s="233"/>
      <c r="K937" s="263"/>
      <c r="L937" s="260"/>
      <c r="M937" s="263"/>
      <c r="N937" s="263"/>
      <c r="O937" s="264"/>
      <c r="P937" s="264"/>
      <c r="Q937" s="265"/>
      <c r="R937" s="30">
        <f>MBQ[[#This Row],[HEIGHT (mm)]]*MBQ[[#This Row],[QTY TOTAL]]/1000</f>
        <v>0</v>
      </c>
      <c r="S937" s="30">
        <f>MBQ[[#This Row],[WIDTH (mm)]]*MBQ[[#This Row],[QTY TOTAL]]/1000</f>
        <v>0</v>
      </c>
      <c r="T937" s="9">
        <f>(MBQ[[#This Row],[HEIGHT (mm)]]+MBQ[[#This Row],[WIDTH (mm)]])/1000*2*MBQ[[#This Row],[QTY TOTAL]]</f>
        <v>0</v>
      </c>
      <c r="U937" s="266">
        <f>MBQ[[#This Row],[MULTIPLIER]]*MBQ[[#This Row],[QTY]]</f>
        <v>0</v>
      </c>
      <c r="V937" s="9">
        <f>MBQ[[#This Row],[HEIGHT (mm)]]/1000*MBQ[[#This Row],[WIDTH (mm)]]/1000*MBQ[[#This Row],[QTY TOTAL]]</f>
        <v>0</v>
      </c>
      <c r="W937" s="287">
        <f>ROUNDUP(MBQ[[#This Row],[HEIGHT (mm)]]/450*MBQ[[#This Row],[QTY]]*2,0)+ROUNDUP(MBQ[[#This Row],[WIDTH (mm)]]/450*MBQ[[#This Row],[QTY]]*2,0)</f>
        <v>0</v>
      </c>
    </row>
    <row r="938" spans="1:23" hidden="1">
      <c r="A938" s="258">
        <v>1</v>
      </c>
      <c r="B938" s="259"/>
      <c r="C938" s="233"/>
      <c r="D938" s="260"/>
      <c r="E938" s="260"/>
      <c r="F938" s="261"/>
      <c r="G938" s="262"/>
      <c r="H938" s="262"/>
      <c r="I938" s="260"/>
      <c r="J938" s="233"/>
      <c r="K938" s="263"/>
      <c r="L938" s="260"/>
      <c r="M938" s="263"/>
      <c r="N938" s="263"/>
      <c r="O938" s="264"/>
      <c r="P938" s="264"/>
      <c r="Q938" s="265"/>
      <c r="R938" s="30">
        <f>MBQ[[#This Row],[HEIGHT (mm)]]*MBQ[[#This Row],[QTY TOTAL]]/1000</f>
        <v>0</v>
      </c>
      <c r="S938" s="30">
        <f>MBQ[[#This Row],[WIDTH (mm)]]*MBQ[[#This Row],[QTY TOTAL]]/1000</f>
        <v>0</v>
      </c>
      <c r="T938" s="9">
        <f>(MBQ[[#This Row],[HEIGHT (mm)]]+MBQ[[#This Row],[WIDTH (mm)]])/1000*2*MBQ[[#This Row],[QTY TOTAL]]</f>
        <v>0</v>
      </c>
      <c r="U938" s="266">
        <f>MBQ[[#This Row],[MULTIPLIER]]*MBQ[[#This Row],[QTY]]</f>
        <v>0</v>
      </c>
      <c r="V938" s="9">
        <f>MBQ[[#This Row],[HEIGHT (mm)]]/1000*MBQ[[#This Row],[WIDTH (mm)]]/1000*MBQ[[#This Row],[QTY TOTAL]]</f>
        <v>0</v>
      </c>
      <c r="W938" s="287">
        <f>ROUNDUP(MBQ[[#This Row],[HEIGHT (mm)]]/450*MBQ[[#This Row],[QTY]]*2,0)+ROUNDUP(MBQ[[#This Row],[WIDTH (mm)]]/450*MBQ[[#This Row],[QTY]]*2,0)</f>
        <v>0</v>
      </c>
    </row>
    <row r="939" spans="1:23" hidden="1">
      <c r="A939" s="258">
        <v>1</v>
      </c>
      <c r="B939" s="259"/>
      <c r="C939" s="233"/>
      <c r="D939" s="260"/>
      <c r="E939" s="260"/>
      <c r="F939" s="261"/>
      <c r="G939" s="262"/>
      <c r="H939" s="262"/>
      <c r="I939" s="260"/>
      <c r="J939" s="233"/>
      <c r="K939" s="263"/>
      <c r="L939" s="260"/>
      <c r="M939" s="263"/>
      <c r="N939" s="263"/>
      <c r="O939" s="264"/>
      <c r="P939" s="264"/>
      <c r="Q939" s="265"/>
      <c r="R939" s="30">
        <f>MBQ[[#This Row],[HEIGHT (mm)]]*MBQ[[#This Row],[QTY TOTAL]]/1000</f>
        <v>0</v>
      </c>
      <c r="S939" s="30">
        <f>MBQ[[#This Row],[WIDTH (mm)]]*MBQ[[#This Row],[QTY TOTAL]]/1000</f>
        <v>0</v>
      </c>
      <c r="T939" s="9">
        <f>(MBQ[[#This Row],[HEIGHT (mm)]]+MBQ[[#This Row],[WIDTH (mm)]])/1000*2*MBQ[[#This Row],[QTY TOTAL]]</f>
        <v>0</v>
      </c>
      <c r="U939" s="266">
        <f>MBQ[[#This Row],[MULTIPLIER]]*MBQ[[#This Row],[QTY]]</f>
        <v>0</v>
      </c>
      <c r="V939" s="9">
        <f>MBQ[[#This Row],[HEIGHT (mm)]]/1000*MBQ[[#This Row],[WIDTH (mm)]]/1000*MBQ[[#This Row],[QTY TOTAL]]</f>
        <v>0</v>
      </c>
      <c r="W939" s="287">
        <f>ROUNDUP(MBQ[[#This Row],[HEIGHT (mm)]]/450*MBQ[[#This Row],[QTY]]*2,0)+ROUNDUP(MBQ[[#This Row],[WIDTH (mm)]]/450*MBQ[[#This Row],[QTY]]*2,0)</f>
        <v>0</v>
      </c>
    </row>
    <row r="940" spans="1:23" hidden="1">
      <c r="A940" s="258">
        <v>1</v>
      </c>
      <c r="B940" s="259"/>
      <c r="C940" s="233"/>
      <c r="D940" s="260"/>
      <c r="E940" s="260"/>
      <c r="F940" s="261"/>
      <c r="G940" s="262"/>
      <c r="H940" s="262"/>
      <c r="I940" s="260"/>
      <c r="J940" s="233"/>
      <c r="K940" s="263"/>
      <c r="L940" s="260"/>
      <c r="M940" s="263"/>
      <c r="N940" s="263"/>
      <c r="O940" s="264"/>
      <c r="P940" s="264"/>
      <c r="Q940" s="265"/>
      <c r="R940" s="30">
        <f>MBQ[[#This Row],[HEIGHT (mm)]]*MBQ[[#This Row],[QTY TOTAL]]/1000</f>
        <v>0</v>
      </c>
      <c r="S940" s="30">
        <f>MBQ[[#This Row],[WIDTH (mm)]]*MBQ[[#This Row],[QTY TOTAL]]/1000</f>
        <v>0</v>
      </c>
      <c r="T940" s="9">
        <f>(MBQ[[#This Row],[HEIGHT (mm)]]+MBQ[[#This Row],[WIDTH (mm)]])/1000*2*MBQ[[#This Row],[QTY TOTAL]]</f>
        <v>0</v>
      </c>
      <c r="U940" s="266">
        <f>MBQ[[#This Row],[MULTIPLIER]]*MBQ[[#This Row],[QTY]]</f>
        <v>0</v>
      </c>
      <c r="V940" s="9">
        <f>MBQ[[#This Row],[HEIGHT (mm)]]/1000*MBQ[[#This Row],[WIDTH (mm)]]/1000*MBQ[[#This Row],[QTY TOTAL]]</f>
        <v>0</v>
      </c>
      <c r="W940" s="287">
        <f>ROUNDUP(MBQ[[#This Row],[HEIGHT (mm)]]/450*MBQ[[#This Row],[QTY]]*2,0)+ROUNDUP(MBQ[[#This Row],[WIDTH (mm)]]/450*MBQ[[#This Row],[QTY]]*2,0)</f>
        <v>0</v>
      </c>
    </row>
    <row r="941" spans="1:23" hidden="1">
      <c r="A941" s="258">
        <v>1</v>
      </c>
      <c r="B941" s="259"/>
      <c r="C941" s="233"/>
      <c r="D941" s="260"/>
      <c r="E941" s="260"/>
      <c r="F941" s="261"/>
      <c r="G941" s="262"/>
      <c r="H941" s="262"/>
      <c r="I941" s="260"/>
      <c r="J941" s="233"/>
      <c r="K941" s="263"/>
      <c r="L941" s="260"/>
      <c r="M941" s="263"/>
      <c r="N941" s="263"/>
      <c r="O941" s="264"/>
      <c r="P941" s="264"/>
      <c r="Q941" s="265"/>
      <c r="R941" s="30">
        <f>MBQ[[#This Row],[HEIGHT (mm)]]*MBQ[[#This Row],[QTY TOTAL]]/1000</f>
        <v>0</v>
      </c>
      <c r="S941" s="30">
        <f>MBQ[[#This Row],[WIDTH (mm)]]*MBQ[[#This Row],[QTY TOTAL]]/1000</f>
        <v>0</v>
      </c>
      <c r="T941" s="9">
        <f>(MBQ[[#This Row],[HEIGHT (mm)]]+MBQ[[#This Row],[WIDTH (mm)]])/1000*2*MBQ[[#This Row],[QTY TOTAL]]</f>
        <v>0</v>
      </c>
      <c r="U941" s="266">
        <f>MBQ[[#This Row],[MULTIPLIER]]*MBQ[[#This Row],[QTY]]</f>
        <v>0</v>
      </c>
      <c r="V941" s="9">
        <f>MBQ[[#This Row],[HEIGHT (mm)]]/1000*MBQ[[#This Row],[WIDTH (mm)]]/1000*MBQ[[#This Row],[QTY TOTAL]]</f>
        <v>0</v>
      </c>
      <c r="W941" s="287">
        <f>ROUNDUP(MBQ[[#This Row],[HEIGHT (mm)]]/450*MBQ[[#This Row],[QTY]]*2,0)+ROUNDUP(MBQ[[#This Row],[WIDTH (mm)]]/450*MBQ[[#This Row],[QTY]]*2,0)</f>
        <v>0</v>
      </c>
    </row>
    <row r="942" spans="1:23" hidden="1">
      <c r="A942" s="258">
        <v>1</v>
      </c>
      <c r="B942" s="259"/>
      <c r="C942" s="233"/>
      <c r="D942" s="260"/>
      <c r="E942" s="260"/>
      <c r="F942" s="261"/>
      <c r="G942" s="262"/>
      <c r="H942" s="262"/>
      <c r="I942" s="260"/>
      <c r="J942" s="233"/>
      <c r="K942" s="263"/>
      <c r="L942" s="260"/>
      <c r="M942" s="263"/>
      <c r="N942" s="263"/>
      <c r="O942" s="264"/>
      <c r="P942" s="264"/>
      <c r="Q942" s="265"/>
      <c r="R942" s="30">
        <f>MBQ[[#This Row],[HEIGHT (mm)]]*MBQ[[#This Row],[QTY TOTAL]]/1000</f>
        <v>0</v>
      </c>
      <c r="S942" s="30">
        <f>MBQ[[#This Row],[WIDTH (mm)]]*MBQ[[#This Row],[QTY TOTAL]]/1000</f>
        <v>0</v>
      </c>
      <c r="T942" s="9">
        <f>(MBQ[[#This Row],[HEIGHT (mm)]]+MBQ[[#This Row],[WIDTH (mm)]])/1000*2*MBQ[[#This Row],[QTY TOTAL]]</f>
        <v>0</v>
      </c>
      <c r="U942" s="266">
        <f>MBQ[[#This Row],[MULTIPLIER]]*MBQ[[#This Row],[QTY]]</f>
        <v>0</v>
      </c>
      <c r="V942" s="9">
        <f>MBQ[[#This Row],[HEIGHT (mm)]]/1000*MBQ[[#This Row],[WIDTH (mm)]]/1000*MBQ[[#This Row],[QTY TOTAL]]</f>
        <v>0</v>
      </c>
      <c r="W942" s="287">
        <f>ROUNDUP(MBQ[[#This Row],[HEIGHT (mm)]]/450*MBQ[[#This Row],[QTY]]*2,0)+ROUNDUP(MBQ[[#This Row],[WIDTH (mm)]]/450*MBQ[[#This Row],[QTY]]*2,0)</f>
        <v>0</v>
      </c>
    </row>
    <row r="943" spans="1:23" hidden="1">
      <c r="A943" s="258">
        <v>1</v>
      </c>
      <c r="B943" s="259"/>
      <c r="C943" s="233"/>
      <c r="D943" s="260"/>
      <c r="E943" s="260"/>
      <c r="F943" s="261"/>
      <c r="G943" s="262"/>
      <c r="H943" s="262"/>
      <c r="I943" s="260"/>
      <c r="J943" s="233"/>
      <c r="K943" s="263"/>
      <c r="L943" s="260"/>
      <c r="M943" s="263"/>
      <c r="N943" s="263"/>
      <c r="O943" s="264"/>
      <c r="P943" s="264"/>
      <c r="Q943" s="265"/>
      <c r="R943" s="30">
        <f>MBQ[[#This Row],[HEIGHT (mm)]]*MBQ[[#This Row],[QTY TOTAL]]/1000</f>
        <v>0</v>
      </c>
      <c r="S943" s="30">
        <f>MBQ[[#This Row],[WIDTH (mm)]]*MBQ[[#This Row],[QTY TOTAL]]/1000</f>
        <v>0</v>
      </c>
      <c r="T943" s="9">
        <f>(MBQ[[#This Row],[HEIGHT (mm)]]+MBQ[[#This Row],[WIDTH (mm)]])/1000*2*MBQ[[#This Row],[QTY TOTAL]]</f>
        <v>0</v>
      </c>
      <c r="U943" s="266">
        <f>MBQ[[#This Row],[MULTIPLIER]]*MBQ[[#This Row],[QTY]]</f>
        <v>0</v>
      </c>
      <c r="V943" s="9">
        <f>MBQ[[#This Row],[HEIGHT (mm)]]/1000*MBQ[[#This Row],[WIDTH (mm)]]/1000*MBQ[[#This Row],[QTY TOTAL]]</f>
        <v>0</v>
      </c>
      <c r="W943" s="287">
        <f>ROUNDUP(MBQ[[#This Row],[HEIGHT (mm)]]/450*MBQ[[#This Row],[QTY]]*2,0)+ROUNDUP(MBQ[[#This Row],[WIDTH (mm)]]/450*MBQ[[#This Row],[QTY]]*2,0)</f>
        <v>0</v>
      </c>
    </row>
    <row r="944" spans="1:23" hidden="1">
      <c r="A944" s="258">
        <v>1</v>
      </c>
      <c r="B944" s="259"/>
      <c r="C944" s="233"/>
      <c r="D944" s="260"/>
      <c r="E944" s="260"/>
      <c r="F944" s="261"/>
      <c r="G944" s="262"/>
      <c r="H944" s="262"/>
      <c r="I944" s="260"/>
      <c r="J944" s="233"/>
      <c r="K944" s="263"/>
      <c r="L944" s="260"/>
      <c r="M944" s="263"/>
      <c r="N944" s="263"/>
      <c r="O944" s="264"/>
      <c r="P944" s="264"/>
      <c r="Q944" s="265"/>
      <c r="R944" s="30">
        <f>MBQ[[#This Row],[HEIGHT (mm)]]*MBQ[[#This Row],[QTY TOTAL]]/1000</f>
        <v>0</v>
      </c>
      <c r="S944" s="30">
        <f>MBQ[[#This Row],[WIDTH (mm)]]*MBQ[[#This Row],[QTY TOTAL]]/1000</f>
        <v>0</v>
      </c>
      <c r="T944" s="9">
        <f>(MBQ[[#This Row],[HEIGHT (mm)]]+MBQ[[#This Row],[WIDTH (mm)]])/1000*2*MBQ[[#This Row],[QTY TOTAL]]</f>
        <v>0</v>
      </c>
      <c r="U944" s="266">
        <f>MBQ[[#This Row],[MULTIPLIER]]*MBQ[[#This Row],[QTY]]</f>
        <v>0</v>
      </c>
      <c r="V944" s="9">
        <f>MBQ[[#This Row],[HEIGHT (mm)]]/1000*MBQ[[#This Row],[WIDTH (mm)]]/1000*MBQ[[#This Row],[QTY TOTAL]]</f>
        <v>0</v>
      </c>
      <c r="W944" s="287">
        <f>ROUNDUP(MBQ[[#This Row],[HEIGHT (mm)]]/450*MBQ[[#This Row],[QTY]]*2,0)+ROUNDUP(MBQ[[#This Row],[WIDTH (mm)]]/450*MBQ[[#This Row],[QTY]]*2,0)</f>
        <v>0</v>
      </c>
    </row>
    <row r="945" spans="1:23" hidden="1">
      <c r="A945" s="258">
        <v>1</v>
      </c>
      <c r="B945" s="259"/>
      <c r="C945" s="233"/>
      <c r="D945" s="260"/>
      <c r="E945" s="260"/>
      <c r="F945" s="261"/>
      <c r="G945" s="262"/>
      <c r="H945" s="262"/>
      <c r="I945" s="260"/>
      <c r="J945" s="233"/>
      <c r="K945" s="263"/>
      <c r="L945" s="260"/>
      <c r="M945" s="263"/>
      <c r="N945" s="263"/>
      <c r="O945" s="264"/>
      <c r="P945" s="264"/>
      <c r="Q945" s="265"/>
      <c r="R945" s="30">
        <f>MBQ[[#This Row],[HEIGHT (mm)]]*MBQ[[#This Row],[QTY TOTAL]]/1000</f>
        <v>0</v>
      </c>
      <c r="S945" s="30">
        <f>MBQ[[#This Row],[WIDTH (mm)]]*MBQ[[#This Row],[QTY TOTAL]]/1000</f>
        <v>0</v>
      </c>
      <c r="T945" s="9">
        <f>(MBQ[[#This Row],[HEIGHT (mm)]]+MBQ[[#This Row],[WIDTH (mm)]])/1000*2*MBQ[[#This Row],[QTY TOTAL]]</f>
        <v>0</v>
      </c>
      <c r="U945" s="266">
        <f>MBQ[[#This Row],[MULTIPLIER]]*MBQ[[#This Row],[QTY]]</f>
        <v>0</v>
      </c>
      <c r="V945" s="9">
        <f>MBQ[[#This Row],[HEIGHT (mm)]]/1000*MBQ[[#This Row],[WIDTH (mm)]]/1000*MBQ[[#This Row],[QTY TOTAL]]</f>
        <v>0</v>
      </c>
      <c r="W945" s="287">
        <f>ROUNDUP(MBQ[[#This Row],[HEIGHT (mm)]]/450*MBQ[[#This Row],[QTY]]*2,0)+ROUNDUP(MBQ[[#This Row],[WIDTH (mm)]]/450*MBQ[[#This Row],[QTY]]*2,0)</f>
        <v>0</v>
      </c>
    </row>
    <row r="946" spans="1:23" hidden="1">
      <c r="A946" s="258">
        <v>1</v>
      </c>
      <c r="B946" s="259"/>
      <c r="C946" s="233"/>
      <c r="D946" s="260"/>
      <c r="E946" s="260"/>
      <c r="F946" s="261"/>
      <c r="G946" s="262"/>
      <c r="H946" s="262"/>
      <c r="I946" s="260"/>
      <c r="J946" s="233"/>
      <c r="K946" s="263"/>
      <c r="L946" s="260"/>
      <c r="M946" s="263"/>
      <c r="N946" s="263"/>
      <c r="O946" s="264"/>
      <c r="P946" s="264"/>
      <c r="Q946" s="265"/>
      <c r="R946" s="30">
        <f>MBQ[[#This Row],[HEIGHT (mm)]]*MBQ[[#This Row],[QTY TOTAL]]/1000</f>
        <v>0</v>
      </c>
      <c r="S946" s="30">
        <f>MBQ[[#This Row],[WIDTH (mm)]]*MBQ[[#This Row],[QTY TOTAL]]/1000</f>
        <v>0</v>
      </c>
      <c r="T946" s="9">
        <f>(MBQ[[#This Row],[HEIGHT (mm)]]+MBQ[[#This Row],[WIDTH (mm)]])/1000*2*MBQ[[#This Row],[QTY TOTAL]]</f>
        <v>0</v>
      </c>
      <c r="U946" s="266">
        <f>MBQ[[#This Row],[MULTIPLIER]]*MBQ[[#This Row],[QTY]]</f>
        <v>0</v>
      </c>
      <c r="V946" s="9">
        <f>MBQ[[#This Row],[HEIGHT (mm)]]/1000*MBQ[[#This Row],[WIDTH (mm)]]/1000*MBQ[[#This Row],[QTY TOTAL]]</f>
        <v>0</v>
      </c>
      <c r="W946" s="287">
        <f>ROUNDUP(MBQ[[#This Row],[HEIGHT (mm)]]/450*MBQ[[#This Row],[QTY]]*2,0)+ROUNDUP(MBQ[[#This Row],[WIDTH (mm)]]/450*MBQ[[#This Row],[QTY]]*2,0)</f>
        <v>0</v>
      </c>
    </row>
    <row r="947" spans="1:23" hidden="1">
      <c r="A947" s="258">
        <v>1</v>
      </c>
      <c r="B947" s="259"/>
      <c r="C947" s="233"/>
      <c r="D947" s="260"/>
      <c r="E947" s="260"/>
      <c r="F947" s="261"/>
      <c r="G947" s="262"/>
      <c r="H947" s="262"/>
      <c r="I947" s="260"/>
      <c r="J947" s="233"/>
      <c r="K947" s="263"/>
      <c r="L947" s="260"/>
      <c r="M947" s="263"/>
      <c r="N947" s="263"/>
      <c r="O947" s="264"/>
      <c r="P947" s="264"/>
      <c r="Q947" s="265"/>
      <c r="R947" s="30">
        <f>MBQ[[#This Row],[HEIGHT (mm)]]*MBQ[[#This Row],[QTY TOTAL]]/1000</f>
        <v>0</v>
      </c>
      <c r="S947" s="30">
        <f>MBQ[[#This Row],[WIDTH (mm)]]*MBQ[[#This Row],[QTY TOTAL]]/1000</f>
        <v>0</v>
      </c>
      <c r="T947" s="9">
        <f>(MBQ[[#This Row],[HEIGHT (mm)]]+MBQ[[#This Row],[WIDTH (mm)]])/1000*2*MBQ[[#This Row],[QTY TOTAL]]</f>
        <v>0</v>
      </c>
      <c r="U947" s="266">
        <f>MBQ[[#This Row],[MULTIPLIER]]*MBQ[[#This Row],[QTY]]</f>
        <v>0</v>
      </c>
      <c r="V947" s="9">
        <f>MBQ[[#This Row],[HEIGHT (mm)]]/1000*MBQ[[#This Row],[WIDTH (mm)]]/1000*MBQ[[#This Row],[QTY TOTAL]]</f>
        <v>0</v>
      </c>
      <c r="W947" s="287">
        <f>ROUNDUP(MBQ[[#This Row],[HEIGHT (mm)]]/450*MBQ[[#This Row],[QTY]]*2,0)+ROUNDUP(MBQ[[#This Row],[WIDTH (mm)]]/450*MBQ[[#This Row],[QTY]]*2,0)</f>
        <v>0</v>
      </c>
    </row>
    <row r="948" spans="1:23" hidden="1">
      <c r="A948" s="258">
        <v>1</v>
      </c>
      <c r="B948" s="259"/>
      <c r="C948" s="233"/>
      <c r="D948" s="260"/>
      <c r="E948" s="260"/>
      <c r="F948" s="261"/>
      <c r="G948" s="262"/>
      <c r="H948" s="262"/>
      <c r="I948" s="260"/>
      <c r="J948" s="233"/>
      <c r="K948" s="263"/>
      <c r="L948" s="260"/>
      <c r="M948" s="263"/>
      <c r="N948" s="263"/>
      <c r="O948" s="264"/>
      <c r="P948" s="264"/>
      <c r="Q948" s="265"/>
      <c r="R948" s="30">
        <f>MBQ[[#This Row],[HEIGHT (mm)]]*MBQ[[#This Row],[QTY TOTAL]]/1000</f>
        <v>0</v>
      </c>
      <c r="S948" s="30">
        <f>MBQ[[#This Row],[WIDTH (mm)]]*MBQ[[#This Row],[QTY TOTAL]]/1000</f>
        <v>0</v>
      </c>
      <c r="T948" s="9">
        <f>(MBQ[[#This Row],[HEIGHT (mm)]]+MBQ[[#This Row],[WIDTH (mm)]])/1000*2*MBQ[[#This Row],[QTY TOTAL]]</f>
        <v>0</v>
      </c>
      <c r="U948" s="266">
        <f>MBQ[[#This Row],[MULTIPLIER]]*MBQ[[#This Row],[QTY]]</f>
        <v>0</v>
      </c>
      <c r="V948" s="9">
        <f>MBQ[[#This Row],[HEIGHT (mm)]]/1000*MBQ[[#This Row],[WIDTH (mm)]]/1000*MBQ[[#This Row],[QTY TOTAL]]</f>
        <v>0</v>
      </c>
      <c r="W948" s="287">
        <f>ROUNDUP(MBQ[[#This Row],[HEIGHT (mm)]]/450*MBQ[[#This Row],[QTY]]*2,0)+ROUNDUP(MBQ[[#This Row],[WIDTH (mm)]]/450*MBQ[[#This Row],[QTY]]*2,0)</f>
        <v>0</v>
      </c>
    </row>
    <row r="949" spans="1:23" hidden="1">
      <c r="A949" s="258">
        <v>1</v>
      </c>
      <c r="B949" s="259"/>
      <c r="C949" s="233"/>
      <c r="D949" s="260"/>
      <c r="E949" s="260"/>
      <c r="F949" s="261"/>
      <c r="G949" s="262"/>
      <c r="H949" s="262"/>
      <c r="I949" s="260"/>
      <c r="J949" s="233"/>
      <c r="K949" s="263"/>
      <c r="L949" s="260"/>
      <c r="M949" s="263"/>
      <c r="N949" s="263"/>
      <c r="O949" s="264"/>
      <c r="P949" s="264"/>
      <c r="Q949" s="265"/>
      <c r="R949" s="30">
        <f>MBQ[[#This Row],[HEIGHT (mm)]]*MBQ[[#This Row],[QTY TOTAL]]/1000</f>
        <v>0</v>
      </c>
      <c r="S949" s="30">
        <f>MBQ[[#This Row],[WIDTH (mm)]]*MBQ[[#This Row],[QTY TOTAL]]/1000</f>
        <v>0</v>
      </c>
      <c r="T949" s="9">
        <f>(MBQ[[#This Row],[HEIGHT (mm)]]+MBQ[[#This Row],[WIDTH (mm)]])/1000*2*MBQ[[#This Row],[QTY TOTAL]]</f>
        <v>0</v>
      </c>
      <c r="U949" s="266">
        <f>MBQ[[#This Row],[MULTIPLIER]]*MBQ[[#This Row],[QTY]]</f>
        <v>0</v>
      </c>
      <c r="V949" s="9">
        <f>MBQ[[#This Row],[HEIGHT (mm)]]/1000*MBQ[[#This Row],[WIDTH (mm)]]/1000*MBQ[[#This Row],[QTY TOTAL]]</f>
        <v>0</v>
      </c>
      <c r="W949" s="287">
        <f>ROUNDUP(MBQ[[#This Row],[HEIGHT (mm)]]/450*MBQ[[#This Row],[QTY]]*2,0)+ROUNDUP(MBQ[[#This Row],[WIDTH (mm)]]/450*MBQ[[#This Row],[QTY]]*2,0)</f>
        <v>0</v>
      </c>
    </row>
    <row r="950" spans="1:23" hidden="1">
      <c r="A950" s="258">
        <v>1</v>
      </c>
      <c r="B950" s="259"/>
      <c r="C950" s="233"/>
      <c r="D950" s="260"/>
      <c r="E950" s="260"/>
      <c r="F950" s="261"/>
      <c r="G950" s="262"/>
      <c r="H950" s="262"/>
      <c r="I950" s="260"/>
      <c r="J950" s="233"/>
      <c r="K950" s="263"/>
      <c r="L950" s="260"/>
      <c r="M950" s="263"/>
      <c r="N950" s="263"/>
      <c r="O950" s="264"/>
      <c r="P950" s="264"/>
      <c r="Q950" s="265"/>
      <c r="R950" s="30">
        <f>MBQ[[#This Row],[HEIGHT (mm)]]*MBQ[[#This Row],[QTY TOTAL]]/1000</f>
        <v>0</v>
      </c>
      <c r="S950" s="30">
        <f>MBQ[[#This Row],[WIDTH (mm)]]*MBQ[[#This Row],[QTY TOTAL]]/1000</f>
        <v>0</v>
      </c>
      <c r="T950" s="9">
        <f>(MBQ[[#This Row],[HEIGHT (mm)]]+MBQ[[#This Row],[WIDTH (mm)]])/1000*2*MBQ[[#This Row],[QTY TOTAL]]</f>
        <v>0</v>
      </c>
      <c r="U950" s="266">
        <f>MBQ[[#This Row],[MULTIPLIER]]*MBQ[[#This Row],[QTY]]</f>
        <v>0</v>
      </c>
      <c r="V950" s="9">
        <f>MBQ[[#This Row],[HEIGHT (mm)]]/1000*MBQ[[#This Row],[WIDTH (mm)]]/1000*MBQ[[#This Row],[QTY TOTAL]]</f>
        <v>0</v>
      </c>
      <c r="W950" s="287">
        <f>ROUNDUP(MBQ[[#This Row],[HEIGHT (mm)]]/450*MBQ[[#This Row],[QTY]]*2,0)+ROUNDUP(MBQ[[#This Row],[WIDTH (mm)]]/450*MBQ[[#This Row],[QTY]]*2,0)</f>
        <v>0</v>
      </c>
    </row>
    <row r="951" spans="1:23" hidden="1">
      <c r="A951" s="258">
        <v>1</v>
      </c>
      <c r="B951" s="259"/>
      <c r="C951" s="233"/>
      <c r="D951" s="260"/>
      <c r="E951" s="260"/>
      <c r="F951" s="261"/>
      <c r="G951" s="262"/>
      <c r="H951" s="262"/>
      <c r="I951" s="260"/>
      <c r="J951" s="233"/>
      <c r="K951" s="263"/>
      <c r="L951" s="260"/>
      <c r="M951" s="263"/>
      <c r="N951" s="263"/>
      <c r="O951" s="264"/>
      <c r="P951" s="264"/>
      <c r="Q951" s="265"/>
      <c r="R951" s="30">
        <f>MBQ[[#This Row],[HEIGHT (mm)]]*MBQ[[#This Row],[QTY TOTAL]]/1000</f>
        <v>0</v>
      </c>
      <c r="S951" s="30">
        <f>MBQ[[#This Row],[WIDTH (mm)]]*MBQ[[#This Row],[QTY TOTAL]]/1000</f>
        <v>0</v>
      </c>
      <c r="T951" s="9">
        <f>(MBQ[[#This Row],[HEIGHT (mm)]]+MBQ[[#This Row],[WIDTH (mm)]])/1000*2*MBQ[[#This Row],[QTY TOTAL]]</f>
        <v>0</v>
      </c>
      <c r="U951" s="266">
        <f>MBQ[[#This Row],[MULTIPLIER]]*MBQ[[#This Row],[QTY]]</f>
        <v>0</v>
      </c>
      <c r="V951" s="9">
        <f>MBQ[[#This Row],[HEIGHT (mm)]]/1000*MBQ[[#This Row],[WIDTH (mm)]]/1000*MBQ[[#This Row],[QTY TOTAL]]</f>
        <v>0</v>
      </c>
      <c r="W951" s="287">
        <f>ROUNDUP(MBQ[[#This Row],[HEIGHT (mm)]]/450*MBQ[[#This Row],[QTY]]*2,0)+ROUNDUP(MBQ[[#This Row],[WIDTH (mm)]]/450*MBQ[[#This Row],[QTY]]*2,0)</f>
        <v>0</v>
      </c>
    </row>
    <row r="952" spans="1:23" hidden="1">
      <c r="A952" s="258">
        <v>1</v>
      </c>
      <c r="B952" s="259"/>
      <c r="C952" s="233"/>
      <c r="D952" s="260"/>
      <c r="E952" s="260"/>
      <c r="F952" s="261"/>
      <c r="G952" s="262"/>
      <c r="H952" s="262"/>
      <c r="I952" s="260"/>
      <c r="J952" s="233"/>
      <c r="K952" s="263"/>
      <c r="L952" s="260"/>
      <c r="M952" s="263"/>
      <c r="N952" s="263"/>
      <c r="O952" s="264"/>
      <c r="P952" s="264"/>
      <c r="Q952" s="265"/>
      <c r="R952" s="30">
        <f>MBQ[[#This Row],[HEIGHT (mm)]]*MBQ[[#This Row],[QTY TOTAL]]/1000</f>
        <v>0</v>
      </c>
      <c r="S952" s="30">
        <f>MBQ[[#This Row],[WIDTH (mm)]]*MBQ[[#This Row],[QTY TOTAL]]/1000</f>
        <v>0</v>
      </c>
      <c r="T952" s="9">
        <f>(MBQ[[#This Row],[HEIGHT (mm)]]+MBQ[[#This Row],[WIDTH (mm)]])/1000*2*MBQ[[#This Row],[QTY TOTAL]]</f>
        <v>0</v>
      </c>
      <c r="U952" s="266">
        <f>MBQ[[#This Row],[MULTIPLIER]]*MBQ[[#This Row],[QTY]]</f>
        <v>0</v>
      </c>
      <c r="V952" s="9">
        <f>MBQ[[#This Row],[HEIGHT (mm)]]/1000*MBQ[[#This Row],[WIDTH (mm)]]/1000*MBQ[[#This Row],[QTY TOTAL]]</f>
        <v>0</v>
      </c>
      <c r="W952" s="287">
        <f>ROUNDUP(MBQ[[#This Row],[HEIGHT (mm)]]/450*MBQ[[#This Row],[QTY]]*2,0)+ROUNDUP(MBQ[[#This Row],[WIDTH (mm)]]/450*MBQ[[#This Row],[QTY]]*2,0)</f>
        <v>0</v>
      </c>
    </row>
    <row r="953" spans="1:23" hidden="1">
      <c r="A953" s="258">
        <v>1</v>
      </c>
      <c r="B953" s="259"/>
      <c r="C953" s="233"/>
      <c r="D953" s="260"/>
      <c r="E953" s="260"/>
      <c r="F953" s="261"/>
      <c r="G953" s="262"/>
      <c r="H953" s="262"/>
      <c r="I953" s="260"/>
      <c r="J953" s="233"/>
      <c r="K953" s="263"/>
      <c r="L953" s="260"/>
      <c r="M953" s="263"/>
      <c r="N953" s="263"/>
      <c r="O953" s="264"/>
      <c r="P953" s="264"/>
      <c r="Q953" s="265"/>
      <c r="R953" s="30">
        <f>MBQ[[#This Row],[HEIGHT (mm)]]*MBQ[[#This Row],[QTY TOTAL]]/1000</f>
        <v>0</v>
      </c>
      <c r="S953" s="30">
        <f>MBQ[[#This Row],[WIDTH (mm)]]*MBQ[[#This Row],[QTY TOTAL]]/1000</f>
        <v>0</v>
      </c>
      <c r="T953" s="9">
        <f>(MBQ[[#This Row],[HEIGHT (mm)]]+MBQ[[#This Row],[WIDTH (mm)]])/1000*2*MBQ[[#This Row],[QTY TOTAL]]</f>
        <v>0</v>
      </c>
      <c r="U953" s="266">
        <f>MBQ[[#This Row],[MULTIPLIER]]*MBQ[[#This Row],[QTY]]</f>
        <v>0</v>
      </c>
      <c r="V953" s="9">
        <f>MBQ[[#This Row],[HEIGHT (mm)]]/1000*MBQ[[#This Row],[WIDTH (mm)]]/1000*MBQ[[#This Row],[QTY TOTAL]]</f>
        <v>0</v>
      </c>
      <c r="W953" s="287">
        <f>ROUNDUP(MBQ[[#This Row],[HEIGHT (mm)]]/450*MBQ[[#This Row],[QTY]]*2,0)+ROUNDUP(MBQ[[#This Row],[WIDTH (mm)]]/450*MBQ[[#This Row],[QTY]]*2,0)</f>
        <v>0</v>
      </c>
    </row>
    <row r="954" spans="1:23" hidden="1">
      <c r="A954" s="258">
        <v>1</v>
      </c>
      <c r="B954" s="259"/>
      <c r="C954" s="233"/>
      <c r="D954" s="260"/>
      <c r="E954" s="260"/>
      <c r="F954" s="261"/>
      <c r="G954" s="262"/>
      <c r="H954" s="262"/>
      <c r="I954" s="260"/>
      <c r="J954" s="233"/>
      <c r="K954" s="263"/>
      <c r="L954" s="260"/>
      <c r="M954" s="263"/>
      <c r="N954" s="263"/>
      <c r="O954" s="264"/>
      <c r="P954" s="264"/>
      <c r="Q954" s="265"/>
      <c r="R954" s="30">
        <f>MBQ[[#This Row],[HEIGHT (mm)]]*MBQ[[#This Row],[QTY TOTAL]]/1000</f>
        <v>0</v>
      </c>
      <c r="S954" s="30">
        <f>MBQ[[#This Row],[WIDTH (mm)]]*MBQ[[#This Row],[QTY TOTAL]]/1000</f>
        <v>0</v>
      </c>
      <c r="T954" s="9">
        <f>(MBQ[[#This Row],[HEIGHT (mm)]]+MBQ[[#This Row],[WIDTH (mm)]])/1000*2*MBQ[[#This Row],[QTY TOTAL]]</f>
        <v>0</v>
      </c>
      <c r="U954" s="266">
        <f>MBQ[[#This Row],[MULTIPLIER]]*MBQ[[#This Row],[QTY]]</f>
        <v>0</v>
      </c>
      <c r="V954" s="9">
        <f>MBQ[[#This Row],[HEIGHT (mm)]]/1000*MBQ[[#This Row],[WIDTH (mm)]]/1000*MBQ[[#This Row],[QTY TOTAL]]</f>
        <v>0</v>
      </c>
      <c r="W954" s="287">
        <f>ROUNDUP(MBQ[[#This Row],[HEIGHT (mm)]]/450*MBQ[[#This Row],[QTY]]*2,0)+ROUNDUP(MBQ[[#This Row],[WIDTH (mm)]]/450*MBQ[[#This Row],[QTY]]*2,0)</f>
        <v>0</v>
      </c>
    </row>
    <row r="955" spans="1:23" hidden="1">
      <c r="A955" s="258">
        <v>1</v>
      </c>
      <c r="B955" s="259"/>
      <c r="C955" s="233"/>
      <c r="D955" s="260"/>
      <c r="E955" s="260"/>
      <c r="F955" s="261"/>
      <c r="G955" s="262"/>
      <c r="H955" s="262"/>
      <c r="I955" s="260"/>
      <c r="J955" s="233"/>
      <c r="K955" s="263"/>
      <c r="L955" s="260"/>
      <c r="M955" s="263"/>
      <c r="N955" s="263"/>
      <c r="O955" s="264"/>
      <c r="P955" s="264"/>
      <c r="Q955" s="265"/>
      <c r="R955" s="30">
        <f>MBQ[[#This Row],[HEIGHT (mm)]]*MBQ[[#This Row],[QTY TOTAL]]/1000</f>
        <v>0</v>
      </c>
      <c r="S955" s="30">
        <f>MBQ[[#This Row],[WIDTH (mm)]]*MBQ[[#This Row],[QTY TOTAL]]/1000</f>
        <v>0</v>
      </c>
      <c r="T955" s="9">
        <f>(MBQ[[#This Row],[HEIGHT (mm)]]+MBQ[[#This Row],[WIDTH (mm)]])/1000*2*MBQ[[#This Row],[QTY TOTAL]]</f>
        <v>0</v>
      </c>
      <c r="U955" s="266">
        <f>MBQ[[#This Row],[MULTIPLIER]]*MBQ[[#This Row],[QTY]]</f>
        <v>0</v>
      </c>
      <c r="V955" s="9">
        <f>MBQ[[#This Row],[HEIGHT (mm)]]/1000*MBQ[[#This Row],[WIDTH (mm)]]/1000*MBQ[[#This Row],[QTY TOTAL]]</f>
        <v>0</v>
      </c>
      <c r="W955" s="287">
        <f>ROUNDUP(MBQ[[#This Row],[HEIGHT (mm)]]/450*MBQ[[#This Row],[QTY]]*2,0)+ROUNDUP(MBQ[[#This Row],[WIDTH (mm)]]/450*MBQ[[#This Row],[QTY]]*2,0)</f>
        <v>0</v>
      </c>
    </row>
    <row r="956" spans="1:23" hidden="1">
      <c r="A956" s="258">
        <v>1</v>
      </c>
      <c r="B956" s="259"/>
      <c r="C956" s="233"/>
      <c r="D956" s="260"/>
      <c r="E956" s="260"/>
      <c r="F956" s="261"/>
      <c r="G956" s="262"/>
      <c r="H956" s="262"/>
      <c r="I956" s="260"/>
      <c r="J956" s="233"/>
      <c r="K956" s="263"/>
      <c r="L956" s="260"/>
      <c r="M956" s="263"/>
      <c r="N956" s="263"/>
      <c r="O956" s="264"/>
      <c r="P956" s="264"/>
      <c r="Q956" s="265"/>
      <c r="R956" s="30">
        <f>MBQ[[#This Row],[HEIGHT (mm)]]*MBQ[[#This Row],[QTY TOTAL]]/1000</f>
        <v>0</v>
      </c>
      <c r="S956" s="30">
        <f>MBQ[[#This Row],[WIDTH (mm)]]*MBQ[[#This Row],[QTY TOTAL]]/1000</f>
        <v>0</v>
      </c>
      <c r="T956" s="9">
        <f>(MBQ[[#This Row],[HEIGHT (mm)]]+MBQ[[#This Row],[WIDTH (mm)]])/1000*2*MBQ[[#This Row],[QTY TOTAL]]</f>
        <v>0</v>
      </c>
      <c r="U956" s="266">
        <f>MBQ[[#This Row],[MULTIPLIER]]*MBQ[[#This Row],[QTY]]</f>
        <v>0</v>
      </c>
      <c r="V956" s="9">
        <f>MBQ[[#This Row],[HEIGHT (mm)]]/1000*MBQ[[#This Row],[WIDTH (mm)]]/1000*MBQ[[#This Row],[QTY TOTAL]]</f>
        <v>0</v>
      </c>
      <c r="W956" s="287">
        <f>ROUNDUP(MBQ[[#This Row],[HEIGHT (mm)]]/450*MBQ[[#This Row],[QTY]]*2,0)+ROUNDUP(MBQ[[#This Row],[WIDTH (mm)]]/450*MBQ[[#This Row],[QTY]]*2,0)</f>
        <v>0</v>
      </c>
    </row>
    <row r="957" spans="1:23" hidden="1">
      <c r="A957" s="258">
        <v>1</v>
      </c>
      <c r="B957" s="259"/>
      <c r="C957" s="233"/>
      <c r="D957" s="260"/>
      <c r="E957" s="260"/>
      <c r="F957" s="261"/>
      <c r="G957" s="262"/>
      <c r="H957" s="262"/>
      <c r="I957" s="260"/>
      <c r="J957" s="233"/>
      <c r="K957" s="263"/>
      <c r="L957" s="260"/>
      <c r="M957" s="263"/>
      <c r="N957" s="263"/>
      <c r="O957" s="264"/>
      <c r="P957" s="264"/>
      <c r="Q957" s="265"/>
      <c r="R957" s="30">
        <f>MBQ[[#This Row],[HEIGHT (mm)]]*MBQ[[#This Row],[QTY TOTAL]]/1000</f>
        <v>0</v>
      </c>
      <c r="S957" s="30">
        <f>MBQ[[#This Row],[WIDTH (mm)]]*MBQ[[#This Row],[QTY TOTAL]]/1000</f>
        <v>0</v>
      </c>
      <c r="T957" s="9">
        <f>(MBQ[[#This Row],[HEIGHT (mm)]]+MBQ[[#This Row],[WIDTH (mm)]])/1000*2*MBQ[[#This Row],[QTY TOTAL]]</f>
        <v>0</v>
      </c>
      <c r="U957" s="266">
        <f>MBQ[[#This Row],[MULTIPLIER]]*MBQ[[#This Row],[QTY]]</f>
        <v>0</v>
      </c>
      <c r="V957" s="9">
        <f>MBQ[[#This Row],[HEIGHT (mm)]]/1000*MBQ[[#This Row],[WIDTH (mm)]]/1000*MBQ[[#This Row],[QTY TOTAL]]</f>
        <v>0</v>
      </c>
      <c r="W957" s="287">
        <f>ROUNDUP(MBQ[[#This Row],[HEIGHT (mm)]]/450*MBQ[[#This Row],[QTY]]*2,0)+ROUNDUP(MBQ[[#This Row],[WIDTH (mm)]]/450*MBQ[[#This Row],[QTY]]*2,0)</f>
        <v>0</v>
      </c>
    </row>
    <row r="958" spans="1:23" hidden="1">
      <c r="A958" s="258">
        <v>1</v>
      </c>
      <c r="B958" s="259"/>
      <c r="C958" s="233"/>
      <c r="D958" s="260"/>
      <c r="E958" s="260"/>
      <c r="F958" s="261"/>
      <c r="G958" s="262"/>
      <c r="H958" s="262"/>
      <c r="I958" s="260"/>
      <c r="J958" s="233"/>
      <c r="K958" s="263"/>
      <c r="L958" s="260"/>
      <c r="M958" s="263"/>
      <c r="N958" s="263"/>
      <c r="O958" s="264"/>
      <c r="P958" s="264"/>
      <c r="Q958" s="265"/>
      <c r="R958" s="30">
        <f>MBQ[[#This Row],[HEIGHT (mm)]]*MBQ[[#This Row],[QTY TOTAL]]/1000</f>
        <v>0</v>
      </c>
      <c r="S958" s="30">
        <f>MBQ[[#This Row],[WIDTH (mm)]]*MBQ[[#This Row],[QTY TOTAL]]/1000</f>
        <v>0</v>
      </c>
      <c r="T958" s="9">
        <f>(MBQ[[#This Row],[HEIGHT (mm)]]+MBQ[[#This Row],[WIDTH (mm)]])/1000*2*MBQ[[#This Row],[QTY TOTAL]]</f>
        <v>0</v>
      </c>
      <c r="U958" s="266">
        <f>MBQ[[#This Row],[MULTIPLIER]]*MBQ[[#This Row],[QTY]]</f>
        <v>0</v>
      </c>
      <c r="V958" s="9">
        <f>MBQ[[#This Row],[HEIGHT (mm)]]/1000*MBQ[[#This Row],[WIDTH (mm)]]/1000*MBQ[[#This Row],[QTY TOTAL]]</f>
        <v>0</v>
      </c>
      <c r="W958" s="287">
        <f>ROUNDUP(MBQ[[#This Row],[HEIGHT (mm)]]/450*MBQ[[#This Row],[QTY]]*2,0)+ROUNDUP(MBQ[[#This Row],[WIDTH (mm)]]/450*MBQ[[#This Row],[QTY]]*2,0)</f>
        <v>0</v>
      </c>
    </row>
    <row r="959" spans="1:23" hidden="1">
      <c r="A959" s="258">
        <v>1</v>
      </c>
      <c r="B959" s="259"/>
      <c r="C959" s="233"/>
      <c r="D959" s="260"/>
      <c r="E959" s="260"/>
      <c r="F959" s="261"/>
      <c r="G959" s="262"/>
      <c r="H959" s="262"/>
      <c r="I959" s="260"/>
      <c r="J959" s="233"/>
      <c r="K959" s="263"/>
      <c r="L959" s="260"/>
      <c r="M959" s="263"/>
      <c r="N959" s="263"/>
      <c r="O959" s="264"/>
      <c r="P959" s="264"/>
      <c r="Q959" s="265"/>
      <c r="R959" s="30">
        <f>MBQ[[#This Row],[HEIGHT (mm)]]*MBQ[[#This Row],[QTY TOTAL]]/1000</f>
        <v>0</v>
      </c>
      <c r="S959" s="30">
        <f>MBQ[[#This Row],[WIDTH (mm)]]*MBQ[[#This Row],[QTY TOTAL]]/1000</f>
        <v>0</v>
      </c>
      <c r="T959" s="9">
        <f>(MBQ[[#This Row],[HEIGHT (mm)]]+MBQ[[#This Row],[WIDTH (mm)]])/1000*2*MBQ[[#This Row],[QTY TOTAL]]</f>
        <v>0</v>
      </c>
      <c r="U959" s="266">
        <f>MBQ[[#This Row],[MULTIPLIER]]*MBQ[[#This Row],[QTY]]</f>
        <v>0</v>
      </c>
      <c r="V959" s="9">
        <f>MBQ[[#This Row],[HEIGHT (mm)]]/1000*MBQ[[#This Row],[WIDTH (mm)]]/1000*MBQ[[#This Row],[QTY TOTAL]]</f>
        <v>0</v>
      </c>
      <c r="W959" s="287">
        <f>ROUNDUP(MBQ[[#This Row],[HEIGHT (mm)]]/450*MBQ[[#This Row],[QTY]]*2,0)+ROUNDUP(MBQ[[#This Row],[WIDTH (mm)]]/450*MBQ[[#This Row],[QTY]]*2,0)</f>
        <v>0</v>
      </c>
    </row>
    <row r="960" spans="1:23" hidden="1">
      <c r="A960" s="258">
        <v>1</v>
      </c>
      <c r="B960" s="259"/>
      <c r="C960" s="233"/>
      <c r="D960" s="260"/>
      <c r="E960" s="260"/>
      <c r="F960" s="261"/>
      <c r="G960" s="262"/>
      <c r="H960" s="262"/>
      <c r="I960" s="260"/>
      <c r="J960" s="233"/>
      <c r="K960" s="263"/>
      <c r="L960" s="260"/>
      <c r="M960" s="263"/>
      <c r="N960" s="263"/>
      <c r="O960" s="264"/>
      <c r="P960" s="264"/>
      <c r="Q960" s="265"/>
      <c r="R960" s="30">
        <f>MBQ[[#This Row],[HEIGHT (mm)]]*MBQ[[#This Row],[QTY TOTAL]]/1000</f>
        <v>0</v>
      </c>
      <c r="S960" s="30">
        <f>MBQ[[#This Row],[WIDTH (mm)]]*MBQ[[#This Row],[QTY TOTAL]]/1000</f>
        <v>0</v>
      </c>
      <c r="T960" s="9">
        <f>(MBQ[[#This Row],[HEIGHT (mm)]]+MBQ[[#This Row],[WIDTH (mm)]])/1000*2*MBQ[[#This Row],[QTY TOTAL]]</f>
        <v>0</v>
      </c>
      <c r="U960" s="266">
        <f>MBQ[[#This Row],[MULTIPLIER]]*MBQ[[#This Row],[QTY]]</f>
        <v>0</v>
      </c>
      <c r="V960" s="9">
        <f>MBQ[[#This Row],[HEIGHT (mm)]]/1000*MBQ[[#This Row],[WIDTH (mm)]]/1000*MBQ[[#This Row],[QTY TOTAL]]</f>
        <v>0</v>
      </c>
      <c r="W960" s="287">
        <f>ROUNDUP(MBQ[[#This Row],[HEIGHT (mm)]]/450*MBQ[[#This Row],[QTY]]*2,0)+ROUNDUP(MBQ[[#This Row],[WIDTH (mm)]]/450*MBQ[[#This Row],[QTY]]*2,0)</f>
        <v>0</v>
      </c>
    </row>
    <row r="961" spans="1:23" hidden="1">
      <c r="A961" s="258">
        <v>1</v>
      </c>
      <c r="B961" s="259"/>
      <c r="C961" s="233"/>
      <c r="D961" s="260"/>
      <c r="E961" s="260"/>
      <c r="F961" s="261"/>
      <c r="G961" s="262"/>
      <c r="H961" s="262"/>
      <c r="I961" s="260"/>
      <c r="J961" s="233"/>
      <c r="K961" s="263"/>
      <c r="L961" s="260"/>
      <c r="M961" s="263"/>
      <c r="N961" s="263"/>
      <c r="O961" s="264"/>
      <c r="P961" s="264"/>
      <c r="Q961" s="265"/>
      <c r="R961" s="30">
        <f>MBQ[[#This Row],[HEIGHT (mm)]]*MBQ[[#This Row],[QTY TOTAL]]/1000</f>
        <v>0</v>
      </c>
      <c r="S961" s="30">
        <f>MBQ[[#This Row],[WIDTH (mm)]]*MBQ[[#This Row],[QTY TOTAL]]/1000</f>
        <v>0</v>
      </c>
      <c r="T961" s="9">
        <f>(MBQ[[#This Row],[HEIGHT (mm)]]+MBQ[[#This Row],[WIDTH (mm)]])/1000*2*MBQ[[#This Row],[QTY TOTAL]]</f>
        <v>0</v>
      </c>
      <c r="U961" s="266">
        <f>MBQ[[#This Row],[MULTIPLIER]]*MBQ[[#This Row],[QTY]]</f>
        <v>0</v>
      </c>
      <c r="V961" s="9">
        <f>MBQ[[#This Row],[HEIGHT (mm)]]/1000*MBQ[[#This Row],[WIDTH (mm)]]/1000*MBQ[[#This Row],[QTY TOTAL]]</f>
        <v>0</v>
      </c>
      <c r="W961" s="287">
        <f>ROUNDUP(MBQ[[#This Row],[HEIGHT (mm)]]/450*MBQ[[#This Row],[QTY]]*2,0)+ROUNDUP(MBQ[[#This Row],[WIDTH (mm)]]/450*MBQ[[#This Row],[QTY]]*2,0)</f>
        <v>0</v>
      </c>
    </row>
    <row r="962" spans="1:23" hidden="1">
      <c r="A962" s="258">
        <v>1</v>
      </c>
      <c r="B962" s="259"/>
      <c r="C962" s="233"/>
      <c r="D962" s="260"/>
      <c r="E962" s="260"/>
      <c r="F962" s="261"/>
      <c r="G962" s="262"/>
      <c r="H962" s="262"/>
      <c r="I962" s="260"/>
      <c r="J962" s="233"/>
      <c r="K962" s="263"/>
      <c r="L962" s="260"/>
      <c r="M962" s="263"/>
      <c r="N962" s="263"/>
      <c r="O962" s="264"/>
      <c r="P962" s="264"/>
      <c r="Q962" s="265"/>
      <c r="R962" s="30">
        <f>MBQ[[#This Row],[HEIGHT (mm)]]*MBQ[[#This Row],[QTY TOTAL]]/1000</f>
        <v>0</v>
      </c>
      <c r="S962" s="30">
        <f>MBQ[[#This Row],[WIDTH (mm)]]*MBQ[[#This Row],[QTY TOTAL]]/1000</f>
        <v>0</v>
      </c>
      <c r="T962" s="9">
        <f>(MBQ[[#This Row],[HEIGHT (mm)]]+MBQ[[#This Row],[WIDTH (mm)]])/1000*2*MBQ[[#This Row],[QTY TOTAL]]</f>
        <v>0</v>
      </c>
      <c r="U962" s="266">
        <f>MBQ[[#This Row],[MULTIPLIER]]*MBQ[[#This Row],[QTY]]</f>
        <v>0</v>
      </c>
      <c r="V962" s="9">
        <f>MBQ[[#This Row],[HEIGHT (mm)]]/1000*MBQ[[#This Row],[WIDTH (mm)]]/1000*MBQ[[#This Row],[QTY TOTAL]]</f>
        <v>0</v>
      </c>
      <c r="W962" s="287">
        <f>ROUNDUP(MBQ[[#This Row],[HEIGHT (mm)]]/450*MBQ[[#This Row],[QTY]]*2,0)+ROUNDUP(MBQ[[#This Row],[WIDTH (mm)]]/450*MBQ[[#This Row],[QTY]]*2,0)</f>
        <v>0</v>
      </c>
    </row>
    <row r="963" spans="1:23" hidden="1">
      <c r="A963" s="258">
        <v>1</v>
      </c>
      <c r="B963" s="259"/>
      <c r="C963" s="233"/>
      <c r="D963" s="260"/>
      <c r="E963" s="260"/>
      <c r="F963" s="261"/>
      <c r="G963" s="262"/>
      <c r="H963" s="262"/>
      <c r="I963" s="260"/>
      <c r="J963" s="233"/>
      <c r="K963" s="263"/>
      <c r="L963" s="260"/>
      <c r="M963" s="263"/>
      <c r="N963" s="263"/>
      <c r="O963" s="264"/>
      <c r="P963" s="264"/>
      <c r="Q963" s="265"/>
      <c r="R963" s="30">
        <f>MBQ[[#This Row],[HEIGHT (mm)]]*MBQ[[#This Row],[QTY TOTAL]]/1000</f>
        <v>0</v>
      </c>
      <c r="S963" s="30">
        <f>MBQ[[#This Row],[WIDTH (mm)]]*MBQ[[#This Row],[QTY TOTAL]]/1000</f>
        <v>0</v>
      </c>
      <c r="T963" s="9">
        <f>(MBQ[[#This Row],[HEIGHT (mm)]]+MBQ[[#This Row],[WIDTH (mm)]])/1000*2*MBQ[[#This Row],[QTY TOTAL]]</f>
        <v>0</v>
      </c>
      <c r="U963" s="266">
        <f>MBQ[[#This Row],[MULTIPLIER]]*MBQ[[#This Row],[QTY]]</f>
        <v>0</v>
      </c>
      <c r="V963" s="9">
        <f>MBQ[[#This Row],[HEIGHT (mm)]]/1000*MBQ[[#This Row],[WIDTH (mm)]]/1000*MBQ[[#This Row],[QTY TOTAL]]</f>
        <v>0</v>
      </c>
      <c r="W963" s="287">
        <f>ROUNDUP(MBQ[[#This Row],[HEIGHT (mm)]]/450*MBQ[[#This Row],[QTY]]*2,0)+ROUNDUP(MBQ[[#This Row],[WIDTH (mm)]]/450*MBQ[[#This Row],[QTY]]*2,0)</f>
        <v>0</v>
      </c>
    </row>
    <row r="964" spans="1:23" hidden="1">
      <c r="A964" s="258">
        <v>1</v>
      </c>
      <c r="B964" s="259"/>
      <c r="C964" s="233"/>
      <c r="D964" s="260"/>
      <c r="E964" s="260"/>
      <c r="F964" s="261"/>
      <c r="G964" s="262"/>
      <c r="H964" s="262"/>
      <c r="I964" s="260"/>
      <c r="J964" s="233"/>
      <c r="K964" s="263"/>
      <c r="L964" s="260"/>
      <c r="M964" s="263"/>
      <c r="N964" s="263"/>
      <c r="O964" s="264"/>
      <c r="P964" s="264"/>
      <c r="Q964" s="265"/>
      <c r="R964" s="30">
        <f>MBQ[[#This Row],[HEIGHT (mm)]]*MBQ[[#This Row],[QTY TOTAL]]/1000</f>
        <v>0</v>
      </c>
      <c r="S964" s="30">
        <f>MBQ[[#This Row],[WIDTH (mm)]]*MBQ[[#This Row],[QTY TOTAL]]/1000</f>
        <v>0</v>
      </c>
      <c r="T964" s="9">
        <f>(MBQ[[#This Row],[HEIGHT (mm)]]+MBQ[[#This Row],[WIDTH (mm)]])/1000*2*MBQ[[#This Row],[QTY TOTAL]]</f>
        <v>0</v>
      </c>
      <c r="U964" s="266">
        <f>MBQ[[#This Row],[MULTIPLIER]]*MBQ[[#This Row],[QTY]]</f>
        <v>0</v>
      </c>
      <c r="V964" s="9">
        <f>MBQ[[#This Row],[HEIGHT (mm)]]/1000*MBQ[[#This Row],[WIDTH (mm)]]/1000*MBQ[[#This Row],[QTY TOTAL]]</f>
        <v>0</v>
      </c>
      <c r="W964" s="287">
        <f>ROUNDUP(MBQ[[#This Row],[HEIGHT (mm)]]/450*MBQ[[#This Row],[QTY]]*2,0)+ROUNDUP(MBQ[[#This Row],[WIDTH (mm)]]/450*MBQ[[#This Row],[QTY]]*2,0)</f>
        <v>0</v>
      </c>
    </row>
    <row r="965" spans="1:23" hidden="1">
      <c r="A965" s="258">
        <v>1</v>
      </c>
      <c r="B965" s="259"/>
      <c r="C965" s="233"/>
      <c r="D965" s="260"/>
      <c r="E965" s="260"/>
      <c r="F965" s="261"/>
      <c r="G965" s="262"/>
      <c r="H965" s="262"/>
      <c r="I965" s="260"/>
      <c r="J965" s="233"/>
      <c r="K965" s="263"/>
      <c r="L965" s="260"/>
      <c r="M965" s="263"/>
      <c r="N965" s="263"/>
      <c r="O965" s="264"/>
      <c r="P965" s="264"/>
      <c r="Q965" s="265"/>
      <c r="R965" s="30">
        <f>MBQ[[#This Row],[HEIGHT (mm)]]*MBQ[[#This Row],[QTY TOTAL]]/1000</f>
        <v>0</v>
      </c>
      <c r="S965" s="30">
        <f>MBQ[[#This Row],[WIDTH (mm)]]*MBQ[[#This Row],[QTY TOTAL]]/1000</f>
        <v>0</v>
      </c>
      <c r="T965" s="9">
        <f>(MBQ[[#This Row],[HEIGHT (mm)]]+MBQ[[#This Row],[WIDTH (mm)]])/1000*2*MBQ[[#This Row],[QTY TOTAL]]</f>
        <v>0</v>
      </c>
      <c r="U965" s="266">
        <f>MBQ[[#This Row],[MULTIPLIER]]*MBQ[[#This Row],[QTY]]</f>
        <v>0</v>
      </c>
      <c r="V965" s="9">
        <f>MBQ[[#This Row],[HEIGHT (mm)]]/1000*MBQ[[#This Row],[WIDTH (mm)]]/1000*MBQ[[#This Row],[QTY TOTAL]]</f>
        <v>0</v>
      </c>
      <c r="W965" s="287">
        <f>ROUNDUP(MBQ[[#This Row],[HEIGHT (mm)]]/450*MBQ[[#This Row],[QTY]]*2,0)+ROUNDUP(MBQ[[#This Row],[WIDTH (mm)]]/450*MBQ[[#This Row],[QTY]]*2,0)</f>
        <v>0</v>
      </c>
    </row>
    <row r="966" spans="1:23" hidden="1">
      <c r="A966" s="258">
        <v>1</v>
      </c>
      <c r="B966" s="259"/>
      <c r="C966" s="233"/>
      <c r="D966" s="260"/>
      <c r="E966" s="260"/>
      <c r="F966" s="261"/>
      <c r="G966" s="262"/>
      <c r="H966" s="262"/>
      <c r="I966" s="260"/>
      <c r="J966" s="233"/>
      <c r="K966" s="263"/>
      <c r="L966" s="260"/>
      <c r="M966" s="263"/>
      <c r="N966" s="263"/>
      <c r="O966" s="264"/>
      <c r="P966" s="264"/>
      <c r="Q966" s="265"/>
      <c r="R966" s="30">
        <f>MBQ[[#This Row],[HEIGHT (mm)]]*MBQ[[#This Row],[QTY TOTAL]]/1000</f>
        <v>0</v>
      </c>
      <c r="S966" s="30">
        <f>MBQ[[#This Row],[WIDTH (mm)]]*MBQ[[#This Row],[QTY TOTAL]]/1000</f>
        <v>0</v>
      </c>
      <c r="T966" s="9">
        <f>(MBQ[[#This Row],[HEIGHT (mm)]]+MBQ[[#This Row],[WIDTH (mm)]])/1000*2*MBQ[[#This Row],[QTY TOTAL]]</f>
        <v>0</v>
      </c>
      <c r="U966" s="266">
        <f>MBQ[[#This Row],[MULTIPLIER]]*MBQ[[#This Row],[QTY]]</f>
        <v>0</v>
      </c>
      <c r="V966" s="9">
        <f>MBQ[[#This Row],[HEIGHT (mm)]]/1000*MBQ[[#This Row],[WIDTH (mm)]]/1000*MBQ[[#This Row],[QTY TOTAL]]</f>
        <v>0</v>
      </c>
      <c r="W966" s="287">
        <f>ROUNDUP(MBQ[[#This Row],[HEIGHT (mm)]]/450*MBQ[[#This Row],[QTY]]*2,0)+ROUNDUP(MBQ[[#This Row],[WIDTH (mm)]]/450*MBQ[[#This Row],[QTY]]*2,0)</f>
        <v>0</v>
      </c>
    </row>
    <row r="967" spans="1:23" hidden="1">
      <c r="A967" s="258">
        <v>1</v>
      </c>
      <c r="B967" s="259"/>
      <c r="C967" s="233"/>
      <c r="D967" s="260"/>
      <c r="E967" s="260"/>
      <c r="F967" s="261"/>
      <c r="G967" s="262"/>
      <c r="H967" s="262"/>
      <c r="I967" s="260"/>
      <c r="J967" s="233"/>
      <c r="K967" s="263"/>
      <c r="L967" s="260"/>
      <c r="M967" s="263"/>
      <c r="N967" s="263"/>
      <c r="O967" s="264"/>
      <c r="P967" s="264"/>
      <c r="Q967" s="265"/>
      <c r="R967" s="30">
        <f>MBQ[[#This Row],[HEIGHT (mm)]]*MBQ[[#This Row],[QTY TOTAL]]/1000</f>
        <v>0</v>
      </c>
      <c r="S967" s="30">
        <f>MBQ[[#This Row],[WIDTH (mm)]]*MBQ[[#This Row],[QTY TOTAL]]/1000</f>
        <v>0</v>
      </c>
      <c r="T967" s="9">
        <f>(MBQ[[#This Row],[HEIGHT (mm)]]+MBQ[[#This Row],[WIDTH (mm)]])/1000*2*MBQ[[#This Row],[QTY TOTAL]]</f>
        <v>0</v>
      </c>
      <c r="U967" s="266">
        <f>MBQ[[#This Row],[MULTIPLIER]]*MBQ[[#This Row],[QTY]]</f>
        <v>0</v>
      </c>
      <c r="V967" s="9">
        <f>MBQ[[#This Row],[HEIGHT (mm)]]/1000*MBQ[[#This Row],[WIDTH (mm)]]/1000*MBQ[[#This Row],[QTY TOTAL]]</f>
        <v>0</v>
      </c>
      <c r="W967" s="287">
        <f>ROUNDUP(MBQ[[#This Row],[HEIGHT (mm)]]/450*MBQ[[#This Row],[QTY]]*2,0)+ROUNDUP(MBQ[[#This Row],[WIDTH (mm)]]/450*MBQ[[#This Row],[QTY]]*2,0)</f>
        <v>0</v>
      </c>
    </row>
    <row r="968" spans="1:23" hidden="1">
      <c r="A968" s="258">
        <v>1</v>
      </c>
      <c r="B968" s="259"/>
      <c r="C968" s="233"/>
      <c r="D968" s="260"/>
      <c r="E968" s="260"/>
      <c r="F968" s="261"/>
      <c r="G968" s="262"/>
      <c r="H968" s="262"/>
      <c r="I968" s="260"/>
      <c r="J968" s="233"/>
      <c r="K968" s="263"/>
      <c r="L968" s="260"/>
      <c r="M968" s="263"/>
      <c r="N968" s="263"/>
      <c r="O968" s="264"/>
      <c r="P968" s="264"/>
      <c r="Q968" s="265"/>
      <c r="R968" s="30">
        <f>MBQ[[#This Row],[HEIGHT (mm)]]*MBQ[[#This Row],[QTY TOTAL]]/1000</f>
        <v>0</v>
      </c>
      <c r="S968" s="30">
        <f>MBQ[[#This Row],[WIDTH (mm)]]*MBQ[[#This Row],[QTY TOTAL]]/1000</f>
        <v>0</v>
      </c>
      <c r="T968" s="9">
        <f>(MBQ[[#This Row],[HEIGHT (mm)]]+MBQ[[#This Row],[WIDTH (mm)]])/1000*2*MBQ[[#This Row],[QTY TOTAL]]</f>
        <v>0</v>
      </c>
      <c r="U968" s="266">
        <f>MBQ[[#This Row],[MULTIPLIER]]*MBQ[[#This Row],[QTY]]</f>
        <v>0</v>
      </c>
      <c r="V968" s="9">
        <f>MBQ[[#This Row],[HEIGHT (mm)]]/1000*MBQ[[#This Row],[WIDTH (mm)]]/1000*MBQ[[#This Row],[QTY TOTAL]]</f>
        <v>0</v>
      </c>
      <c r="W968" s="287">
        <f>ROUNDUP(MBQ[[#This Row],[HEIGHT (mm)]]/450*MBQ[[#This Row],[QTY]]*2,0)+ROUNDUP(MBQ[[#This Row],[WIDTH (mm)]]/450*MBQ[[#This Row],[QTY]]*2,0)</f>
        <v>0</v>
      </c>
    </row>
    <row r="969" spans="1:23" hidden="1">
      <c r="A969" s="258">
        <v>1</v>
      </c>
      <c r="B969" s="259"/>
      <c r="C969" s="233"/>
      <c r="D969" s="260"/>
      <c r="E969" s="260"/>
      <c r="F969" s="261"/>
      <c r="G969" s="262"/>
      <c r="H969" s="262"/>
      <c r="I969" s="260"/>
      <c r="J969" s="233"/>
      <c r="K969" s="263"/>
      <c r="L969" s="260"/>
      <c r="M969" s="263"/>
      <c r="N969" s="263"/>
      <c r="O969" s="264"/>
      <c r="P969" s="264"/>
      <c r="Q969" s="265"/>
      <c r="R969" s="30">
        <f>MBQ[[#This Row],[HEIGHT (mm)]]*MBQ[[#This Row],[QTY TOTAL]]/1000</f>
        <v>0</v>
      </c>
      <c r="S969" s="30">
        <f>MBQ[[#This Row],[WIDTH (mm)]]*MBQ[[#This Row],[QTY TOTAL]]/1000</f>
        <v>0</v>
      </c>
      <c r="T969" s="9">
        <f>(MBQ[[#This Row],[HEIGHT (mm)]]+MBQ[[#This Row],[WIDTH (mm)]])/1000*2*MBQ[[#This Row],[QTY TOTAL]]</f>
        <v>0</v>
      </c>
      <c r="U969" s="266">
        <f>MBQ[[#This Row],[MULTIPLIER]]*MBQ[[#This Row],[QTY]]</f>
        <v>0</v>
      </c>
      <c r="V969" s="9">
        <f>MBQ[[#This Row],[HEIGHT (mm)]]/1000*MBQ[[#This Row],[WIDTH (mm)]]/1000*MBQ[[#This Row],[QTY TOTAL]]</f>
        <v>0</v>
      </c>
      <c r="W969" s="287">
        <f>ROUNDUP(MBQ[[#This Row],[HEIGHT (mm)]]/450*MBQ[[#This Row],[QTY]]*2,0)+ROUNDUP(MBQ[[#This Row],[WIDTH (mm)]]/450*MBQ[[#This Row],[QTY]]*2,0)</f>
        <v>0</v>
      </c>
    </row>
    <row r="970" spans="1:23" hidden="1">
      <c r="A970" s="258">
        <v>1</v>
      </c>
      <c r="B970" s="259"/>
      <c r="C970" s="233"/>
      <c r="D970" s="260"/>
      <c r="E970" s="260"/>
      <c r="F970" s="261"/>
      <c r="G970" s="262"/>
      <c r="H970" s="262"/>
      <c r="I970" s="260"/>
      <c r="J970" s="233"/>
      <c r="K970" s="263"/>
      <c r="L970" s="260"/>
      <c r="M970" s="263"/>
      <c r="N970" s="263"/>
      <c r="O970" s="264"/>
      <c r="P970" s="264"/>
      <c r="Q970" s="265"/>
      <c r="R970" s="30">
        <f>MBQ[[#This Row],[HEIGHT (mm)]]*MBQ[[#This Row],[QTY TOTAL]]/1000</f>
        <v>0</v>
      </c>
      <c r="S970" s="30">
        <f>MBQ[[#This Row],[WIDTH (mm)]]*MBQ[[#This Row],[QTY TOTAL]]/1000</f>
        <v>0</v>
      </c>
      <c r="T970" s="9">
        <f>(MBQ[[#This Row],[HEIGHT (mm)]]+MBQ[[#This Row],[WIDTH (mm)]])/1000*2*MBQ[[#This Row],[QTY TOTAL]]</f>
        <v>0</v>
      </c>
      <c r="U970" s="266">
        <f>MBQ[[#This Row],[MULTIPLIER]]*MBQ[[#This Row],[QTY]]</f>
        <v>0</v>
      </c>
      <c r="V970" s="9">
        <f>MBQ[[#This Row],[HEIGHT (mm)]]/1000*MBQ[[#This Row],[WIDTH (mm)]]/1000*MBQ[[#This Row],[QTY TOTAL]]</f>
        <v>0</v>
      </c>
      <c r="W970" s="287">
        <f>ROUNDUP(MBQ[[#This Row],[HEIGHT (mm)]]/450*MBQ[[#This Row],[QTY]]*2,0)+ROUNDUP(MBQ[[#This Row],[WIDTH (mm)]]/450*MBQ[[#This Row],[QTY]]*2,0)</f>
        <v>0</v>
      </c>
    </row>
    <row r="971" spans="1:23" hidden="1">
      <c r="A971" s="258">
        <v>1</v>
      </c>
      <c r="B971" s="259"/>
      <c r="C971" s="233"/>
      <c r="D971" s="260"/>
      <c r="E971" s="260"/>
      <c r="F971" s="261"/>
      <c r="G971" s="262"/>
      <c r="H971" s="262"/>
      <c r="I971" s="260"/>
      <c r="J971" s="233"/>
      <c r="K971" s="263"/>
      <c r="L971" s="260"/>
      <c r="M971" s="263"/>
      <c r="N971" s="263"/>
      <c r="O971" s="264"/>
      <c r="P971" s="264"/>
      <c r="Q971" s="265"/>
      <c r="R971" s="30">
        <f>MBQ[[#This Row],[HEIGHT (mm)]]*MBQ[[#This Row],[QTY TOTAL]]/1000</f>
        <v>0</v>
      </c>
      <c r="S971" s="30">
        <f>MBQ[[#This Row],[WIDTH (mm)]]*MBQ[[#This Row],[QTY TOTAL]]/1000</f>
        <v>0</v>
      </c>
      <c r="T971" s="9">
        <f>(MBQ[[#This Row],[HEIGHT (mm)]]+MBQ[[#This Row],[WIDTH (mm)]])/1000*2*MBQ[[#This Row],[QTY TOTAL]]</f>
        <v>0</v>
      </c>
      <c r="U971" s="266">
        <f>MBQ[[#This Row],[MULTIPLIER]]*MBQ[[#This Row],[QTY]]</f>
        <v>0</v>
      </c>
      <c r="V971" s="9">
        <f>MBQ[[#This Row],[HEIGHT (mm)]]/1000*MBQ[[#This Row],[WIDTH (mm)]]/1000*MBQ[[#This Row],[QTY TOTAL]]</f>
        <v>0</v>
      </c>
      <c r="W971" s="287">
        <f>ROUNDUP(MBQ[[#This Row],[HEIGHT (mm)]]/450*MBQ[[#This Row],[QTY]]*2,0)+ROUNDUP(MBQ[[#This Row],[WIDTH (mm)]]/450*MBQ[[#This Row],[QTY]]*2,0)</f>
        <v>0</v>
      </c>
    </row>
    <row r="972" spans="1:23" hidden="1">
      <c r="A972" s="258">
        <v>1</v>
      </c>
      <c r="B972" s="259"/>
      <c r="C972" s="233"/>
      <c r="D972" s="260"/>
      <c r="E972" s="260"/>
      <c r="F972" s="261"/>
      <c r="G972" s="262"/>
      <c r="H972" s="262"/>
      <c r="I972" s="260"/>
      <c r="J972" s="233"/>
      <c r="K972" s="263"/>
      <c r="L972" s="260"/>
      <c r="M972" s="263"/>
      <c r="N972" s="263"/>
      <c r="O972" s="264"/>
      <c r="P972" s="264"/>
      <c r="Q972" s="265"/>
      <c r="R972" s="30">
        <f>MBQ[[#This Row],[HEIGHT (mm)]]*MBQ[[#This Row],[QTY TOTAL]]/1000</f>
        <v>0</v>
      </c>
      <c r="S972" s="30">
        <f>MBQ[[#This Row],[WIDTH (mm)]]*MBQ[[#This Row],[QTY TOTAL]]/1000</f>
        <v>0</v>
      </c>
      <c r="T972" s="9">
        <f>(MBQ[[#This Row],[HEIGHT (mm)]]+MBQ[[#This Row],[WIDTH (mm)]])/1000*2*MBQ[[#This Row],[QTY TOTAL]]</f>
        <v>0</v>
      </c>
      <c r="U972" s="266">
        <f>MBQ[[#This Row],[MULTIPLIER]]*MBQ[[#This Row],[QTY]]</f>
        <v>0</v>
      </c>
      <c r="V972" s="9">
        <f>MBQ[[#This Row],[HEIGHT (mm)]]/1000*MBQ[[#This Row],[WIDTH (mm)]]/1000*MBQ[[#This Row],[QTY TOTAL]]</f>
        <v>0</v>
      </c>
      <c r="W972" s="287">
        <f>ROUNDUP(MBQ[[#This Row],[HEIGHT (mm)]]/450*MBQ[[#This Row],[QTY]]*2,0)+ROUNDUP(MBQ[[#This Row],[WIDTH (mm)]]/450*MBQ[[#This Row],[QTY]]*2,0)</f>
        <v>0</v>
      </c>
    </row>
    <row r="973" spans="1:23" hidden="1">
      <c r="A973" s="258">
        <v>1</v>
      </c>
      <c r="B973" s="259"/>
      <c r="C973" s="233"/>
      <c r="D973" s="260"/>
      <c r="E973" s="260"/>
      <c r="F973" s="261"/>
      <c r="G973" s="262"/>
      <c r="H973" s="262"/>
      <c r="I973" s="260"/>
      <c r="J973" s="233"/>
      <c r="K973" s="263"/>
      <c r="L973" s="260"/>
      <c r="M973" s="263"/>
      <c r="N973" s="263"/>
      <c r="O973" s="264"/>
      <c r="P973" s="264"/>
      <c r="Q973" s="265"/>
      <c r="R973" s="30">
        <f>MBQ[[#This Row],[HEIGHT (mm)]]*MBQ[[#This Row],[QTY TOTAL]]/1000</f>
        <v>0</v>
      </c>
      <c r="S973" s="30">
        <f>MBQ[[#This Row],[WIDTH (mm)]]*MBQ[[#This Row],[QTY TOTAL]]/1000</f>
        <v>0</v>
      </c>
      <c r="T973" s="9">
        <f>(MBQ[[#This Row],[HEIGHT (mm)]]+MBQ[[#This Row],[WIDTH (mm)]])/1000*2*MBQ[[#This Row],[QTY TOTAL]]</f>
        <v>0</v>
      </c>
      <c r="U973" s="266">
        <f>MBQ[[#This Row],[MULTIPLIER]]*MBQ[[#This Row],[QTY]]</f>
        <v>0</v>
      </c>
      <c r="V973" s="9">
        <f>MBQ[[#This Row],[HEIGHT (mm)]]/1000*MBQ[[#This Row],[WIDTH (mm)]]/1000*MBQ[[#This Row],[QTY TOTAL]]</f>
        <v>0</v>
      </c>
      <c r="W973" s="287">
        <f>ROUNDUP(MBQ[[#This Row],[HEIGHT (mm)]]/450*MBQ[[#This Row],[QTY]]*2,0)+ROUNDUP(MBQ[[#This Row],[WIDTH (mm)]]/450*MBQ[[#This Row],[QTY]]*2,0)</f>
        <v>0</v>
      </c>
    </row>
    <row r="974" spans="1:23" hidden="1">
      <c r="A974" s="258">
        <v>1</v>
      </c>
      <c r="B974" s="259"/>
      <c r="C974" s="233"/>
      <c r="D974" s="260"/>
      <c r="E974" s="260"/>
      <c r="F974" s="261"/>
      <c r="G974" s="262"/>
      <c r="H974" s="262"/>
      <c r="I974" s="260"/>
      <c r="J974" s="233"/>
      <c r="K974" s="263"/>
      <c r="L974" s="260"/>
      <c r="M974" s="263"/>
      <c r="N974" s="263"/>
      <c r="O974" s="264"/>
      <c r="P974" s="264"/>
      <c r="Q974" s="265"/>
      <c r="R974" s="30">
        <f>MBQ[[#This Row],[HEIGHT (mm)]]*MBQ[[#This Row],[QTY TOTAL]]/1000</f>
        <v>0</v>
      </c>
      <c r="S974" s="30">
        <f>MBQ[[#This Row],[WIDTH (mm)]]*MBQ[[#This Row],[QTY TOTAL]]/1000</f>
        <v>0</v>
      </c>
      <c r="T974" s="9">
        <f>(MBQ[[#This Row],[HEIGHT (mm)]]+MBQ[[#This Row],[WIDTH (mm)]])/1000*2*MBQ[[#This Row],[QTY TOTAL]]</f>
        <v>0</v>
      </c>
      <c r="U974" s="266">
        <f>MBQ[[#This Row],[MULTIPLIER]]*MBQ[[#This Row],[QTY]]</f>
        <v>0</v>
      </c>
      <c r="V974" s="9">
        <f>MBQ[[#This Row],[HEIGHT (mm)]]/1000*MBQ[[#This Row],[WIDTH (mm)]]/1000*MBQ[[#This Row],[QTY TOTAL]]</f>
        <v>0</v>
      </c>
      <c r="W974" s="287">
        <f>ROUNDUP(MBQ[[#This Row],[HEIGHT (mm)]]/450*MBQ[[#This Row],[QTY]]*2,0)+ROUNDUP(MBQ[[#This Row],[WIDTH (mm)]]/450*MBQ[[#This Row],[QTY]]*2,0)</f>
        <v>0</v>
      </c>
    </row>
  </sheetData>
  <sheetProtection formatCells="0" formatColumns="0" formatRows="0" insertColumns="0" insertRows="0" insertHyperlinks="0" deleteColumns="0" deleteRows="0" sort="0" autoFilter="0" pivotTables="0"/>
  <mergeCells count="3">
    <mergeCell ref="AE2:AE4"/>
    <mergeCell ref="L1:V1"/>
    <mergeCell ref="L2:V8"/>
  </mergeCells>
  <phoneticPr fontId="22" type="noConversion"/>
  <conditionalFormatting sqref="R11:V974">
    <cfRule type="expression" dxfId="215" priority="22">
      <formula>$I11="PANEL"</formula>
    </cfRule>
    <cfRule type="expression" dxfId="214" priority="23">
      <formula>$I11="ELEV"</formula>
    </cfRule>
  </conditionalFormatting>
  <conditionalFormatting sqref="R335:V335">
    <cfRule type="expression" dxfId="213" priority="13">
      <formula>$I335="PANEL"</formula>
    </cfRule>
    <cfRule type="expression" dxfId="212" priority="14">
      <formula>$I335="ELEV"</formula>
    </cfRule>
  </conditionalFormatting>
  <conditionalFormatting sqref="A11:Q974">
    <cfRule type="expression" dxfId="211" priority="11">
      <formula>$I11="PANEL"</formula>
    </cfRule>
    <cfRule type="expression" dxfId="210" priority="12">
      <formula>$I11="ELEV"</formula>
    </cfRule>
  </conditionalFormatting>
  <conditionalFormatting sqref="A334:Q334 I335">
    <cfRule type="expression" dxfId="209" priority="9">
      <formula>$I334="PANEL"</formula>
    </cfRule>
    <cfRule type="expression" dxfId="208" priority="10">
      <formula>$I334="ELEV"</formula>
    </cfRule>
  </conditionalFormatting>
  <conditionalFormatting sqref="O315:O316 P316 A312:B314 D312:H314 C312:C316 A269:Q273 K314:Q314 A275:Q279 A281:Q285 A287:Q291 A293:Q297 A299:Q303">
    <cfRule type="expression" dxfId="207" priority="7">
      <formula>$I269="PANEL"</formula>
    </cfRule>
    <cfRule type="expression" dxfId="206" priority="8">
      <formula>$I269="ELEV"</formula>
    </cfRule>
  </conditionalFormatting>
  <conditionalFormatting sqref="B330:B331">
    <cfRule type="expression" dxfId="205" priority="5">
      <formula>$I330="PANEL"</formula>
    </cfRule>
    <cfRule type="expression" dxfId="204" priority="6">
      <formula>$I330="ELEV"</formula>
    </cfRule>
  </conditionalFormatting>
  <conditionalFormatting sqref="B339:B340">
    <cfRule type="expression" dxfId="203" priority="3">
      <formula>$I339="PANEL"</formula>
    </cfRule>
    <cfRule type="expression" dxfId="202" priority="4">
      <formula>$I339="ELEV"</formula>
    </cfRule>
  </conditionalFormatting>
  <conditionalFormatting sqref="B348:B349">
    <cfRule type="expression" dxfId="201" priority="1">
      <formula>$I348="PANEL"</formula>
    </cfRule>
    <cfRule type="expression" dxfId="200" priority="2">
      <formula>$I348="ELEV"</formula>
    </cfRule>
  </conditionalFormatting>
  <dataValidations count="1">
    <dataValidation type="list" allowBlank="1" showInputMessage="1" showErrorMessage="1" sqref="I11:I974" xr:uid="{A707FC29-BD67-4BC4-8221-55F12C268BA9}">
      <formula1>"ELEV,PANEL,INFILL"</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5" r:id="rId5" name="Button 3">
              <controlPr defaultSize="0" print="0" autoFill="0" autoPict="0" macro="[0]!ThisWorkbook.Takeoff">
                <anchor moveWithCells="1" sizeWithCells="1">
                  <from>
                    <xdr:col>22</xdr:col>
                    <xdr:colOff>28575</xdr:colOff>
                    <xdr:row>9</xdr:row>
                    <xdr:rowOff>85725</xdr:rowOff>
                  </from>
                  <to>
                    <xdr:col>22</xdr:col>
                    <xdr:colOff>857250</xdr:colOff>
                    <xdr:row>9</xdr:row>
                    <xdr:rowOff>533400</xdr:rowOff>
                  </to>
                </anchor>
              </controlPr>
            </control>
          </mc:Choice>
        </mc:AlternateContent>
        <mc:AlternateContent xmlns:mc="http://schemas.openxmlformats.org/markup-compatibility/2006">
          <mc:Choice Requires="x14">
            <control shapeId="3078" r:id="rId6" name="Button 6">
              <controlPr defaultSize="0" print="0" autoFill="0" autoPict="0" macro="[0]!ThisWorkbook.Merge">
                <anchor moveWithCells="1" sizeWithCells="1">
                  <from>
                    <xdr:col>22</xdr:col>
                    <xdr:colOff>28575</xdr:colOff>
                    <xdr:row>7</xdr:row>
                    <xdr:rowOff>85725</xdr:rowOff>
                  </from>
                  <to>
                    <xdr:col>22</xdr:col>
                    <xdr:colOff>885825</xdr:colOff>
                    <xdr:row>9</xdr:row>
                    <xdr:rowOff>38100</xdr:rowOff>
                  </to>
                </anchor>
              </controlPr>
            </control>
          </mc:Choice>
        </mc:AlternateContent>
        <mc:AlternateContent xmlns:mc="http://schemas.openxmlformats.org/markup-compatibility/2006">
          <mc:Choice Requires="x14">
            <control shapeId="3080" r:id="rId7" name="Button 8">
              <controlPr defaultSize="0" print="0" autoFill="0" autoPict="0" macro="[0]!UnMerge">
                <anchor moveWithCells="1" sizeWithCells="1">
                  <from>
                    <xdr:col>22</xdr:col>
                    <xdr:colOff>28575</xdr:colOff>
                    <xdr:row>5</xdr:row>
                    <xdr:rowOff>85725</xdr:rowOff>
                  </from>
                  <to>
                    <xdr:col>22</xdr:col>
                    <xdr:colOff>876300</xdr:colOff>
                    <xdr:row>7</xdr:row>
                    <xdr:rowOff>38100</xdr:rowOff>
                  </to>
                </anchor>
              </controlPr>
            </control>
          </mc:Choice>
        </mc:AlternateContent>
        <mc:AlternateContent xmlns:mc="http://schemas.openxmlformats.org/markup-compatibility/2006">
          <mc:Choice Requires="x14">
            <control shapeId="3081" r:id="rId8" name="Button 9">
              <controlPr defaultSize="0" print="0" autoFill="0" autoPict="0" macro="[0]!ThisWorkbook.Clear">
                <anchor moveWithCells="1" sizeWithCells="1">
                  <from>
                    <xdr:col>22</xdr:col>
                    <xdr:colOff>28575</xdr:colOff>
                    <xdr:row>3</xdr:row>
                    <xdr:rowOff>95250</xdr:rowOff>
                  </from>
                  <to>
                    <xdr:col>22</xdr:col>
                    <xdr:colOff>885825</xdr:colOff>
                    <xdr:row>5</xdr:row>
                    <xdr:rowOff>47625</xdr:rowOff>
                  </to>
                </anchor>
              </controlPr>
            </control>
          </mc:Choice>
        </mc:AlternateContent>
        <mc:AlternateContent xmlns:mc="http://schemas.openxmlformats.org/markup-compatibility/2006">
          <mc:Choice Requires="x14">
            <control shapeId="3082" r:id="rId9" name="Button 10">
              <controlPr defaultSize="0" print="0" autoFill="0" autoPict="0" macro="[0]!ThisWorkbook.Facade_Type">
                <anchor moveWithCells="1" sizeWithCells="1">
                  <from>
                    <xdr:col>23</xdr:col>
                    <xdr:colOff>123825</xdr:colOff>
                    <xdr:row>9</xdr:row>
                    <xdr:rowOff>76200</xdr:rowOff>
                  </from>
                  <to>
                    <xdr:col>23</xdr:col>
                    <xdr:colOff>952500</xdr:colOff>
                    <xdr:row>9</xdr:row>
                    <xdr:rowOff>523875</xdr:rowOff>
                  </to>
                </anchor>
              </controlPr>
            </control>
          </mc:Choice>
        </mc:AlternateContent>
      </controls>
    </mc:Choice>
  </mc:AlternateContent>
  <tableParts count="1">
    <tablePart r:id="rId10"/>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269EE-D221-4185-AC55-B264099C2E2A}">
  <sheetPr codeName="Sheet19"/>
  <dimension ref="A1:H721"/>
  <sheetViews>
    <sheetView workbookViewId="0">
      <selection activeCell="B11" sqref="B11"/>
    </sheetView>
  </sheetViews>
  <sheetFormatPr defaultColWidth="9.140625" defaultRowHeight="15"/>
  <cols>
    <col min="1" max="1" width="21" style="14" customWidth="1"/>
    <col min="2" max="2" width="22.42578125" style="14" customWidth="1"/>
    <col min="3" max="3" width="20" style="14" bestFit="1" customWidth="1"/>
    <col min="4" max="4" width="23.5703125" style="14" customWidth="1"/>
    <col min="5" max="5" width="18" style="14" customWidth="1"/>
    <col min="6" max="6" width="18.42578125" style="14" customWidth="1"/>
    <col min="7" max="7" width="17" style="14" customWidth="1"/>
    <col min="8" max="8" width="17.42578125" style="14" customWidth="1"/>
    <col min="9" max="9" width="11.5703125" style="14" customWidth="1"/>
    <col min="10" max="16384" width="9.140625" style="14"/>
  </cols>
  <sheetData>
    <row r="1" spans="1:7" ht="28.5">
      <c r="A1" s="26" t="s">
        <v>445</v>
      </c>
    </row>
    <row r="3" spans="1:7" ht="25.5">
      <c r="A3" s="17" t="s">
        <v>446</v>
      </c>
      <c r="B3" s="25">
        <f>ROUNDUP(SUM(B50:F54),0)</f>
        <v>9</v>
      </c>
      <c r="C3" s="17" t="s">
        <v>447</v>
      </c>
      <c r="D3" s="25">
        <f>SUMIFS(MBQ[SQM TOTAL],MBQ[MEASURE TYPE],"=PANEL")/B3</f>
        <v>64.346666666666692</v>
      </c>
    </row>
    <row r="7" spans="1:7" s="23" customFormat="1" ht="25.5">
      <c r="A7" s="24"/>
      <c r="B7" s="17" t="s">
        <v>448</v>
      </c>
      <c r="C7" s="17" t="s">
        <v>449</v>
      </c>
      <c r="D7" s="17" t="s">
        <v>450</v>
      </c>
      <c r="E7" s="17" t="s">
        <v>451</v>
      </c>
      <c r="F7" s="17" t="s">
        <v>452</v>
      </c>
      <c r="G7" s="17" t="s">
        <v>453</v>
      </c>
    </row>
    <row r="8" spans="1:7" ht="25.5">
      <c r="A8" s="17" t="s">
        <v>454</v>
      </c>
      <c r="B8" s="22">
        <f>SUMIFS(MBQ[QTY TOTAL],MBQ[MEASURE TYPE],"=PANEL",MBQ[WIDTH (mm)],"&lt;=500")</f>
        <v>0</v>
      </c>
      <c r="C8" s="22">
        <f>SUMIFS(MBQ[QTY TOTAL],MBQ[MEASURE TYPE],"=PANEL",MBQ[WIDTH (mm)],"&lt;=500",MBQ[HEIGHT (mm)],"&lt;=3000")</f>
        <v>0</v>
      </c>
      <c r="D8" s="22">
        <f>SUMIFS(MBQ[QTY TOTAL],MBQ[MEASURE TYPE],"=PANEL",MBQ[WIDTH (mm)],"&lt;=500",MBQ[HEIGHT (mm)],"&gt;3000",MBQ[HEIGHT (mm)],"&lt;=4000")</f>
        <v>0</v>
      </c>
      <c r="E8" s="22">
        <f>SUMIFS(MBQ[QTY TOTAL],MBQ[MEASURE TYPE],"=PANEL",MBQ[WIDTH (mm)],"&lt;=500",MBQ[HEIGHT (mm)],"&gt;4000",MBQ[HEIGHT (mm)],"&lt;=5000")</f>
        <v>0</v>
      </c>
      <c r="F8" s="22">
        <f>SUMIFS(MBQ[QTY TOTAL],MBQ[MEASURE TYPE],"=PANEL",MBQ[WIDTH (mm)],"&lt;=500",MBQ[HEIGHT (mm)],"&gt;5000",MBQ[HEIGHT (mm)],"&lt;=5000")</f>
        <v>0</v>
      </c>
      <c r="G8" s="22">
        <f>SUMIFS(MBQ[QTY TOTAL],MBQ[MEASURE TYPE],"=PANEL",MBQ[WIDTH (mm)],"&lt;=500",MBQ[HEIGHT (mm)],"&gt;5000")</f>
        <v>0</v>
      </c>
    </row>
    <row r="9" spans="1:7" ht="25.5">
      <c r="A9" s="17" t="s">
        <v>455</v>
      </c>
      <c r="B9" s="22">
        <f>SUMIFS(MBQ[QTY TOTAL],MBQ[MEASURE TYPE],"=PANEL",MBQ[WIDTH (mm)],"&gt;500",MBQ[WIDTH (mm)],"&lt;=700")</f>
        <v>4</v>
      </c>
      <c r="C9" s="22">
        <f>SUMIFS(MBQ[QTY TOTAL],MBQ[MEASURE TYPE],"=PANEL",MBQ[WIDTH (mm)],"&gt;500",MBQ[WIDTH (mm)],"&lt;=700",MBQ[HEIGHT (mm)],"&lt;=3000")</f>
        <v>0</v>
      </c>
      <c r="D9" s="22">
        <f>SUMIFS(MBQ[QTY TOTAL],MBQ[MEASURE TYPE],"=PANEL",MBQ[WIDTH (mm)],"&gt;500",MBQ[WIDTH (mm)],"&lt;=700",MBQ[HEIGHT (mm)],"&gt;3000",MBQ[HEIGHT (mm)],"&lt;=4000")</f>
        <v>4</v>
      </c>
      <c r="E9" s="22">
        <f>SUMIFS(MBQ[QTY TOTAL],MBQ[MEASURE TYPE],"=PANEL",MBQ[WIDTH (mm)],"&gt;500",MBQ[WIDTH (mm)],"&lt;=700",MBQ[HEIGHT (mm)],"&gt;4000",MBQ[HEIGHT (mm)],"&lt;=5000")</f>
        <v>0</v>
      </c>
      <c r="F9" s="22">
        <f>SUMIFS(MBQ[QTY TOTAL],MBQ[MEASURE TYPE],"=PANEL",MBQ[WIDTH (mm)],"&gt;500",MBQ[WIDTH (mm)],"&lt;=700",MBQ[HEIGHT (mm)],"&gt;5000",MBQ[HEIGHT (mm)],"&lt;=5000")</f>
        <v>0</v>
      </c>
      <c r="G9" s="22">
        <f>SUMIFS(MBQ[QTY TOTAL],MBQ[MEASURE TYPE],"=PANEL",MBQ[WIDTH (mm)],"&gt;500",MBQ[WIDTH (mm)],"&lt;=700",MBQ[HEIGHT (mm)],"&gt;5000")</f>
        <v>0</v>
      </c>
    </row>
    <row r="10" spans="1:7" ht="25.5">
      <c r="A10" s="17" t="s">
        <v>456</v>
      </c>
      <c r="B10" s="22">
        <f>SUMIFS(MBQ[QTY TOTAL],MBQ[MEASURE TYPE],"=PANEL",MBQ[WIDTH (mm)],"&gt;700",MBQ[WIDTH (mm)],"&lt;=1100")</f>
        <v>2</v>
      </c>
      <c r="C10" s="22">
        <f>SUMIFS(MBQ[QTY TOTAL],MBQ[MEASURE TYPE],"=PANEL",MBQ[WIDTH (mm)],"&gt;700",MBQ[WIDTH (mm)],"&lt;=1100",MBQ[HEIGHT (mm)],"&lt;=3000")</f>
        <v>2</v>
      </c>
      <c r="D10" s="22">
        <f>SUMIFS(MBQ[QTY TOTAL],MBQ[MEASURE TYPE],"=PANEL",MBQ[WIDTH (mm)],"&gt;700",MBQ[WIDTH (mm)],"&lt;=1100",MBQ[HEIGHT (mm)],"&gt;3000",MBQ[HEIGHT (mm)],"&lt;=4000")</f>
        <v>0</v>
      </c>
      <c r="E10" s="22">
        <f>SUMIFS(MBQ[QTY TOTAL],MBQ[MEASURE TYPE],"=PANEL",MBQ[WIDTH (mm)],"&gt;700",MBQ[WIDTH (mm)],"&lt;=1100",MBQ[HEIGHT (mm)],"&gt;4000",MBQ[HEIGHT (mm)],"&lt;=5000")</f>
        <v>0</v>
      </c>
      <c r="F10" s="22">
        <f>SUMIFS(MBQ[QTY TOTAL],MBQ[MEASURE TYPE],"=PANEL",MBQ[WIDTH (mm)],"&gt;700",MBQ[WIDTH (mm)],"&lt;=1100",MBQ[HEIGHT (mm)],"&gt;5000",MBQ[HEIGHT (mm)],"&lt;=6000")</f>
        <v>0</v>
      </c>
      <c r="G10" s="22">
        <f>SUMIFS(MBQ[QTY TOTAL],MBQ[MEASURE TYPE],"=PANEL",MBQ[WIDTH (mm)],"&gt;700",MBQ[WIDTH (mm)],"&lt;=1100",MBQ[HEIGHT (mm)],"&gt;6000")</f>
        <v>0</v>
      </c>
    </row>
    <row r="11" spans="1:7" ht="25.5">
      <c r="A11" s="17" t="s">
        <v>457</v>
      </c>
      <c r="B11" s="22">
        <f>SUMIFS(MBQ[QTY TOTAL],MBQ[MEASURE TYPE],"=PANEL",MBQ[WIDTH (mm)],"&gt;1100",MBQ[WIDTH (mm)],"&lt;=2300")</f>
        <v>137</v>
      </c>
      <c r="C11" s="22">
        <f>SUMIFS(MBQ[QTY TOTAL],MBQ[MEASURE TYPE],"=PANEL",MBQ[WIDTH (mm)],"&gt;1100",MBQ[WIDTH (mm)],"&lt;=2300",MBQ[HEIGHT (mm)],"&lt;=3000")</f>
        <v>37</v>
      </c>
      <c r="D11" s="22">
        <f>SUMIFS(MBQ[QTY TOTAL],MBQ[MEASURE TYPE],"=PANEL",MBQ[WIDTH (mm)],"&gt;1100",MBQ[WIDTH (mm)],"&lt;=2300",MBQ[HEIGHT (mm)],"&gt;3000",MBQ[HEIGHT (mm)],"&lt;=4000")</f>
        <v>100</v>
      </c>
      <c r="E11" s="22">
        <f>SUMIFS(MBQ[QTY TOTAL],MBQ[MEASURE TYPE],"=PANEL",MBQ[WIDTH (mm)],"&gt;1100",MBQ[WIDTH (mm)],"&lt;=2300",MBQ[HEIGHT (mm)],"&gt;4000",MBQ[HEIGHT (mm)],"&lt;=5000")</f>
        <v>0</v>
      </c>
      <c r="F11" s="22">
        <f>SUMIFS(MBQ[QTY TOTAL],MBQ[MEASURE TYPE],"=PANEL",MBQ[WIDTH (mm)],"&gt;1100",MBQ[WIDTH (mm)],"&lt;=2300",MBQ[HEIGHT (mm)],"&gt;5000",MBQ[HEIGHT (mm)],"&lt;=6000")</f>
        <v>0</v>
      </c>
      <c r="G11" s="22">
        <f>SUMIFS(MBQ[QTY TOTAL],MBQ[MEASURE TYPE],"=PANEL",MBQ[WIDTH (mm)],"&gt;1100",MBQ[WIDTH (mm)],"&lt;=2300",MBQ[HEIGHT (mm)],"&gt;6000")</f>
        <v>0</v>
      </c>
    </row>
    <row r="12" spans="1:7" ht="25.5">
      <c r="A12" s="17" t="s">
        <v>458</v>
      </c>
      <c r="B12" s="22">
        <f>SUMIFS(MBQ[QTY TOTAL],MBQ[MEASURE TYPE],"=PANEL",MBQ[WIDTH (mm)],"&gt;2300")</f>
        <v>0</v>
      </c>
      <c r="C12" s="22">
        <f>SUMIFS(MBQ[QTY TOTAL],MBQ[MEASURE TYPE],"=PANEL",MBQ[WIDTH (mm)],"&gt;2300",MBQ[HEIGHT (mm)],"&lt;=3000")</f>
        <v>0</v>
      </c>
      <c r="D12" s="22">
        <f>SUMIFS(MBQ[QTY TOTAL],MBQ[MEASURE TYPE],"=PANEL",MBQ[WIDTH (mm)],"&gt;2300",MBQ[HEIGHT (mm)],"&gt;3000",MBQ[HEIGHT (mm)],"&lt;=4000")</f>
        <v>0</v>
      </c>
      <c r="E12" s="22">
        <f>SUMIFS(MBQ[QTY TOTAL],MBQ[MEASURE TYPE],"=PANEL",MBQ[WIDTH (mm)],"&gt;2300",MBQ[HEIGHT (mm)],"&gt;4000",MBQ[HEIGHT (mm)],"&lt;=5000")</f>
        <v>0</v>
      </c>
      <c r="F12" s="22">
        <f>SUMIFS(MBQ[QTY TOTAL],MBQ[MEASURE TYPE],"=PANEL",MBQ[WIDTH (mm)],"&gt;2300",MBQ[HEIGHT (mm)],"&gt;5000",MBQ[HEIGHT (mm)],"&lt;=6000")</f>
        <v>0</v>
      </c>
      <c r="G12" s="22">
        <f>SUMIFS(MBQ[QTY TOTAL],MBQ[MEASURE TYPE],"=PANEL",MBQ[WIDTH (mm)],"&gt;2300",MBQ[HEIGHT (mm)],"&gt;6000")</f>
        <v>0</v>
      </c>
    </row>
    <row r="14" spans="1:7">
      <c r="A14" s="17" t="s">
        <v>459</v>
      </c>
      <c r="B14" s="16">
        <v>200</v>
      </c>
    </row>
    <row r="15" spans="1:7">
      <c r="A15" s="17" t="s">
        <v>460</v>
      </c>
      <c r="B15" s="16">
        <v>100</v>
      </c>
    </row>
    <row r="16" spans="1:7">
      <c r="A16" s="17" t="s">
        <v>461</v>
      </c>
      <c r="B16" s="16">
        <v>2370</v>
      </c>
    </row>
    <row r="17" spans="1:8">
      <c r="A17" s="17" t="s">
        <v>462</v>
      </c>
      <c r="B17" s="19">
        <f>ROUNDDOWN(B16/(B14+B15),0)</f>
        <v>7</v>
      </c>
    </row>
    <row r="19" spans="1:8">
      <c r="A19" s="19"/>
      <c r="B19" s="17">
        <v>4</v>
      </c>
      <c r="C19" s="18" t="s">
        <v>463</v>
      </c>
      <c r="D19" s="18" t="s">
        <v>464</v>
      </c>
      <c r="E19" s="18" t="s">
        <v>465</v>
      </c>
      <c r="F19" s="18" t="s">
        <v>466</v>
      </c>
      <c r="G19" s="18" t="s">
        <v>467</v>
      </c>
      <c r="H19" s="18" t="s">
        <v>468</v>
      </c>
    </row>
    <row r="20" spans="1:8">
      <c r="A20" s="19">
        <v>1</v>
      </c>
      <c r="B20" s="17" t="s">
        <v>469</v>
      </c>
      <c r="C20" s="257">
        <f>ROUNDUP($C$11/$B$17,0)</f>
        <v>6</v>
      </c>
      <c r="D20" s="19">
        <f>ROUNDDOWN(C20/$B$19/A20,0)</f>
        <v>1</v>
      </c>
      <c r="E20" s="19">
        <f>D20*$B$19*$A20-C20</f>
        <v>-2</v>
      </c>
      <c r="F20" s="19">
        <f>ROUNDUP(E20/A20,0)</f>
        <v>-2</v>
      </c>
      <c r="G20" s="42">
        <f>1/$B$19</f>
        <v>0.25</v>
      </c>
      <c r="H20" s="42">
        <f>F20*G20</f>
        <v>-0.5</v>
      </c>
    </row>
    <row r="21" spans="1:8">
      <c r="A21" s="19">
        <v>2</v>
      </c>
      <c r="B21" s="17" t="s">
        <v>469</v>
      </c>
      <c r="C21" s="257">
        <f>ROUNDUP($C$10/$B$17,0)</f>
        <v>1</v>
      </c>
      <c r="D21" s="19">
        <f>ROUNDDOWN(C21/$B$19/A21,0)</f>
        <v>0</v>
      </c>
      <c r="E21" s="19">
        <f>D21*$B$19*$A21-C21</f>
        <v>-1</v>
      </c>
      <c r="F21" s="19">
        <f>ROUNDUP(E21/A21,0)</f>
        <v>-1</v>
      </c>
      <c r="G21" s="42">
        <f>1/$B$19</f>
        <v>0.25</v>
      </c>
      <c r="H21" s="42">
        <f>F21*G21</f>
        <v>-0.25</v>
      </c>
    </row>
    <row r="22" spans="1:8">
      <c r="A22" s="19">
        <v>3</v>
      </c>
      <c r="B22" s="17" t="s">
        <v>469</v>
      </c>
      <c r="C22" s="257">
        <f>ROUNDUP($C$9/$B$17,0)</f>
        <v>0</v>
      </c>
      <c r="D22" s="19">
        <f>ROUNDDOWN(C22/$B$19/A22,0)</f>
        <v>0</v>
      </c>
      <c r="E22" s="19">
        <f>D22*$B$19*$A22-C22</f>
        <v>0</v>
      </c>
      <c r="F22" s="19">
        <f>ROUNDUP(E22/A22,0)</f>
        <v>0</v>
      </c>
      <c r="G22" s="42">
        <f>1/$B$19</f>
        <v>0.25</v>
      </c>
      <c r="H22" s="42">
        <f>F22*G22</f>
        <v>0</v>
      </c>
    </row>
    <row r="23" spans="1:8">
      <c r="A23" s="19">
        <v>4</v>
      </c>
      <c r="B23" s="17" t="s">
        <v>469</v>
      </c>
      <c r="C23" s="257">
        <f>ROUNDUP($C$8/$B$17,0)</f>
        <v>0</v>
      </c>
      <c r="D23" s="19">
        <f>ROUNDDOWN(C23/$B$19/A23,0)</f>
        <v>0</v>
      </c>
      <c r="E23" s="19">
        <f>D23*$B$19*$A23-C23</f>
        <v>0</v>
      </c>
      <c r="F23" s="19">
        <f>ROUNDUP(E23/A23,0)</f>
        <v>0</v>
      </c>
      <c r="G23" s="42">
        <f>1/$B$19</f>
        <v>0.25</v>
      </c>
      <c r="H23" s="42">
        <f>F23*G23</f>
        <v>0</v>
      </c>
    </row>
    <row r="24" spans="1:8">
      <c r="G24" s="43"/>
      <c r="H24" s="43"/>
    </row>
    <row r="25" spans="1:8">
      <c r="A25" s="19"/>
      <c r="B25" s="17">
        <v>3</v>
      </c>
      <c r="C25" s="18" t="s">
        <v>463</v>
      </c>
      <c r="D25" s="19"/>
      <c r="E25" s="19"/>
      <c r="F25" s="19"/>
      <c r="G25" s="42"/>
      <c r="H25" s="42"/>
    </row>
    <row r="26" spans="1:8">
      <c r="A26" s="19">
        <v>1</v>
      </c>
      <c r="B26" s="17" t="s">
        <v>469</v>
      </c>
      <c r="C26" s="19">
        <f>ROUNDUP($D$11/$B$17,0)</f>
        <v>15</v>
      </c>
      <c r="D26" s="19">
        <f>ROUNDDOWN(C26/$B$25/A26,0)</f>
        <v>5</v>
      </c>
      <c r="E26" s="19">
        <f>D26*$B$25*$A26-C26</f>
        <v>0</v>
      </c>
      <c r="F26" s="19">
        <f>ROUNDUP(E26/A26,0)</f>
        <v>0</v>
      </c>
      <c r="G26" s="42">
        <f>1/$B$25</f>
        <v>0.33333333333333331</v>
      </c>
      <c r="H26" s="42">
        <f>F26*G26</f>
        <v>0</v>
      </c>
    </row>
    <row r="27" spans="1:8">
      <c r="A27" s="19">
        <v>2</v>
      </c>
      <c r="B27" s="17" t="s">
        <v>469</v>
      </c>
      <c r="C27" s="19">
        <f>ROUNDUP($D$10/$B$17,0)</f>
        <v>0</v>
      </c>
      <c r="D27" s="19">
        <f>ROUNDDOWN(C27/$B$25/A27,0)</f>
        <v>0</v>
      </c>
      <c r="E27" s="19">
        <f>D27*$B$25*$A27-C27</f>
        <v>0</v>
      </c>
      <c r="F27" s="19">
        <f>ROUNDUP(E27/A27,0)</f>
        <v>0</v>
      </c>
      <c r="G27" s="42">
        <f>1/$B$25</f>
        <v>0.33333333333333331</v>
      </c>
      <c r="H27" s="42">
        <f>F27*G27</f>
        <v>0</v>
      </c>
    </row>
    <row r="28" spans="1:8">
      <c r="A28" s="19">
        <v>3</v>
      </c>
      <c r="B28" s="17" t="s">
        <v>469</v>
      </c>
      <c r="C28" s="19">
        <f>ROUNDUP($D$9/$B$17,0)</f>
        <v>1</v>
      </c>
      <c r="D28" s="19">
        <f>ROUNDDOWN(C28/$B$25/A28,0)</f>
        <v>0</v>
      </c>
      <c r="E28" s="19">
        <f>D28*$B$25*$A28-C28</f>
        <v>-1</v>
      </c>
      <c r="F28" s="19">
        <f>ROUNDUP(E28/A28,0)</f>
        <v>-1</v>
      </c>
      <c r="G28" s="42">
        <f>1/$B$25</f>
        <v>0.33333333333333331</v>
      </c>
      <c r="H28" s="42">
        <f>F28*G28</f>
        <v>-0.33333333333333331</v>
      </c>
    </row>
    <row r="29" spans="1:8">
      <c r="A29" s="19">
        <v>4</v>
      </c>
      <c r="B29" s="17" t="s">
        <v>469</v>
      </c>
      <c r="C29" s="19">
        <f>ROUNDUP($D$8/$B$17,0)</f>
        <v>0</v>
      </c>
      <c r="D29" s="19">
        <f>ROUNDDOWN(C29/$B$25/A29,0)</f>
        <v>0</v>
      </c>
      <c r="E29" s="19">
        <f>D29*$B$25*$A29-C29</f>
        <v>0</v>
      </c>
      <c r="F29" s="19">
        <f>ROUNDUP(E29/A29,0)</f>
        <v>0</v>
      </c>
      <c r="G29" s="42">
        <f>1/$B$25</f>
        <v>0.33333333333333331</v>
      </c>
      <c r="H29" s="42">
        <f>F29*G29</f>
        <v>0</v>
      </c>
    </row>
    <row r="30" spans="1:8">
      <c r="H30" s="43"/>
    </row>
    <row r="31" spans="1:8">
      <c r="A31" s="19"/>
      <c r="B31" s="17">
        <v>2</v>
      </c>
      <c r="C31" s="18" t="s">
        <v>463</v>
      </c>
      <c r="D31" s="19"/>
      <c r="E31" s="19"/>
      <c r="F31" s="19"/>
      <c r="G31" s="19"/>
      <c r="H31" s="42"/>
    </row>
    <row r="32" spans="1:8">
      <c r="A32" s="19">
        <v>1</v>
      </c>
      <c r="B32" s="17" t="s">
        <v>469</v>
      </c>
      <c r="C32" s="19">
        <f>ROUNDUP($E$11/$B$17,0)</f>
        <v>0</v>
      </c>
      <c r="D32" s="19">
        <f>ROUNDDOWN(C32/$B$31/A32,0)</f>
        <v>0</v>
      </c>
      <c r="E32" s="19">
        <f>D32*$B$31*$A32-C32</f>
        <v>0</v>
      </c>
      <c r="F32" s="19">
        <f>ROUNDUP(E32/A32,0)</f>
        <v>0</v>
      </c>
      <c r="G32" s="42">
        <f>1/$B$31</f>
        <v>0.5</v>
      </c>
      <c r="H32" s="42">
        <f>F32*G32</f>
        <v>0</v>
      </c>
    </row>
    <row r="33" spans="1:8">
      <c r="A33" s="19">
        <v>2</v>
      </c>
      <c r="B33" s="17" t="s">
        <v>469</v>
      </c>
      <c r="C33" s="19">
        <f>ROUNDUP($E$10/$B$17,0)</f>
        <v>0</v>
      </c>
      <c r="D33" s="19">
        <f>ROUNDDOWN(C33/$B$31/A33,0)</f>
        <v>0</v>
      </c>
      <c r="E33" s="19">
        <f>D33*$B$31*$A33-C33</f>
        <v>0</v>
      </c>
      <c r="F33" s="19">
        <f>ROUNDUP(E33/A33,0)</f>
        <v>0</v>
      </c>
      <c r="G33" s="42">
        <f>1/$B$31</f>
        <v>0.5</v>
      </c>
      <c r="H33" s="42">
        <f>F33*G33</f>
        <v>0</v>
      </c>
    </row>
    <row r="34" spans="1:8">
      <c r="A34" s="19">
        <v>3</v>
      </c>
      <c r="B34" s="17" t="s">
        <v>469</v>
      </c>
      <c r="C34" s="19">
        <f>ROUNDUP($E$9/$B$17,0)</f>
        <v>0</v>
      </c>
      <c r="D34" s="19">
        <f>ROUNDDOWN(C34/$B$31/A34,0)</f>
        <v>0</v>
      </c>
      <c r="E34" s="19">
        <f>D34*$B$31*$A34-C34</f>
        <v>0</v>
      </c>
      <c r="F34" s="19">
        <f>ROUNDUP(E34/A34,0)</f>
        <v>0</v>
      </c>
      <c r="G34" s="42">
        <f>1/$B$31</f>
        <v>0.5</v>
      </c>
      <c r="H34" s="42">
        <f>F34*G34</f>
        <v>0</v>
      </c>
    </row>
    <row r="35" spans="1:8">
      <c r="A35" s="19">
        <v>4</v>
      </c>
      <c r="B35" s="17" t="s">
        <v>469</v>
      </c>
      <c r="C35" s="19">
        <f>ROUNDUP($E$8/$B$17,0)</f>
        <v>0</v>
      </c>
      <c r="D35" s="19">
        <f>ROUNDDOWN(C35/$B$31/A35,0)</f>
        <v>0</v>
      </c>
      <c r="E35" s="19">
        <f>D35*$B$31*$A35-C35</f>
        <v>0</v>
      </c>
      <c r="F35" s="19">
        <f>ROUNDUP(E35/A35,0)</f>
        <v>0</v>
      </c>
      <c r="G35" s="42">
        <f>1/$B$31</f>
        <v>0.5</v>
      </c>
      <c r="H35" s="42">
        <f>F35*G35</f>
        <v>0</v>
      </c>
    </row>
    <row r="36" spans="1:8">
      <c r="H36" s="43"/>
    </row>
    <row r="37" spans="1:8">
      <c r="A37" s="19"/>
      <c r="B37" s="17">
        <v>2</v>
      </c>
      <c r="C37" s="18" t="s">
        <v>463</v>
      </c>
      <c r="D37" s="19"/>
      <c r="E37" s="19"/>
      <c r="F37" s="19"/>
      <c r="G37" s="19"/>
      <c r="H37" s="42"/>
    </row>
    <row r="38" spans="1:8">
      <c r="A38" s="19">
        <v>1</v>
      </c>
      <c r="B38" s="17" t="s">
        <v>469</v>
      </c>
      <c r="C38" s="19">
        <f>ROUNDUP($F$11/$B$17,0)</f>
        <v>0</v>
      </c>
      <c r="D38" s="19">
        <f>ROUNDDOWN(C38/$B$37/A38,0)</f>
        <v>0</v>
      </c>
      <c r="E38" s="19">
        <f>D38*$B$37*$A38-C38</f>
        <v>0</v>
      </c>
      <c r="F38" s="19">
        <f>ROUNDUP(E38/A38,0)</f>
        <v>0</v>
      </c>
      <c r="G38" s="42">
        <f>1/$B$37</f>
        <v>0.5</v>
      </c>
      <c r="H38" s="42">
        <f>F38*G38</f>
        <v>0</v>
      </c>
    </row>
    <row r="39" spans="1:8">
      <c r="A39" s="19">
        <v>2</v>
      </c>
      <c r="B39" s="17" t="s">
        <v>469</v>
      </c>
      <c r="C39" s="19">
        <f>ROUNDUP($F$10/$B$17,0)</f>
        <v>0</v>
      </c>
      <c r="D39" s="19">
        <f>ROUNDDOWN(C39/$B$37/A39,0)</f>
        <v>0</v>
      </c>
      <c r="E39" s="19">
        <f>D39*$B$37*$A39-C39</f>
        <v>0</v>
      </c>
      <c r="F39" s="19">
        <f>ROUNDUP(E39/A39,0)</f>
        <v>0</v>
      </c>
      <c r="G39" s="42">
        <f>1/$B$37</f>
        <v>0.5</v>
      </c>
      <c r="H39" s="42">
        <f>F39*G39</f>
        <v>0</v>
      </c>
    </row>
    <row r="40" spans="1:8">
      <c r="A40" s="19">
        <v>3</v>
      </c>
      <c r="B40" s="17" t="s">
        <v>469</v>
      </c>
      <c r="C40" s="19">
        <f>ROUNDUP($F$9/$B$17,0)</f>
        <v>0</v>
      </c>
      <c r="D40" s="19">
        <f>ROUNDDOWN(C40/$B$37/A40,0)</f>
        <v>0</v>
      </c>
      <c r="E40" s="19">
        <f>D40*$B$37*$A40-C40</f>
        <v>0</v>
      </c>
      <c r="F40" s="19">
        <f>ROUNDUP(E40/A40,0)</f>
        <v>0</v>
      </c>
      <c r="G40" s="42">
        <f>1/$B$37</f>
        <v>0.5</v>
      </c>
      <c r="H40" s="42">
        <f>F40*G40</f>
        <v>0</v>
      </c>
    </row>
    <row r="41" spans="1:8">
      <c r="A41" s="19">
        <v>4</v>
      </c>
      <c r="B41" s="17" t="s">
        <v>469</v>
      </c>
      <c r="C41" s="19">
        <f>ROUNDUP($F$8/$B$17,0)</f>
        <v>0</v>
      </c>
      <c r="D41" s="19">
        <f>ROUNDDOWN(C41/$B$37/A41,0)</f>
        <v>0</v>
      </c>
      <c r="E41" s="19">
        <f>D41*$B$37*$A41-C41</f>
        <v>0</v>
      </c>
      <c r="F41" s="19">
        <f>ROUNDUP(E41/A41,0)</f>
        <v>0</v>
      </c>
      <c r="G41" s="42">
        <f>1/$B$37</f>
        <v>0.5</v>
      </c>
      <c r="H41" s="42">
        <f>F41*G41</f>
        <v>0</v>
      </c>
    </row>
    <row r="42" spans="1:8">
      <c r="H42" s="43"/>
    </row>
    <row r="43" spans="1:8">
      <c r="A43" s="19"/>
      <c r="B43" s="17">
        <v>1</v>
      </c>
      <c r="C43" s="18" t="s">
        <v>463</v>
      </c>
      <c r="D43" s="19"/>
      <c r="E43" s="19"/>
      <c r="F43" s="19"/>
      <c r="G43" s="19"/>
      <c r="H43" s="42"/>
    </row>
    <row r="44" spans="1:8">
      <c r="A44" s="19">
        <v>1</v>
      </c>
      <c r="B44" s="17" t="s">
        <v>469</v>
      </c>
      <c r="C44" s="19">
        <f>ROUNDUP($G$11/$B$17,0)</f>
        <v>0</v>
      </c>
      <c r="D44" s="19">
        <f>ROUNDDOWN(C44/$B$43/A44,0)</f>
        <v>0</v>
      </c>
      <c r="E44" s="19">
        <f>D44*$B$43*$A44-C44</f>
        <v>0</v>
      </c>
      <c r="F44" s="19">
        <f>ROUNDUP(E44/A44,0)</f>
        <v>0</v>
      </c>
      <c r="G44" s="42">
        <f>1/$B$43</f>
        <v>1</v>
      </c>
      <c r="H44" s="42">
        <f>F44*G44</f>
        <v>0</v>
      </c>
    </row>
    <row r="45" spans="1:8">
      <c r="A45" s="19">
        <v>2</v>
      </c>
      <c r="B45" s="17" t="s">
        <v>469</v>
      </c>
      <c r="C45" s="19">
        <f>ROUNDUP($G$10/$B$17,0)</f>
        <v>0</v>
      </c>
      <c r="D45" s="19">
        <f>ROUNDDOWN(C45/$B$43/A45,0)</f>
        <v>0</v>
      </c>
      <c r="E45" s="19">
        <f>D45*$B$43*$A45-C45</f>
        <v>0</v>
      </c>
      <c r="F45" s="19">
        <f>ROUNDUP(E45/A45,0)</f>
        <v>0</v>
      </c>
      <c r="G45" s="42">
        <f>1/$B$43</f>
        <v>1</v>
      </c>
      <c r="H45" s="42">
        <f>F45*G45</f>
        <v>0</v>
      </c>
    </row>
    <row r="46" spans="1:8">
      <c r="A46" s="19">
        <v>3</v>
      </c>
      <c r="B46" s="17" t="s">
        <v>469</v>
      </c>
      <c r="C46" s="19">
        <f>ROUNDUP($G$9/$B$17,0)</f>
        <v>0</v>
      </c>
      <c r="D46" s="19">
        <f>ROUNDDOWN(C46/$B$43/A46,0)</f>
        <v>0</v>
      </c>
      <c r="E46" s="19">
        <f>D46*$B$43*$A46-C46</f>
        <v>0</v>
      </c>
      <c r="F46" s="19">
        <f>ROUNDUP(E46/A46,0)</f>
        <v>0</v>
      </c>
      <c r="G46" s="42">
        <f>1/$B$43</f>
        <v>1</v>
      </c>
      <c r="H46" s="42">
        <f>F46*G46</f>
        <v>0</v>
      </c>
    </row>
    <row r="47" spans="1:8">
      <c r="A47" s="19">
        <v>4</v>
      </c>
      <c r="B47" s="17" t="s">
        <v>469</v>
      </c>
      <c r="C47" s="19">
        <f>ROUNDUP($G$8/$B$17,0)</f>
        <v>0</v>
      </c>
      <c r="D47" s="19">
        <f>ROUNDDOWN(C47/$B$43/A47,0)</f>
        <v>0</v>
      </c>
      <c r="E47" s="19">
        <f>D47*$B$43*$A47-C47</f>
        <v>0</v>
      </c>
      <c r="F47" s="19">
        <f>ROUNDUP(E47/A47,0)</f>
        <v>0</v>
      </c>
      <c r="G47" s="42">
        <f>1/$B$43</f>
        <v>1</v>
      </c>
      <c r="H47" s="42">
        <f>F47*G47</f>
        <v>0</v>
      </c>
    </row>
    <row r="48" spans="1:8">
      <c r="D48" s="41"/>
    </row>
    <row r="49" spans="1:6">
      <c r="A49" s="18" t="s">
        <v>470</v>
      </c>
      <c r="B49" s="19">
        <v>4</v>
      </c>
      <c r="C49" s="19">
        <v>3</v>
      </c>
      <c r="D49" s="19">
        <v>2</v>
      </c>
      <c r="E49" s="19">
        <v>2</v>
      </c>
      <c r="F49" s="19">
        <v>1</v>
      </c>
    </row>
    <row r="50" spans="1:6">
      <c r="A50" s="19">
        <v>4</v>
      </c>
      <c r="B50" s="42">
        <f t="shared" ref="B50:F53" si="0">ROUNDUP(C8/$B$17/$A50/B$49,0)</f>
        <v>0</v>
      </c>
      <c r="C50" s="42">
        <f t="shared" si="0"/>
        <v>0</v>
      </c>
      <c r="D50" s="42">
        <f t="shared" si="0"/>
        <v>0</v>
      </c>
      <c r="E50" s="42">
        <f t="shared" si="0"/>
        <v>0</v>
      </c>
      <c r="F50" s="42">
        <f t="shared" si="0"/>
        <v>0</v>
      </c>
    </row>
    <row r="51" spans="1:6">
      <c r="A51" s="19">
        <v>3</v>
      </c>
      <c r="B51" s="42">
        <f t="shared" si="0"/>
        <v>0</v>
      </c>
      <c r="C51" s="42">
        <f t="shared" si="0"/>
        <v>1</v>
      </c>
      <c r="D51" s="42">
        <f t="shared" si="0"/>
        <v>0</v>
      </c>
      <c r="E51" s="42">
        <f t="shared" si="0"/>
        <v>0</v>
      </c>
      <c r="F51" s="42">
        <f t="shared" si="0"/>
        <v>0</v>
      </c>
    </row>
    <row r="52" spans="1:6">
      <c r="A52" s="19">
        <v>2</v>
      </c>
      <c r="B52" s="42">
        <f t="shared" si="0"/>
        <v>1</v>
      </c>
      <c r="C52" s="42">
        <f t="shared" si="0"/>
        <v>0</v>
      </c>
      <c r="D52" s="42">
        <f t="shared" si="0"/>
        <v>0</v>
      </c>
      <c r="E52" s="42">
        <f t="shared" si="0"/>
        <v>0</v>
      </c>
      <c r="F52" s="42">
        <f t="shared" si="0"/>
        <v>0</v>
      </c>
    </row>
    <row r="53" spans="1:6">
      <c r="A53" s="19">
        <v>1</v>
      </c>
      <c r="B53" s="42">
        <f t="shared" si="0"/>
        <v>2</v>
      </c>
      <c r="C53" s="42">
        <f t="shared" si="0"/>
        <v>5</v>
      </c>
      <c r="D53" s="42">
        <f t="shared" si="0"/>
        <v>0</v>
      </c>
      <c r="E53" s="42">
        <f t="shared" si="0"/>
        <v>0</v>
      </c>
      <c r="F53" s="42">
        <f t="shared" si="0"/>
        <v>0</v>
      </c>
    </row>
    <row r="54" spans="1:6">
      <c r="C54" s="42"/>
    </row>
    <row r="60" spans="1:6">
      <c r="B60" s="14" t="s">
        <v>471</v>
      </c>
      <c r="C60" s="14">
        <v>200</v>
      </c>
      <c r="D60" s="14" t="s">
        <v>472</v>
      </c>
    </row>
    <row r="61" spans="1:6">
      <c r="C61" s="14">
        <v>6</v>
      </c>
      <c r="D61" s="14" t="s">
        <v>473</v>
      </c>
    </row>
    <row r="63" spans="1:6">
      <c r="B63" s="14">
        <v>394</v>
      </c>
      <c r="C63" s="14" t="s">
        <v>474</v>
      </c>
      <c r="E63" s="14">
        <f>96-37</f>
        <v>59</v>
      </c>
      <c r="F63" s="14" t="s">
        <v>475</v>
      </c>
    </row>
    <row r="64" spans="1:6">
      <c r="B64" s="14">
        <f>B63/3</f>
        <v>131.33333333333334</v>
      </c>
      <c r="C64" s="14" t="s">
        <v>476</v>
      </c>
    </row>
    <row r="66" spans="2:3">
      <c r="B66" s="14">
        <v>113</v>
      </c>
      <c r="C66" s="14" t="s">
        <v>477</v>
      </c>
    </row>
    <row r="67" spans="2:3">
      <c r="B67" s="14">
        <v>378</v>
      </c>
      <c r="C67" s="14" t="s">
        <v>477</v>
      </c>
    </row>
    <row r="68" spans="2:3">
      <c r="B68" s="14">
        <f>2000/B67</f>
        <v>5.2910052910052912</v>
      </c>
      <c r="C68" s="14" t="s">
        <v>478</v>
      </c>
    </row>
    <row r="70" spans="2:3">
      <c r="B70" s="14">
        <f>(6400-2000-500)/B66</f>
        <v>34.513274336283189</v>
      </c>
    </row>
    <row r="721" spans="4:4">
      <c r="D721" s="15" t="s">
        <v>479</v>
      </c>
    </row>
  </sheetData>
  <conditionalFormatting sqref="A14:A17 A9:A12">
    <cfRule type="cellIs" dxfId="117" priority="102" operator="lessThan">
      <formula>0</formula>
    </cfRule>
  </conditionalFormatting>
  <conditionalFormatting sqref="B10:B12">
    <cfRule type="cellIs" dxfId="116" priority="103" operator="lessThan">
      <formula>0</formula>
    </cfRule>
  </conditionalFormatting>
  <conditionalFormatting sqref="A8">
    <cfRule type="cellIs" dxfId="115" priority="101" operator="lessThan">
      <formula>0</formula>
    </cfRule>
  </conditionalFormatting>
  <conditionalFormatting sqref="C12">
    <cfRule type="cellIs" dxfId="114" priority="100" operator="lessThan">
      <formula>0</formula>
    </cfRule>
  </conditionalFormatting>
  <conditionalFormatting sqref="C8">
    <cfRule type="cellIs" dxfId="113" priority="99" operator="lessThan">
      <formula>0</formula>
    </cfRule>
  </conditionalFormatting>
  <conditionalFormatting sqref="C9">
    <cfRule type="cellIs" dxfId="112" priority="98" operator="lessThan">
      <formula>0</formula>
    </cfRule>
  </conditionalFormatting>
  <conditionalFormatting sqref="D9">
    <cfRule type="cellIs" dxfId="111" priority="97" operator="lessThan">
      <formula>0</formula>
    </cfRule>
  </conditionalFormatting>
  <conditionalFormatting sqref="C10:C11">
    <cfRule type="cellIs" dxfId="110" priority="96" operator="lessThan">
      <formula>0</formula>
    </cfRule>
  </conditionalFormatting>
  <conditionalFormatting sqref="D10:D11">
    <cfRule type="cellIs" dxfId="109" priority="95" operator="lessThan">
      <formula>0</formula>
    </cfRule>
  </conditionalFormatting>
  <conditionalFormatting sqref="D12">
    <cfRule type="cellIs" dxfId="108" priority="94" operator="lessThan">
      <formula>0</formula>
    </cfRule>
  </conditionalFormatting>
  <conditionalFormatting sqref="D8">
    <cfRule type="cellIs" dxfId="107" priority="93" operator="lessThan">
      <formula>0</formula>
    </cfRule>
  </conditionalFormatting>
  <conditionalFormatting sqref="E9">
    <cfRule type="cellIs" dxfId="106" priority="92" operator="lessThan">
      <formula>0</formula>
    </cfRule>
  </conditionalFormatting>
  <conditionalFormatting sqref="E10:E11">
    <cfRule type="cellIs" dxfId="105" priority="91" operator="lessThan">
      <formula>0</formula>
    </cfRule>
  </conditionalFormatting>
  <conditionalFormatting sqref="E12">
    <cfRule type="cellIs" dxfId="104" priority="90" operator="lessThan">
      <formula>0</formula>
    </cfRule>
  </conditionalFormatting>
  <conditionalFormatting sqref="E8">
    <cfRule type="cellIs" dxfId="103" priority="89" operator="lessThan">
      <formula>0</formula>
    </cfRule>
  </conditionalFormatting>
  <conditionalFormatting sqref="F9">
    <cfRule type="cellIs" dxfId="102" priority="88" operator="lessThan">
      <formula>0</formula>
    </cfRule>
  </conditionalFormatting>
  <conditionalFormatting sqref="F10:F11">
    <cfRule type="cellIs" dxfId="101" priority="87" operator="lessThan">
      <formula>0</formula>
    </cfRule>
  </conditionalFormatting>
  <conditionalFormatting sqref="F12">
    <cfRule type="cellIs" dxfId="100" priority="86" operator="lessThan">
      <formula>0</formula>
    </cfRule>
  </conditionalFormatting>
  <conditionalFormatting sqref="F8">
    <cfRule type="cellIs" dxfId="99" priority="85" operator="lessThan">
      <formula>0</formula>
    </cfRule>
  </conditionalFormatting>
  <conditionalFormatting sqref="G12">
    <cfRule type="cellIs" dxfId="98" priority="84" operator="lessThan">
      <formula>0</formula>
    </cfRule>
  </conditionalFormatting>
  <conditionalFormatting sqref="G8">
    <cfRule type="cellIs" dxfId="97" priority="83" operator="lessThan">
      <formula>0</formula>
    </cfRule>
  </conditionalFormatting>
  <conditionalFormatting sqref="G9">
    <cfRule type="cellIs" dxfId="96" priority="82" operator="lessThan">
      <formula>0</formula>
    </cfRule>
  </conditionalFormatting>
  <conditionalFormatting sqref="G10:G11">
    <cfRule type="cellIs" dxfId="95" priority="81" operator="lessThan">
      <formula>0</formula>
    </cfRule>
  </conditionalFormatting>
  <conditionalFormatting sqref="B7:G7">
    <cfRule type="cellIs" dxfId="94" priority="80" operator="lessThan">
      <formula>0</formula>
    </cfRule>
  </conditionalFormatting>
  <conditionalFormatting sqref="A3">
    <cfRule type="cellIs" dxfId="93" priority="33" operator="lessThan">
      <formula>0</formula>
    </cfRule>
  </conditionalFormatting>
  <conditionalFormatting sqref="B3">
    <cfRule type="cellIs" dxfId="92" priority="32" operator="lessThan">
      <formula>0</formula>
    </cfRule>
  </conditionalFormatting>
  <conditionalFormatting sqref="B9">
    <cfRule type="cellIs" dxfId="91" priority="31" operator="lessThan">
      <formula>0</formula>
    </cfRule>
  </conditionalFormatting>
  <conditionalFormatting sqref="B8">
    <cfRule type="cellIs" dxfId="90" priority="30" operator="lessThan">
      <formula>0</formula>
    </cfRule>
  </conditionalFormatting>
  <conditionalFormatting sqref="D721">
    <cfRule type="expression" dxfId="89" priority="29">
      <formula>$H721="PANEL"</formula>
    </cfRule>
  </conditionalFormatting>
  <conditionalFormatting sqref="B19">
    <cfRule type="cellIs" dxfId="88" priority="28" operator="lessThan">
      <formula>0</formula>
    </cfRule>
  </conditionalFormatting>
  <conditionalFormatting sqref="B20:B23">
    <cfRule type="cellIs" dxfId="87" priority="27" operator="lessThan">
      <formula>0</formula>
    </cfRule>
  </conditionalFormatting>
  <conditionalFormatting sqref="B25">
    <cfRule type="cellIs" dxfId="86" priority="26" operator="lessThan">
      <formula>0</formula>
    </cfRule>
  </conditionalFormatting>
  <conditionalFormatting sqref="B31">
    <cfRule type="cellIs" dxfId="85" priority="22" operator="lessThan">
      <formula>0</formula>
    </cfRule>
  </conditionalFormatting>
  <conditionalFormatting sqref="B37">
    <cfRule type="cellIs" dxfId="84" priority="18" operator="lessThan">
      <formula>0</formula>
    </cfRule>
  </conditionalFormatting>
  <conditionalFormatting sqref="B43">
    <cfRule type="cellIs" dxfId="83" priority="16" operator="lessThan">
      <formula>0</formula>
    </cfRule>
  </conditionalFormatting>
  <conditionalFormatting sqref="B26:B29">
    <cfRule type="cellIs" dxfId="82" priority="6" operator="lessThan">
      <formula>0</formula>
    </cfRule>
  </conditionalFormatting>
  <conditionalFormatting sqref="B32:B35">
    <cfRule type="cellIs" dxfId="81" priority="5" operator="lessThan">
      <formula>0</formula>
    </cfRule>
  </conditionalFormatting>
  <conditionalFormatting sqref="B38:B41">
    <cfRule type="cellIs" dxfId="80" priority="4" operator="lessThan">
      <formula>0</formula>
    </cfRule>
  </conditionalFormatting>
  <conditionalFormatting sqref="B44:B47">
    <cfRule type="cellIs" dxfId="79" priority="3" operator="lessThan">
      <formula>0</formula>
    </cfRule>
  </conditionalFormatting>
  <conditionalFormatting sqref="C3">
    <cfRule type="cellIs" dxfId="78" priority="2" operator="lessThan">
      <formula>0</formula>
    </cfRule>
  </conditionalFormatting>
  <conditionalFormatting sqref="D3">
    <cfRule type="cellIs" dxfId="77" priority="1" operator="lessThan">
      <formula>0</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5A5E7-3567-4BB9-90A9-A495B59E6CBD}">
  <sheetPr codeName="Sheet18"/>
  <dimension ref="A1:K719"/>
  <sheetViews>
    <sheetView workbookViewId="0"/>
  </sheetViews>
  <sheetFormatPr defaultColWidth="9.140625" defaultRowHeight="15"/>
  <cols>
    <col min="1" max="1" width="20.5703125" style="14" customWidth="1"/>
    <col min="2" max="3" width="20" style="14" bestFit="1" customWidth="1"/>
    <col min="4" max="4" width="23.5703125" style="14" customWidth="1"/>
    <col min="5" max="5" width="18" style="14" customWidth="1"/>
    <col min="6" max="6" width="18.42578125" style="14" customWidth="1"/>
    <col min="7" max="7" width="12.42578125" style="14" customWidth="1"/>
    <col min="8" max="8" width="12.85546875" style="14" customWidth="1"/>
    <col min="9" max="9" width="11.5703125" style="14" customWidth="1"/>
    <col min="10" max="16384" width="9.140625" style="14"/>
  </cols>
  <sheetData>
    <row r="1" spans="1:7" ht="28.5">
      <c r="A1" s="26" t="s">
        <v>480</v>
      </c>
    </row>
    <row r="2" spans="1:7" ht="25.5">
      <c r="A2" s="17" t="s">
        <v>446</v>
      </c>
      <c r="B2" s="25">
        <f>SUM($B$47:$D$48)</f>
        <v>5</v>
      </c>
      <c r="C2" s="17" t="s">
        <v>447</v>
      </c>
      <c r="D2" s="25">
        <f>SUMIFS(MBQ[SQM TOTAL],MBQ[MEASURE TYPE],"=PANEL")/B2</f>
        <v>115.82400000000004</v>
      </c>
    </row>
    <row r="3" spans="1:7" ht="28.5">
      <c r="A3" s="26"/>
    </row>
    <row r="5" spans="1:7" s="23" customFormat="1" ht="25.5">
      <c r="A5" s="24"/>
      <c r="B5" s="17" t="s">
        <v>448</v>
      </c>
      <c r="C5" s="17" t="s">
        <v>449</v>
      </c>
      <c r="D5" s="17" t="s">
        <v>450</v>
      </c>
      <c r="E5" s="17" t="s">
        <v>451</v>
      </c>
      <c r="F5" s="17" t="s">
        <v>452</v>
      </c>
      <c r="G5" s="17" t="s">
        <v>453</v>
      </c>
    </row>
    <row r="6" spans="1:7" ht="25.5">
      <c r="A6" s="17" t="s">
        <v>481</v>
      </c>
      <c r="B6" s="22">
        <f>SUMIFS(MBQ[QTY TOTAL],MBQ[MEASURE TYPE],"=PANEL",MBQ[WIDTH (mm)],"&gt;900",MBQ[WIDTH (mm)],"&lt;=1100")</f>
        <v>2</v>
      </c>
      <c r="C6" s="22">
        <f>SUMIFS(MBQ[QTY TOTAL],MBQ[MEASURE TYPE],"=PANEL",MBQ[WIDTH (mm)],"&gt;900",MBQ[WIDTH (mm)],"&lt;=1100",MBQ[HEIGHT (mm)],"&lt;=3000")</f>
        <v>2</v>
      </c>
      <c r="D6" s="22">
        <f>SUMIFS(MBQ[QTY TOTAL],MBQ[MEASURE TYPE],"=PANEL",MBQ[WIDTH (mm)],"&gt;900",MBQ[WIDTH (mm)],"&lt;=1100",MBQ[HEIGHT (mm)],"&gt;3000",MBQ[HEIGHT (mm)],"&lt;=4000")</f>
        <v>0</v>
      </c>
      <c r="E6" s="22">
        <f>SUMIFS(MBQ[QTY TOTAL],MBQ[MEASURE TYPE],"=PANEL",MBQ[WIDTH (mm)],"&gt;900",MBQ[WIDTH (mm)],"&lt;=1100",MBQ[HEIGHT (mm)],"&gt;4000",MBQ[HEIGHT (mm)],"&lt;=5000")</f>
        <v>0</v>
      </c>
      <c r="F6" s="22">
        <f>SUMIFS(MBQ[QTY TOTAL],MBQ[MEASURE TYPE],"=PANEL",MBQ[WIDTH (mm)],"&gt;900",MBQ[WIDTH (mm)],"&lt;=1100",MBQ[HEIGHT (mm)],"&gt;5000",MBQ[HEIGHT (mm)],"&lt;=6000")</f>
        <v>0</v>
      </c>
      <c r="G6" s="22">
        <f>SUMIFS(MBQ[QTY TOTAL],MBQ[MEASURE TYPE],"=PANEL",MBQ[WIDTH (mm)],"&gt;900",MBQ[WIDTH (mm)],"&lt;=1100",MBQ[HEIGHT (mm)],"&gt;6000")</f>
        <v>0</v>
      </c>
    </row>
    <row r="7" spans="1:7" ht="25.5">
      <c r="A7" s="17" t="s">
        <v>482</v>
      </c>
      <c r="B7" s="22">
        <f>SUMIFS(MBQ[QTY TOTAL],MBQ[MEASURE TYPE],"=PANEL",MBQ[WIDTH (mm)],"&gt;1100",MBQ[WIDTH (mm)],"&lt;=1200")</f>
        <v>137</v>
      </c>
      <c r="C7" s="22">
        <f>SUMIFS(MBQ[QTY TOTAL],MBQ[MEASURE TYPE],"=PANEL",MBQ[WIDTH (mm)],"&gt;1100",MBQ[WIDTH (mm)],"&lt;=1200",MBQ[HEIGHT (mm)],"&lt;=3000")</f>
        <v>37</v>
      </c>
      <c r="D7" s="22">
        <f>SUMIFS(MBQ[QTY TOTAL],MBQ[MEASURE TYPE],"=PANEL",MBQ[WIDTH (mm)],"&gt;1100",MBQ[WIDTH (mm)],"&lt;=1200",MBQ[HEIGHT (mm)],"&gt;3000",MBQ[HEIGHT (mm)],"&lt;=4000")</f>
        <v>100</v>
      </c>
      <c r="E7" s="22">
        <f>SUMIFS(MBQ[QTY TOTAL],MBQ[MEASURE TYPE],"=PANEL",MBQ[WIDTH (mm)],"&gt;1100",MBQ[WIDTH (mm)],"&lt;=1200",MBQ[HEIGHT (mm)],"&gt;4000",MBQ[HEIGHT (mm)],"&lt;=5000")</f>
        <v>0</v>
      </c>
      <c r="F7" s="22">
        <f>SUMIFS(MBQ[QTY TOTAL],MBQ[MEASURE TYPE],"=PANEL",MBQ[WIDTH (mm)],"&gt;1100",MBQ[WIDTH (mm)],"&lt;=1200",MBQ[HEIGHT (mm)],"&gt;5000",MBQ[HEIGHT (mm)],"&lt;=6000")</f>
        <v>0</v>
      </c>
      <c r="G7" s="22">
        <f>SUMIFS(MBQ[QTY TOTAL],MBQ[MEASURE TYPE],"=PANEL",MBQ[WIDTH (mm)],"&gt;1100",MBQ[WIDTH (mm)],"&lt;=1200",MBQ[HEIGHT (mm)],"&gt;6000")</f>
        <v>0</v>
      </c>
    </row>
    <row r="8" spans="1:7" ht="25.5">
      <c r="A8" s="17" t="s">
        <v>483</v>
      </c>
      <c r="B8" s="22">
        <f>SUMIFS(MBQ[QTY TOTAL],MBQ[MEASURE TYPE],"=PANEL",MBQ[WIDTH (mm)],"&gt;1200")</f>
        <v>0</v>
      </c>
      <c r="C8" s="22">
        <f>SUMIFS(MBQ[QTY TOTAL],MBQ[MEASURE TYPE],"=PANEL",MBQ[WIDTH (mm)],"&gt;1200",MBQ[HEIGHT (mm)],"&lt;=3000")</f>
        <v>0</v>
      </c>
      <c r="D8" s="22">
        <f>SUMIFS(MBQ[QTY TOTAL],MBQ[MEASURE TYPE],"=PANEL",MBQ[WIDTH (mm)],"&gt;1200",MBQ[HEIGHT (mm)],"&gt;3000",MBQ[HEIGHT (mm)],"&lt;=4000")</f>
        <v>0</v>
      </c>
      <c r="E8" s="22">
        <f>SUMIFS(MBQ[QTY TOTAL],MBQ[MEASURE TYPE],"=PANEL",MBQ[WIDTH (mm)],"&gt;1200",MBQ[HEIGHT (mm)],"&gt;4000",MBQ[HEIGHT (mm)],"&lt;=5000")</f>
        <v>0</v>
      </c>
      <c r="F8" s="22">
        <f>SUMIFS(MBQ[QTY TOTAL],MBQ[MEASURE TYPE],"=PANEL",MBQ[WIDTH (mm)],"&gt;1200",MBQ[HEIGHT (mm)],"&gt;5000",MBQ[HEIGHT (mm)],"&lt;=6000")</f>
        <v>0</v>
      </c>
      <c r="G8" s="22">
        <f>SUMIFS(MBQ[QTY TOTAL],MBQ[MEASURE TYPE],"=PANEL",MBQ[WIDTH (mm)],"&gt;1200",MBQ[HEIGHT (mm)],"&gt;6000")</f>
        <v>0</v>
      </c>
    </row>
    <row r="9" spans="1:7" ht="25.5">
      <c r="A9" s="17" t="s">
        <v>484</v>
      </c>
      <c r="B9" s="22">
        <f>SUMIFS(MBQ[QTY TOTAL],MBQ[MEASURE TYPE],"=PANEL",MBQ[WIDTH (mm)],"&lt;=900")</f>
        <v>4</v>
      </c>
      <c r="C9" s="22">
        <f>SUMIFS(MBQ[QTY TOTAL],MBQ[MEASURE TYPE],"=PANEL",MBQ[WIDTH (mm)],"&lt;=900",MBQ[HEIGHT (mm)],"&lt;=3000")</f>
        <v>0</v>
      </c>
      <c r="D9" s="22">
        <f>SUMIFS(MBQ[QTY TOTAL],MBQ[MEASURE TYPE],"=PANEL",MBQ[WIDTH (mm)],"&lt;=900",MBQ[HEIGHT (mm)],"&gt;3000",MBQ[HEIGHT (mm)],"&lt;=4000")</f>
        <v>4</v>
      </c>
      <c r="E9" s="22">
        <f>SUMIFS(MBQ[QTY TOTAL],MBQ[MEASURE TYPE],"=PANEL",MBQ[WIDTH (mm)],"&lt;=900",MBQ[HEIGHT (mm)],"&gt;4000",MBQ[HEIGHT (mm)],"&lt;=5000")</f>
        <v>0</v>
      </c>
      <c r="F9" s="22">
        <f>SUMIFS(MBQ[QTY TOTAL],MBQ[MEASURE TYPE],"=PANEL",MBQ[WIDTH (mm)],"&lt;=900",MBQ[HEIGHT (mm)],"&gt;5000",MBQ[HEIGHT (mm)],"&lt;=6000")</f>
        <v>0</v>
      </c>
      <c r="G9" s="22">
        <f>SUMIFS(MBQ[QTY TOTAL],MBQ[MEASURE TYPE],"=PANEL",MBQ[WIDTH (mm)],"&lt;=900",MBQ[HEIGHT (mm)],"&gt;6000")</f>
        <v>0</v>
      </c>
    </row>
    <row r="11" spans="1:7">
      <c r="A11" s="17" t="s">
        <v>459</v>
      </c>
      <c r="B11" s="16">
        <v>165</v>
      </c>
    </row>
    <row r="12" spans="1:7">
      <c r="A12" s="17" t="s">
        <v>485</v>
      </c>
      <c r="B12" s="19">
        <v>980</v>
      </c>
    </row>
    <row r="13" spans="1:7">
      <c r="A13" s="17" t="s">
        <v>486</v>
      </c>
      <c r="B13" s="16">
        <v>20</v>
      </c>
    </row>
    <row r="14" spans="1:7">
      <c r="A14" s="17" t="s">
        <v>487</v>
      </c>
      <c r="B14" s="19">
        <v>4</v>
      </c>
    </row>
    <row r="15" spans="1:7">
      <c r="A15" s="17" t="s">
        <v>488</v>
      </c>
      <c r="B15" s="19">
        <v>3</v>
      </c>
    </row>
    <row r="16" spans="1:7">
      <c r="A16" s="17" t="s">
        <v>489</v>
      </c>
      <c r="B16" s="19">
        <v>2</v>
      </c>
    </row>
    <row r="17" spans="1:11" ht="25.5">
      <c r="A17" s="17" t="s">
        <v>490</v>
      </c>
      <c r="B17" s="19">
        <f>ROUNDDOWN(B12/(B11+B13),0)</f>
        <v>5</v>
      </c>
    </row>
    <row r="19" spans="1:11">
      <c r="A19" s="17" t="s">
        <v>487</v>
      </c>
      <c r="B19" s="17" t="s">
        <v>491</v>
      </c>
      <c r="C19" s="17" t="s">
        <v>492</v>
      </c>
      <c r="D19" s="17" t="s">
        <v>493</v>
      </c>
      <c r="E19" s="17" t="s">
        <v>494</v>
      </c>
      <c r="F19" s="17" t="s">
        <v>495</v>
      </c>
      <c r="G19" s="17" t="s">
        <v>496</v>
      </c>
      <c r="H19" s="17" t="s">
        <v>497</v>
      </c>
      <c r="I19" s="17" t="s">
        <v>498</v>
      </c>
      <c r="J19" s="17" t="s">
        <v>499</v>
      </c>
      <c r="K19" s="17" t="s">
        <v>500</v>
      </c>
    </row>
    <row r="20" spans="1:11">
      <c r="A20" s="17" t="s">
        <v>323</v>
      </c>
      <c r="B20" s="22">
        <f>ROUNDUP(C6/$B$17,0)</f>
        <v>1</v>
      </c>
      <c r="C20" s="19">
        <f>B20-$B$38*$B$14</f>
        <v>1</v>
      </c>
      <c r="D20" s="19">
        <f>C20</f>
        <v>1</v>
      </c>
      <c r="E20" s="19">
        <f>MAX((D20-$B$40*$B$14*2),0)</f>
        <v>1</v>
      </c>
      <c r="F20" s="19">
        <f>E20</f>
        <v>1</v>
      </c>
      <c r="G20" s="19">
        <f>MAX((F20-$B$42*$B$14*2*2),0)</f>
        <v>1</v>
      </c>
      <c r="H20" s="19">
        <f>MAX((G20-$B$43*$B$14*2),0)</f>
        <v>1</v>
      </c>
      <c r="I20" s="19">
        <f>H20</f>
        <v>1</v>
      </c>
      <c r="J20" s="19">
        <f>I20</f>
        <v>1</v>
      </c>
      <c r="K20" s="19">
        <f>J20</f>
        <v>1</v>
      </c>
    </row>
    <row r="21" spans="1:11">
      <c r="A21" s="17" t="s">
        <v>324</v>
      </c>
      <c r="B21" s="22">
        <f>ROUNDUP(C7/$B$17,0)</f>
        <v>8</v>
      </c>
      <c r="C21" s="19">
        <f>B21-$B$38*$B$14</f>
        <v>8</v>
      </c>
      <c r="D21" s="19">
        <f>C21</f>
        <v>8</v>
      </c>
      <c r="E21" s="19">
        <f>MAX((D21-$B$40*$B$14*2),0)</f>
        <v>8</v>
      </c>
      <c r="F21" s="19">
        <f>MAX((E21-$B$41*$B$14*2),0)</f>
        <v>8</v>
      </c>
      <c r="G21" s="19">
        <f t="shared" ref="G21:I22" si="0">F21</f>
        <v>8</v>
      </c>
      <c r="H21" s="19">
        <f t="shared" si="0"/>
        <v>8</v>
      </c>
      <c r="I21" s="19">
        <f t="shared" si="0"/>
        <v>8</v>
      </c>
      <c r="J21" s="19">
        <f>MAX((I21-$B$45*$B$14*2),0)</f>
        <v>0</v>
      </c>
      <c r="K21" s="19">
        <f>J21</f>
        <v>0</v>
      </c>
    </row>
    <row r="22" spans="1:11">
      <c r="A22" s="17" t="s">
        <v>325</v>
      </c>
      <c r="B22" s="22">
        <f>ROUNDUP(C8/$B$17,0)</f>
        <v>0</v>
      </c>
      <c r="C22" s="19">
        <f>B22-$B$38*$B$14</f>
        <v>0</v>
      </c>
      <c r="D22" s="19">
        <f>MAX((C22-$B$39*$B$14*2),0)</f>
        <v>0</v>
      </c>
      <c r="E22" s="19">
        <f>D22</f>
        <v>0</v>
      </c>
      <c r="F22" s="19">
        <f>E22</f>
        <v>0</v>
      </c>
      <c r="G22" s="19">
        <f t="shared" si="0"/>
        <v>0</v>
      </c>
      <c r="H22" s="19">
        <f t="shared" si="0"/>
        <v>0</v>
      </c>
      <c r="I22" s="19">
        <f t="shared" si="0"/>
        <v>0</v>
      </c>
      <c r="J22" s="19">
        <f>I22</f>
        <v>0</v>
      </c>
      <c r="K22" s="19">
        <f>MAX((J22-$B$46*$B$14*2),0)</f>
        <v>0</v>
      </c>
    </row>
    <row r="23" spans="1:11">
      <c r="A23" s="17" t="s">
        <v>501</v>
      </c>
      <c r="B23" s="22">
        <f>ROUNDUP(C9/$B$17,0)</f>
        <v>0</v>
      </c>
      <c r="C23" s="19">
        <f>B23-$B$38*$B$14</f>
        <v>0</v>
      </c>
      <c r="D23" s="19">
        <f>MAX((C23-$B$39*$B$14*2),0)</f>
        <v>0</v>
      </c>
      <c r="E23" s="19">
        <f>D23</f>
        <v>0</v>
      </c>
      <c r="F23" s="19">
        <f>MAX((E23-$B$41*$B$14*2),0)</f>
        <v>0</v>
      </c>
      <c r="G23" s="19">
        <f>F23</f>
        <v>0</v>
      </c>
      <c r="H23" s="19">
        <f>MAX((G23-$B$43*$B$14*2),0)</f>
        <v>0</v>
      </c>
      <c r="I23" s="19">
        <f>MAX((H23-$B$44*$B$14*2*2),0)</f>
        <v>0</v>
      </c>
      <c r="J23" s="19">
        <f>I23</f>
        <v>0</v>
      </c>
      <c r="K23" s="19">
        <f>J23</f>
        <v>0</v>
      </c>
    </row>
    <row r="25" spans="1:11">
      <c r="A25" s="17" t="s">
        <v>488</v>
      </c>
      <c r="B25" s="17" t="s">
        <v>491</v>
      </c>
      <c r="C25" s="17" t="s">
        <v>492</v>
      </c>
      <c r="D25" s="17" t="s">
        <v>493</v>
      </c>
      <c r="E25" s="17" t="s">
        <v>494</v>
      </c>
      <c r="F25" s="17" t="s">
        <v>495</v>
      </c>
      <c r="G25" s="17" t="s">
        <v>496</v>
      </c>
      <c r="H25" s="17" t="s">
        <v>497</v>
      </c>
      <c r="I25" s="17" t="s">
        <v>498</v>
      </c>
      <c r="J25" s="17" t="s">
        <v>499</v>
      </c>
      <c r="K25" s="17" t="s">
        <v>500</v>
      </c>
    </row>
    <row r="26" spans="1:11">
      <c r="A26" s="17" t="s">
        <v>323</v>
      </c>
      <c r="B26" s="22">
        <f>ROUNDUP(D6/$B$17,0)</f>
        <v>0</v>
      </c>
      <c r="C26" s="19">
        <f>MAX(B26-$C$38*$B$15,0)</f>
        <v>0</v>
      </c>
      <c r="D26" s="19">
        <f>C26</f>
        <v>0</v>
      </c>
      <c r="E26" s="19">
        <f>MAX((D26-$C$40*$B$15*2),0)</f>
        <v>0</v>
      </c>
      <c r="F26" s="19">
        <f>E26</f>
        <v>0</v>
      </c>
      <c r="G26" s="19">
        <f>MAX((F26-$C$42*$B$15*2*2),0)</f>
        <v>0</v>
      </c>
      <c r="H26" s="19">
        <f>MAX((G26-$C$43*$B$15*2),0)</f>
        <v>0</v>
      </c>
      <c r="I26" s="19">
        <f>H26</f>
        <v>0</v>
      </c>
      <c r="J26" s="19">
        <f>I26</f>
        <v>0</v>
      </c>
      <c r="K26" s="19">
        <f>J26</f>
        <v>0</v>
      </c>
    </row>
    <row r="27" spans="1:11">
      <c r="A27" s="17" t="s">
        <v>324</v>
      </c>
      <c r="B27" s="22">
        <f>ROUNDUP(D7/$B$17,0)</f>
        <v>20</v>
      </c>
      <c r="C27" s="19">
        <f>MAX(B27-$C$38*$B$15,0)</f>
        <v>20</v>
      </c>
      <c r="D27" s="19">
        <f>C27</f>
        <v>20</v>
      </c>
      <c r="E27" s="19">
        <f>MAX((D27-$C$40*$B$15*2),0)</f>
        <v>20</v>
      </c>
      <c r="F27" s="19">
        <f>MAX((E27-$C$41*$B$15*2),0)</f>
        <v>20</v>
      </c>
      <c r="G27" s="19">
        <f t="shared" ref="G27:I28" si="1">F27</f>
        <v>20</v>
      </c>
      <c r="H27" s="19">
        <f t="shared" si="1"/>
        <v>20</v>
      </c>
      <c r="I27" s="19">
        <f t="shared" si="1"/>
        <v>20</v>
      </c>
      <c r="J27" s="19">
        <f>MAX((I27-$C$45*$B$15*2),0)</f>
        <v>2</v>
      </c>
      <c r="K27" s="19">
        <f>J27</f>
        <v>2</v>
      </c>
    </row>
    <row r="28" spans="1:11">
      <c r="A28" s="17" t="s">
        <v>325</v>
      </c>
      <c r="B28" s="22">
        <f>ROUNDUP(D8/$B$17,0)</f>
        <v>0</v>
      </c>
      <c r="C28" s="19">
        <f>MAX(B28-$C$38*$B$15,0)</f>
        <v>0</v>
      </c>
      <c r="D28" s="19">
        <f>MAX((C28-$C$39*$B$15*2),0)</f>
        <v>0</v>
      </c>
      <c r="E28" s="19">
        <f>D28</f>
        <v>0</v>
      </c>
      <c r="F28" s="19">
        <f>E28</f>
        <v>0</v>
      </c>
      <c r="G28" s="19">
        <f t="shared" si="1"/>
        <v>0</v>
      </c>
      <c r="H28" s="19">
        <f t="shared" si="1"/>
        <v>0</v>
      </c>
      <c r="I28" s="19">
        <f t="shared" si="1"/>
        <v>0</v>
      </c>
      <c r="J28" s="19">
        <f>I28</f>
        <v>0</v>
      </c>
      <c r="K28" s="19">
        <f>MAX((J28-$C$46*$B$15*2),0)</f>
        <v>0</v>
      </c>
    </row>
    <row r="29" spans="1:11">
      <c r="A29" s="17" t="s">
        <v>501</v>
      </c>
      <c r="B29" s="22">
        <f>ROUNDUP(D9/$B$17,0)</f>
        <v>1</v>
      </c>
      <c r="C29" s="19">
        <f>MAX(B29-$C$38*$B$15,0)</f>
        <v>1</v>
      </c>
      <c r="D29" s="19">
        <f>MAX((C29-$C$39*$B$15*2),0)</f>
        <v>1</v>
      </c>
      <c r="E29" s="19">
        <f>D29</f>
        <v>1</v>
      </c>
      <c r="F29" s="19">
        <f>MAX((E29-$C$41*$B$15*2),0)</f>
        <v>1</v>
      </c>
      <c r="G29" s="19">
        <f>F29</f>
        <v>1</v>
      </c>
      <c r="H29" s="19">
        <f>MAX((G29-$C$43*$B$15*2),0)</f>
        <v>1</v>
      </c>
      <c r="I29" s="19">
        <f>MAX((H29-$C$44*$B$15*2*2),0)</f>
        <v>1</v>
      </c>
      <c r="J29" s="19">
        <f>I29</f>
        <v>1</v>
      </c>
      <c r="K29" s="19">
        <f>J29</f>
        <v>1</v>
      </c>
    </row>
    <row r="30" spans="1:11">
      <c r="A30" s="20"/>
      <c r="B30" s="21"/>
    </row>
    <row r="31" spans="1:11">
      <c r="A31" s="17" t="s">
        <v>489</v>
      </c>
      <c r="B31" s="17" t="s">
        <v>491</v>
      </c>
      <c r="C31" s="17" t="s">
        <v>492</v>
      </c>
      <c r="D31" s="17" t="s">
        <v>493</v>
      </c>
      <c r="E31" s="17" t="s">
        <v>494</v>
      </c>
      <c r="F31" s="17" t="s">
        <v>495</v>
      </c>
      <c r="G31" s="17" t="s">
        <v>496</v>
      </c>
      <c r="H31" s="17" t="s">
        <v>497</v>
      </c>
      <c r="I31" s="17" t="s">
        <v>498</v>
      </c>
      <c r="J31" s="17" t="s">
        <v>499</v>
      </c>
      <c r="K31" s="17" t="s">
        <v>500</v>
      </c>
    </row>
    <row r="32" spans="1:11">
      <c r="A32" s="17" t="s">
        <v>323</v>
      </c>
      <c r="B32" s="22">
        <f>ROUNDUP(SUM(E6:F6)/$B$17,0)</f>
        <v>0</v>
      </c>
      <c r="C32" s="19">
        <f>MAX(B32-$D$38*$B$16,0)</f>
        <v>0</v>
      </c>
      <c r="D32" s="19">
        <f>C32</f>
        <v>0</v>
      </c>
      <c r="E32" s="19">
        <f>MAX((D32-$D$40*$B$16*2),0)</f>
        <v>0</v>
      </c>
      <c r="F32" s="19">
        <f>E32</f>
        <v>0</v>
      </c>
      <c r="G32" s="19">
        <f>MAX((F32-$D$42*$B$16*2*2),0)</f>
        <v>0</v>
      </c>
      <c r="H32" s="19">
        <f>MAX((G32-$D$43*$B$16*2),0)</f>
        <v>0</v>
      </c>
      <c r="I32" s="19">
        <f>H32</f>
        <v>0</v>
      </c>
      <c r="J32" s="19">
        <f>I32</f>
        <v>0</v>
      </c>
      <c r="K32" s="19">
        <f>J32</f>
        <v>0</v>
      </c>
    </row>
    <row r="33" spans="1:11">
      <c r="A33" s="17" t="s">
        <v>324</v>
      </c>
      <c r="B33" s="22">
        <f>ROUNDUP(SUM(E7:F7)/$B$17,0)</f>
        <v>0</v>
      </c>
      <c r="C33" s="19">
        <f>MAX(B33-$D$38*$B$16,0)</f>
        <v>0</v>
      </c>
      <c r="D33" s="19">
        <f>C33</f>
        <v>0</v>
      </c>
      <c r="E33" s="19">
        <f>MAX((D33-$D$40*$B$16*2),0)</f>
        <v>0</v>
      </c>
      <c r="F33" s="19">
        <f>MAX((E33-$D$41*$B$16*2),0)</f>
        <v>0</v>
      </c>
      <c r="G33" s="19">
        <f t="shared" ref="G33:I34" si="2">F33</f>
        <v>0</v>
      </c>
      <c r="H33" s="19">
        <f t="shared" si="2"/>
        <v>0</v>
      </c>
      <c r="I33" s="19">
        <f t="shared" si="2"/>
        <v>0</v>
      </c>
      <c r="J33" s="19">
        <f>MAX((I33-$D$45*$B$16*2),0)</f>
        <v>0</v>
      </c>
      <c r="K33" s="19">
        <f>J33</f>
        <v>0</v>
      </c>
    </row>
    <row r="34" spans="1:11">
      <c r="A34" s="17" t="s">
        <v>325</v>
      </c>
      <c r="B34" s="22">
        <f>ROUNDUP(SUM(E8:F8)/$B$17,0)</f>
        <v>0</v>
      </c>
      <c r="C34" s="19">
        <f>MAX(B34-$D$38*$B$16,0)</f>
        <v>0</v>
      </c>
      <c r="D34" s="19">
        <f>MAX((C34-$D$39*$B$16*2),0)</f>
        <v>0</v>
      </c>
      <c r="E34" s="19">
        <f>D34</f>
        <v>0</v>
      </c>
      <c r="F34" s="19">
        <f>E34</f>
        <v>0</v>
      </c>
      <c r="G34" s="19">
        <f t="shared" si="2"/>
        <v>0</v>
      </c>
      <c r="H34" s="19">
        <f t="shared" si="2"/>
        <v>0</v>
      </c>
      <c r="I34" s="19">
        <f t="shared" si="2"/>
        <v>0</v>
      </c>
      <c r="J34" s="19">
        <f>I34</f>
        <v>0</v>
      </c>
      <c r="K34" s="19">
        <f>MAX((J34-$D$46*$B$14*2),0)</f>
        <v>0</v>
      </c>
    </row>
    <row r="35" spans="1:11">
      <c r="A35" s="17" t="s">
        <v>501</v>
      </c>
      <c r="B35" s="22">
        <f>ROUNDUP(SUM(E9:F9)/$B$17,0)</f>
        <v>0</v>
      </c>
      <c r="C35" s="19">
        <f>MAX(B35-$D$38*$B$16,0)</f>
        <v>0</v>
      </c>
      <c r="D35" s="19">
        <f>MAX((C35-$D$39*$B$16*2),0)</f>
        <v>0</v>
      </c>
      <c r="E35" s="19">
        <f>D35</f>
        <v>0</v>
      </c>
      <c r="F35" s="19">
        <f>MAX((E35-$D$41*$B$16*2),0)</f>
        <v>0</v>
      </c>
      <c r="G35" s="19">
        <f>F35</f>
        <v>0</v>
      </c>
      <c r="H35" s="19">
        <f>MAX((G35-$D$43*$B$16*2),0)</f>
        <v>0</v>
      </c>
      <c r="I35" s="19">
        <f>MAX((H35-$D$44*$B$16*2*2),0)</f>
        <v>0</v>
      </c>
      <c r="J35" s="19">
        <f>I35</f>
        <v>0</v>
      </c>
      <c r="K35" s="19">
        <f>J35</f>
        <v>0</v>
      </c>
    </row>
    <row r="36" spans="1:11">
      <c r="A36" s="20"/>
      <c r="B36" s="21"/>
    </row>
    <row r="37" spans="1:11">
      <c r="A37" s="20"/>
      <c r="B37" s="18" t="s">
        <v>487</v>
      </c>
      <c r="C37" s="18" t="s">
        <v>488</v>
      </c>
      <c r="D37" s="18" t="s">
        <v>489</v>
      </c>
    </row>
    <row r="38" spans="1:11">
      <c r="A38" s="17" t="s">
        <v>491</v>
      </c>
      <c r="B38" s="19">
        <f>ROUNDDOWN(MIN(B20:B23)/$B$14,0)</f>
        <v>0</v>
      </c>
      <c r="C38" s="19">
        <f>ROUNDDOWN(MIN(B26:B29)/$B$15,0)</f>
        <v>0</v>
      </c>
      <c r="D38" s="19">
        <f>ROUNDDOWN(MIN(B32:B35)/$B$16,0)</f>
        <v>0</v>
      </c>
    </row>
    <row r="39" spans="1:11">
      <c r="A39" s="17" t="s">
        <v>492</v>
      </c>
      <c r="B39" s="19">
        <f>ROUNDDOWN(MIN(C22:C23)/$B$14/2,0)</f>
        <v>0</v>
      </c>
      <c r="C39" s="19">
        <f>ROUNDDOWN(MIN(C28:C29)/$B$15/2,0)</f>
        <v>0</v>
      </c>
      <c r="D39" s="19">
        <f>ROUNDDOWN(MIN(C34:C35)/$B$16/2,0)</f>
        <v>0</v>
      </c>
    </row>
    <row r="40" spans="1:11">
      <c r="A40" s="17" t="s">
        <v>493</v>
      </c>
      <c r="B40" s="19">
        <f>ROUNDDOWN(MIN(D20:D21)/$B$14/2,0)</f>
        <v>0</v>
      </c>
      <c r="C40" s="19">
        <f>ROUNDDOWN(MIN(D26:D27)/$B$15/2,0)</f>
        <v>0</v>
      </c>
      <c r="D40" s="19">
        <f>ROUNDDOWN(MIN(D32:D33)/$B$16/2,0)</f>
        <v>0</v>
      </c>
    </row>
    <row r="41" spans="1:11">
      <c r="A41" s="17" t="s">
        <v>494</v>
      </c>
      <c r="B41" s="19">
        <f>ROUNDDOWN(MIN(E21,E23)/$B$14/2,0)</f>
        <v>0</v>
      </c>
      <c r="C41" s="19">
        <f>ROUNDDOWN(MIN(E27,E29)/$B$15/2,0)</f>
        <v>0</v>
      </c>
      <c r="D41" s="19">
        <f>ROUNDDOWN(MIN(E33,E35)/$B$16/2,0)</f>
        <v>0</v>
      </c>
    </row>
    <row r="42" spans="1:11">
      <c r="A42" s="17" t="s">
        <v>495</v>
      </c>
      <c r="B42" s="19">
        <f>ROUNDDOWN(F20/$B$14/2/2,0)</f>
        <v>0</v>
      </c>
      <c r="C42" s="19">
        <f>ROUNDDOWN(F26/$B$15/2/2,0)</f>
        <v>0</v>
      </c>
      <c r="D42" s="19">
        <f>ROUNDDOWN(F32/$B$16/2/2,0)</f>
        <v>0</v>
      </c>
    </row>
    <row r="43" spans="1:11">
      <c r="A43" s="17" t="s">
        <v>496</v>
      </c>
      <c r="B43" s="19">
        <f>ROUNDDOWN(MIN(G20,G23)/$B$14/2,0)</f>
        <v>0</v>
      </c>
      <c r="C43" s="19">
        <f>ROUNDDOWN(MIN(G26,G29)/$B$15/2,0)</f>
        <v>0</v>
      </c>
      <c r="D43" s="19">
        <f>ROUNDDOWN(MIN(G32,G35)/$B$16/2,0)</f>
        <v>0</v>
      </c>
    </row>
    <row r="44" spans="1:11">
      <c r="A44" s="17" t="s">
        <v>497</v>
      </c>
      <c r="B44" s="19">
        <f>ROUNDDOWN(H23/$B$14/2,0)</f>
        <v>0</v>
      </c>
      <c r="C44" s="19">
        <f>ROUNDDOWN(H29/$B$15/2,0)</f>
        <v>0</v>
      </c>
      <c r="D44" s="19">
        <f>ROUNDDOWN(H35/$B$16/2,0)</f>
        <v>0</v>
      </c>
    </row>
    <row r="45" spans="1:11">
      <c r="A45" s="17" t="s">
        <v>498</v>
      </c>
      <c r="B45" s="19">
        <f>ROUNDDOWN(I21/$B$14/2,0)</f>
        <v>1</v>
      </c>
      <c r="C45" s="19">
        <f>ROUNDDOWN(I27/$B$15/2,0)</f>
        <v>3</v>
      </c>
      <c r="D45" s="19">
        <f>ROUNDDOWN(I33/$B$16/2,0)</f>
        <v>0</v>
      </c>
    </row>
    <row r="46" spans="1:11">
      <c r="A46" s="17" t="s">
        <v>499</v>
      </c>
      <c r="B46" s="19">
        <f>ROUNDDOWN(J22/$B$14/2,0)</f>
        <v>0</v>
      </c>
      <c r="C46" s="19">
        <f>ROUNDDOWN(J28/$B$15/2,0)</f>
        <v>0</v>
      </c>
      <c r="D46" s="19">
        <f>ROUNDDOWN(J34/$B$16/2,0)</f>
        <v>0</v>
      </c>
    </row>
    <row r="47" spans="1:11" ht="25.5">
      <c r="A47" s="17" t="s">
        <v>328</v>
      </c>
      <c r="B47" s="18">
        <f>SUM(B38:B46)</f>
        <v>1</v>
      </c>
      <c r="C47" s="18">
        <f>SUM(C38:C46)</f>
        <v>3</v>
      </c>
      <c r="D47" s="18">
        <f>SUM(D38:D46)</f>
        <v>0</v>
      </c>
    </row>
    <row r="48" spans="1:11">
      <c r="A48" s="17" t="s">
        <v>502</v>
      </c>
      <c r="B48" s="16"/>
      <c r="C48" s="16"/>
      <c r="D48" s="16">
        <v>1</v>
      </c>
    </row>
    <row r="719" spans="4:4">
      <c r="D719" s="15" t="s">
        <v>479</v>
      </c>
    </row>
  </sheetData>
  <conditionalFormatting sqref="A6:A8 A11:A13 A17">
    <cfRule type="cellIs" dxfId="76" priority="76" operator="lessThan">
      <formula>0</formula>
    </cfRule>
  </conditionalFormatting>
  <conditionalFormatting sqref="B7:B8">
    <cfRule type="cellIs" dxfId="75" priority="77" operator="lessThan">
      <formula>0</formula>
    </cfRule>
  </conditionalFormatting>
  <conditionalFormatting sqref="A9">
    <cfRule type="cellIs" dxfId="74" priority="75" operator="lessThan">
      <formula>0</formula>
    </cfRule>
  </conditionalFormatting>
  <conditionalFormatting sqref="C8">
    <cfRule type="cellIs" dxfId="73" priority="74" operator="lessThan">
      <formula>0</formula>
    </cfRule>
  </conditionalFormatting>
  <conditionalFormatting sqref="C9">
    <cfRule type="cellIs" dxfId="72" priority="73" operator="lessThan">
      <formula>0</formula>
    </cfRule>
  </conditionalFormatting>
  <conditionalFormatting sqref="C6">
    <cfRule type="cellIs" dxfId="71" priority="72" operator="lessThan">
      <formula>0</formula>
    </cfRule>
  </conditionalFormatting>
  <conditionalFormatting sqref="D6">
    <cfRule type="cellIs" dxfId="70" priority="71" operator="lessThan">
      <formula>0</formula>
    </cfRule>
  </conditionalFormatting>
  <conditionalFormatting sqref="C7">
    <cfRule type="cellIs" dxfId="69" priority="70" operator="lessThan">
      <formula>0</formula>
    </cfRule>
  </conditionalFormatting>
  <conditionalFormatting sqref="D7">
    <cfRule type="cellIs" dxfId="68" priority="69" operator="lessThan">
      <formula>0</formula>
    </cfRule>
  </conditionalFormatting>
  <conditionalFormatting sqref="D8">
    <cfRule type="cellIs" dxfId="67" priority="68" operator="lessThan">
      <formula>0</formula>
    </cfRule>
  </conditionalFormatting>
  <conditionalFormatting sqref="D9">
    <cfRule type="cellIs" dxfId="66" priority="67" operator="lessThan">
      <formula>0</formula>
    </cfRule>
  </conditionalFormatting>
  <conditionalFormatting sqref="E6">
    <cfRule type="cellIs" dxfId="65" priority="66" operator="lessThan">
      <formula>0</formula>
    </cfRule>
  </conditionalFormatting>
  <conditionalFormatting sqref="E7">
    <cfRule type="cellIs" dxfId="64" priority="65" operator="lessThan">
      <formula>0</formula>
    </cfRule>
  </conditionalFormatting>
  <conditionalFormatting sqref="E8">
    <cfRule type="cellIs" dxfId="63" priority="64" operator="lessThan">
      <formula>0</formula>
    </cfRule>
  </conditionalFormatting>
  <conditionalFormatting sqref="E9">
    <cfRule type="cellIs" dxfId="62" priority="63" operator="lessThan">
      <formula>0</formula>
    </cfRule>
  </conditionalFormatting>
  <conditionalFormatting sqref="F6">
    <cfRule type="cellIs" dxfId="61" priority="62" operator="lessThan">
      <formula>0</formula>
    </cfRule>
  </conditionalFormatting>
  <conditionalFormatting sqref="F7">
    <cfRule type="cellIs" dxfId="60" priority="61" operator="lessThan">
      <formula>0</formula>
    </cfRule>
  </conditionalFormatting>
  <conditionalFormatting sqref="F8">
    <cfRule type="cellIs" dxfId="59" priority="60" operator="lessThan">
      <formula>0</formula>
    </cfRule>
  </conditionalFormatting>
  <conditionalFormatting sqref="F9">
    <cfRule type="cellIs" dxfId="58" priority="59" operator="lessThan">
      <formula>0</formula>
    </cfRule>
  </conditionalFormatting>
  <conditionalFormatting sqref="G8">
    <cfRule type="cellIs" dxfId="57" priority="58" operator="lessThan">
      <formula>0</formula>
    </cfRule>
  </conditionalFormatting>
  <conditionalFormatting sqref="G9">
    <cfRule type="cellIs" dxfId="56" priority="57" operator="lessThan">
      <formula>0</formula>
    </cfRule>
  </conditionalFormatting>
  <conditionalFormatting sqref="G6">
    <cfRule type="cellIs" dxfId="55" priority="56" operator="lessThan">
      <formula>0</formula>
    </cfRule>
  </conditionalFormatting>
  <conditionalFormatting sqref="G7">
    <cfRule type="cellIs" dxfId="54" priority="55" operator="lessThan">
      <formula>0</formula>
    </cfRule>
  </conditionalFormatting>
  <conditionalFormatting sqref="B5:G5">
    <cfRule type="cellIs" dxfId="53" priority="54" operator="lessThan">
      <formula>0</formula>
    </cfRule>
  </conditionalFormatting>
  <conditionalFormatting sqref="A20:A23 A38:A40">
    <cfRule type="cellIs" dxfId="52" priority="53" operator="lessThan">
      <formula>0</formula>
    </cfRule>
  </conditionalFormatting>
  <conditionalFormatting sqref="B20:B23">
    <cfRule type="cellIs" dxfId="51" priority="52" operator="lessThan">
      <formula>0</formula>
    </cfRule>
  </conditionalFormatting>
  <conditionalFormatting sqref="B19">
    <cfRule type="cellIs" dxfId="50" priority="51" operator="lessThan">
      <formula>0</formula>
    </cfRule>
  </conditionalFormatting>
  <conditionalFormatting sqref="C19">
    <cfRule type="cellIs" dxfId="49" priority="50" operator="lessThan">
      <formula>0</formula>
    </cfRule>
  </conditionalFormatting>
  <conditionalFormatting sqref="D19">
    <cfRule type="cellIs" dxfId="48" priority="49" operator="lessThan">
      <formula>0</formula>
    </cfRule>
  </conditionalFormatting>
  <conditionalFormatting sqref="A40:A45">
    <cfRule type="cellIs" dxfId="47" priority="48" operator="lessThan">
      <formula>0</formula>
    </cfRule>
  </conditionalFormatting>
  <conditionalFormatting sqref="E19">
    <cfRule type="cellIs" dxfId="46" priority="47" operator="lessThan">
      <formula>0</formula>
    </cfRule>
  </conditionalFormatting>
  <conditionalFormatting sqref="F19">
    <cfRule type="cellIs" dxfId="45" priority="46" operator="lessThan">
      <formula>0</formula>
    </cfRule>
  </conditionalFormatting>
  <conditionalFormatting sqref="G19">
    <cfRule type="cellIs" dxfId="44" priority="45" operator="lessThan">
      <formula>0</formula>
    </cfRule>
  </conditionalFormatting>
  <conditionalFormatting sqref="H19">
    <cfRule type="cellIs" dxfId="43" priority="44" operator="lessThan">
      <formula>0</formula>
    </cfRule>
  </conditionalFormatting>
  <conditionalFormatting sqref="I19">
    <cfRule type="cellIs" dxfId="42" priority="43" operator="lessThan">
      <formula>0</formula>
    </cfRule>
  </conditionalFormatting>
  <conditionalFormatting sqref="A46">
    <cfRule type="cellIs" dxfId="41" priority="42" operator="lessThan">
      <formula>0</formula>
    </cfRule>
  </conditionalFormatting>
  <conditionalFormatting sqref="J19">
    <cfRule type="cellIs" dxfId="40" priority="41" operator="lessThan">
      <formula>0</formula>
    </cfRule>
  </conditionalFormatting>
  <conditionalFormatting sqref="K19">
    <cfRule type="cellIs" dxfId="39" priority="40" operator="lessThan">
      <formula>0</formula>
    </cfRule>
  </conditionalFormatting>
  <conditionalFormatting sqref="A47">
    <cfRule type="cellIs" dxfId="38" priority="39" operator="lessThan">
      <formula>0</formula>
    </cfRule>
  </conditionalFormatting>
  <conditionalFormatting sqref="A26:A30 A36:A37">
    <cfRule type="cellIs" dxfId="37" priority="38" operator="lessThan">
      <formula>0</formula>
    </cfRule>
  </conditionalFormatting>
  <conditionalFormatting sqref="B36 B26:B30">
    <cfRule type="cellIs" dxfId="36" priority="37" operator="lessThan">
      <formula>0</formula>
    </cfRule>
  </conditionalFormatting>
  <conditionalFormatting sqref="B25">
    <cfRule type="cellIs" dxfId="35" priority="36" operator="lessThan">
      <formula>0</formula>
    </cfRule>
  </conditionalFormatting>
  <conditionalFormatting sqref="C25">
    <cfRule type="cellIs" dxfId="34" priority="35" operator="lessThan">
      <formula>0</formula>
    </cfRule>
  </conditionalFormatting>
  <conditionalFormatting sqref="D25">
    <cfRule type="cellIs" dxfId="33" priority="34" operator="lessThan">
      <formula>0</formula>
    </cfRule>
  </conditionalFormatting>
  <conditionalFormatting sqref="E25">
    <cfRule type="cellIs" dxfId="32" priority="33" operator="lessThan">
      <formula>0</formula>
    </cfRule>
  </conditionalFormatting>
  <conditionalFormatting sqref="F25">
    <cfRule type="cellIs" dxfId="31" priority="32" operator="lessThan">
      <formula>0</formula>
    </cfRule>
  </conditionalFormatting>
  <conditionalFormatting sqref="G25">
    <cfRule type="cellIs" dxfId="30" priority="31" operator="lessThan">
      <formula>0</formula>
    </cfRule>
  </conditionalFormatting>
  <conditionalFormatting sqref="H25">
    <cfRule type="cellIs" dxfId="29" priority="30" operator="lessThan">
      <formula>0</formula>
    </cfRule>
  </conditionalFormatting>
  <conditionalFormatting sqref="I25">
    <cfRule type="cellIs" dxfId="28" priority="29" operator="lessThan">
      <formula>0</formula>
    </cfRule>
  </conditionalFormatting>
  <conditionalFormatting sqref="J25">
    <cfRule type="cellIs" dxfId="27" priority="28" operator="lessThan">
      <formula>0</formula>
    </cfRule>
  </conditionalFormatting>
  <conditionalFormatting sqref="K25">
    <cfRule type="cellIs" dxfId="26" priority="27" operator="lessThan">
      <formula>0</formula>
    </cfRule>
  </conditionalFormatting>
  <conditionalFormatting sqref="A32:A35">
    <cfRule type="cellIs" dxfId="25" priority="26" operator="lessThan">
      <formula>0</formula>
    </cfRule>
  </conditionalFormatting>
  <conditionalFormatting sqref="B32:B35">
    <cfRule type="cellIs" dxfId="24" priority="25" operator="lessThan">
      <formula>0</formula>
    </cfRule>
  </conditionalFormatting>
  <conditionalFormatting sqref="B31">
    <cfRule type="cellIs" dxfId="23" priority="24" operator="lessThan">
      <formula>0</formula>
    </cfRule>
  </conditionalFormatting>
  <conditionalFormatting sqref="C31">
    <cfRule type="cellIs" dxfId="22" priority="23" operator="lessThan">
      <formula>0</formula>
    </cfRule>
  </conditionalFormatting>
  <conditionalFormatting sqref="D31">
    <cfRule type="cellIs" dxfId="21" priority="22" operator="lessThan">
      <formula>0</formula>
    </cfRule>
  </conditionalFormatting>
  <conditionalFormatting sqref="E31">
    <cfRule type="cellIs" dxfId="20" priority="21" operator="lessThan">
      <formula>0</formula>
    </cfRule>
  </conditionalFormatting>
  <conditionalFormatting sqref="F31">
    <cfRule type="cellIs" dxfId="19" priority="20" operator="lessThan">
      <formula>0</formula>
    </cfRule>
  </conditionalFormatting>
  <conditionalFormatting sqref="G31">
    <cfRule type="cellIs" dxfId="18" priority="19" operator="lessThan">
      <formula>0</formula>
    </cfRule>
  </conditionalFormatting>
  <conditionalFormatting sqref="H31">
    <cfRule type="cellIs" dxfId="17" priority="18" operator="lessThan">
      <formula>0</formula>
    </cfRule>
  </conditionalFormatting>
  <conditionalFormatting sqref="I31">
    <cfRule type="cellIs" dxfId="16" priority="17" operator="lessThan">
      <formula>0</formula>
    </cfRule>
  </conditionalFormatting>
  <conditionalFormatting sqref="J31">
    <cfRule type="cellIs" dxfId="15" priority="16" operator="lessThan">
      <formula>0</formula>
    </cfRule>
  </conditionalFormatting>
  <conditionalFormatting sqref="K31">
    <cfRule type="cellIs" dxfId="14" priority="15" operator="lessThan">
      <formula>0</formula>
    </cfRule>
  </conditionalFormatting>
  <conditionalFormatting sqref="A14">
    <cfRule type="cellIs" dxfId="13" priority="14" operator="lessThan">
      <formula>0</formula>
    </cfRule>
  </conditionalFormatting>
  <conditionalFormatting sqref="A19">
    <cfRule type="cellIs" dxfId="12" priority="13" operator="lessThan">
      <formula>0</formula>
    </cfRule>
  </conditionalFormatting>
  <conditionalFormatting sqref="A25">
    <cfRule type="cellIs" dxfId="11" priority="12" operator="lessThan">
      <formula>0</formula>
    </cfRule>
  </conditionalFormatting>
  <conditionalFormatting sqref="A31">
    <cfRule type="cellIs" dxfId="10" priority="11" operator="lessThan">
      <formula>0</formula>
    </cfRule>
  </conditionalFormatting>
  <conditionalFormatting sqref="A15">
    <cfRule type="cellIs" dxfId="9" priority="10" operator="lessThan">
      <formula>0</formula>
    </cfRule>
  </conditionalFormatting>
  <conditionalFormatting sqref="A16">
    <cfRule type="cellIs" dxfId="8" priority="9" operator="lessThan">
      <formula>0</formula>
    </cfRule>
  </conditionalFormatting>
  <conditionalFormatting sqref="A48">
    <cfRule type="cellIs" dxfId="7" priority="8" operator="lessThan">
      <formula>0</formula>
    </cfRule>
  </conditionalFormatting>
  <conditionalFormatting sqref="A2">
    <cfRule type="cellIs" dxfId="6" priority="7" operator="lessThan">
      <formula>0</formula>
    </cfRule>
  </conditionalFormatting>
  <conditionalFormatting sqref="B2">
    <cfRule type="cellIs" dxfId="5" priority="6" operator="lessThan">
      <formula>0</formula>
    </cfRule>
  </conditionalFormatting>
  <conditionalFormatting sqref="B6">
    <cfRule type="cellIs" dxfId="4" priority="5" operator="lessThan">
      <formula>0</formula>
    </cfRule>
  </conditionalFormatting>
  <conditionalFormatting sqref="B9">
    <cfRule type="cellIs" dxfId="3" priority="4" operator="lessThan">
      <formula>0</formula>
    </cfRule>
  </conditionalFormatting>
  <conditionalFormatting sqref="D719">
    <cfRule type="expression" dxfId="2" priority="3">
      <formula>$H719="PANEL"</formula>
    </cfRule>
  </conditionalFormatting>
  <conditionalFormatting sqref="C2">
    <cfRule type="cellIs" dxfId="1" priority="2" operator="lessThan">
      <formula>0</formula>
    </cfRule>
  </conditionalFormatting>
  <conditionalFormatting sqref="D2">
    <cfRule type="cellIs" dxfId="0" priority="1" operator="lessThan">
      <formula>0</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6B0FD-CEFC-48A6-A7CF-2B8754D2ECE1}">
  <sheetPr>
    <pageSetUpPr fitToPage="1"/>
  </sheetPr>
  <dimension ref="A1:V83"/>
  <sheetViews>
    <sheetView workbookViewId="0"/>
  </sheetViews>
  <sheetFormatPr defaultRowHeight="15" customHeight="1"/>
  <cols>
    <col min="1" max="1" width="2.5703125" style="295" customWidth="1"/>
    <col min="2" max="6" width="10.7109375" style="295" customWidth="1"/>
    <col min="7" max="7" width="4.42578125" style="295" customWidth="1"/>
    <col min="8" max="8" width="9.85546875" style="295" customWidth="1"/>
    <col min="9" max="9" width="19.140625" style="295" customWidth="1"/>
    <col min="10" max="10" width="10.28515625" style="295" customWidth="1"/>
    <col min="11" max="11" width="15.140625" style="295" customWidth="1"/>
    <col min="12" max="12" width="19" style="295" customWidth="1"/>
    <col min="13" max="13" width="11.28515625" style="295" customWidth="1"/>
    <col min="14" max="14" width="5.28515625" style="295" customWidth="1"/>
    <col min="15" max="15" width="9.28515625" style="295" bestFit="1" customWidth="1"/>
    <col min="16" max="16" width="11.28515625" style="295" bestFit="1" customWidth="1"/>
    <col min="17" max="20" width="9.140625" style="295" hidden="1" customWidth="1"/>
    <col min="21" max="21" width="0" style="295" hidden="1" customWidth="1"/>
    <col min="22" max="225" width="8.85546875" style="295"/>
    <col min="226" max="226" width="4.7109375" style="295" customWidth="1"/>
    <col min="227" max="227" width="2.5703125" style="295" customWidth="1"/>
    <col min="228" max="228" width="10.5703125" style="295" customWidth="1"/>
    <col min="229" max="229" width="9.7109375" style="295" customWidth="1"/>
    <col min="230" max="230" width="12.140625" style="295" customWidth="1"/>
    <col min="231" max="231" width="10.85546875" style="295" customWidth="1"/>
    <col min="232" max="232" width="11.85546875" style="295" customWidth="1"/>
    <col min="233" max="233" width="12" style="295" customWidth="1"/>
    <col min="234" max="234" width="12.7109375" style="295" customWidth="1"/>
    <col min="235" max="235" width="13.28515625" style="295" customWidth="1"/>
    <col min="236" max="236" width="11.42578125" style="295" customWidth="1"/>
    <col min="237" max="237" width="9.85546875" style="295" customWidth="1"/>
    <col min="238" max="238" width="11" style="295" customWidth="1"/>
    <col min="239" max="239" width="10.5703125" style="295" customWidth="1"/>
    <col min="240" max="240" width="15.7109375" style="295" customWidth="1"/>
    <col min="241" max="241" width="0" style="295" hidden="1" customWidth="1"/>
    <col min="242" max="242" width="2.7109375" style="295" customWidth="1"/>
    <col min="243" max="243" width="4.7109375" style="295" customWidth="1"/>
    <col min="244" max="244" width="5.28515625" style="295" customWidth="1"/>
    <col min="245" max="245" width="9.28515625" style="295" bestFit="1" customWidth="1"/>
    <col min="246" max="246" width="19.28515625" style="295" customWidth="1"/>
    <col min="247" max="481" width="8.85546875" style="295"/>
    <col min="482" max="482" width="4.7109375" style="295" customWidth="1"/>
    <col min="483" max="483" width="2.5703125" style="295" customWidth="1"/>
    <col min="484" max="484" width="10.5703125" style="295" customWidth="1"/>
    <col min="485" max="485" width="9.7109375" style="295" customWidth="1"/>
    <col min="486" max="486" width="12.140625" style="295" customWidth="1"/>
    <col min="487" max="487" width="10.85546875" style="295" customWidth="1"/>
    <col min="488" max="488" width="11.85546875" style="295" customWidth="1"/>
    <col min="489" max="489" width="12" style="295" customWidth="1"/>
    <col min="490" max="490" width="12.7109375" style="295" customWidth="1"/>
    <col min="491" max="491" width="13.28515625" style="295" customWidth="1"/>
    <col min="492" max="492" width="11.42578125" style="295" customWidth="1"/>
    <col min="493" max="493" width="9.85546875" style="295" customWidth="1"/>
    <col min="494" max="494" width="11" style="295" customWidth="1"/>
    <col min="495" max="495" width="10.5703125" style="295" customWidth="1"/>
    <col min="496" max="496" width="15.7109375" style="295" customWidth="1"/>
    <col min="497" max="497" width="0" style="295" hidden="1" customWidth="1"/>
    <col min="498" max="498" width="2.7109375" style="295" customWidth="1"/>
    <col min="499" max="499" width="4.7109375" style="295" customWidth="1"/>
    <col min="500" max="500" width="5.28515625" style="295" customWidth="1"/>
    <col min="501" max="501" width="9.28515625" style="295" bestFit="1" customWidth="1"/>
    <col min="502" max="502" width="19.28515625" style="295" customWidth="1"/>
    <col min="503" max="737" width="8.85546875" style="295"/>
    <col min="738" max="738" width="4.7109375" style="295" customWidth="1"/>
    <col min="739" max="739" width="2.5703125" style="295" customWidth="1"/>
    <col min="740" max="740" width="10.5703125" style="295" customWidth="1"/>
    <col min="741" max="741" width="9.7109375" style="295" customWidth="1"/>
    <col min="742" max="742" width="12.140625" style="295" customWidth="1"/>
    <col min="743" max="743" width="10.85546875" style="295" customWidth="1"/>
    <col min="744" max="744" width="11.85546875" style="295" customWidth="1"/>
    <col min="745" max="745" width="12" style="295" customWidth="1"/>
    <col min="746" max="746" width="12.7109375" style="295" customWidth="1"/>
    <col min="747" max="747" width="13.28515625" style="295" customWidth="1"/>
    <col min="748" max="748" width="11.42578125" style="295" customWidth="1"/>
    <col min="749" max="749" width="9.85546875" style="295" customWidth="1"/>
    <col min="750" max="750" width="11" style="295" customWidth="1"/>
    <col min="751" max="751" width="10.5703125" style="295" customWidth="1"/>
    <col min="752" max="752" width="15.7109375" style="295" customWidth="1"/>
    <col min="753" max="753" width="0" style="295" hidden="1" customWidth="1"/>
    <col min="754" max="754" width="2.7109375" style="295" customWidth="1"/>
    <col min="755" max="755" width="4.7109375" style="295" customWidth="1"/>
    <col min="756" max="756" width="5.28515625" style="295" customWidth="1"/>
    <col min="757" max="757" width="9.28515625" style="295" bestFit="1" customWidth="1"/>
    <col min="758" max="758" width="19.28515625" style="295" customWidth="1"/>
    <col min="759" max="993" width="8.85546875" style="295"/>
    <col min="994" max="994" width="4.7109375" style="295" customWidth="1"/>
    <col min="995" max="995" width="2.5703125" style="295" customWidth="1"/>
    <col min="996" max="996" width="10.5703125" style="295" customWidth="1"/>
    <col min="997" max="997" width="9.7109375" style="295" customWidth="1"/>
    <col min="998" max="998" width="12.140625" style="295" customWidth="1"/>
    <col min="999" max="999" width="10.85546875" style="295" customWidth="1"/>
    <col min="1000" max="1000" width="11.85546875" style="295" customWidth="1"/>
    <col min="1001" max="1001" width="12" style="295" customWidth="1"/>
    <col min="1002" max="1002" width="12.7109375" style="295" customWidth="1"/>
    <col min="1003" max="1003" width="13.28515625" style="295" customWidth="1"/>
    <col min="1004" max="1004" width="11.42578125" style="295" customWidth="1"/>
    <col min="1005" max="1005" width="9.85546875" style="295" customWidth="1"/>
    <col min="1006" max="1006" width="11" style="295" customWidth="1"/>
    <col min="1007" max="1007" width="10.5703125" style="295" customWidth="1"/>
    <col min="1008" max="1008" width="15.7109375" style="295" customWidth="1"/>
    <col min="1009" max="1009" width="0" style="295" hidden="1" customWidth="1"/>
    <col min="1010" max="1010" width="2.7109375" style="295" customWidth="1"/>
    <col min="1011" max="1011" width="4.7109375" style="295" customWidth="1"/>
    <col min="1012" max="1012" width="5.28515625" style="295" customWidth="1"/>
    <col min="1013" max="1013" width="9.28515625" style="295" bestFit="1" customWidth="1"/>
    <col min="1014" max="1014" width="19.28515625" style="295" customWidth="1"/>
    <col min="1015" max="1249" width="8.85546875" style="295"/>
    <col min="1250" max="1250" width="4.7109375" style="295" customWidth="1"/>
    <col min="1251" max="1251" width="2.5703125" style="295" customWidth="1"/>
    <col min="1252" max="1252" width="10.5703125" style="295" customWidth="1"/>
    <col min="1253" max="1253" width="9.7109375" style="295" customWidth="1"/>
    <col min="1254" max="1254" width="12.140625" style="295" customWidth="1"/>
    <col min="1255" max="1255" width="10.85546875" style="295" customWidth="1"/>
    <col min="1256" max="1256" width="11.85546875" style="295" customWidth="1"/>
    <col min="1257" max="1257" width="12" style="295" customWidth="1"/>
    <col min="1258" max="1258" width="12.7109375" style="295" customWidth="1"/>
    <col min="1259" max="1259" width="13.28515625" style="295" customWidth="1"/>
    <col min="1260" max="1260" width="11.42578125" style="295" customWidth="1"/>
    <col min="1261" max="1261" width="9.85546875" style="295" customWidth="1"/>
    <col min="1262" max="1262" width="11" style="295" customWidth="1"/>
    <col min="1263" max="1263" width="10.5703125" style="295" customWidth="1"/>
    <col min="1264" max="1264" width="15.7109375" style="295" customWidth="1"/>
    <col min="1265" max="1265" width="0" style="295" hidden="1" customWidth="1"/>
    <col min="1266" max="1266" width="2.7109375" style="295" customWidth="1"/>
    <col min="1267" max="1267" width="4.7109375" style="295" customWidth="1"/>
    <col min="1268" max="1268" width="5.28515625" style="295" customWidth="1"/>
    <col min="1269" max="1269" width="9.28515625" style="295" bestFit="1" customWidth="1"/>
    <col min="1270" max="1270" width="19.28515625" style="295" customWidth="1"/>
    <col min="1271" max="1505" width="8.85546875" style="295"/>
    <col min="1506" max="1506" width="4.7109375" style="295" customWidth="1"/>
    <col min="1507" max="1507" width="2.5703125" style="295" customWidth="1"/>
    <col min="1508" max="1508" width="10.5703125" style="295" customWidth="1"/>
    <col min="1509" max="1509" width="9.7109375" style="295" customWidth="1"/>
    <col min="1510" max="1510" width="12.140625" style="295" customWidth="1"/>
    <col min="1511" max="1511" width="10.85546875" style="295" customWidth="1"/>
    <col min="1512" max="1512" width="11.85546875" style="295" customWidth="1"/>
    <col min="1513" max="1513" width="12" style="295" customWidth="1"/>
    <col min="1514" max="1514" width="12.7109375" style="295" customWidth="1"/>
    <col min="1515" max="1515" width="13.28515625" style="295" customWidth="1"/>
    <col min="1516" max="1516" width="11.42578125" style="295" customWidth="1"/>
    <col min="1517" max="1517" width="9.85546875" style="295" customWidth="1"/>
    <col min="1518" max="1518" width="11" style="295" customWidth="1"/>
    <col min="1519" max="1519" width="10.5703125" style="295" customWidth="1"/>
    <col min="1520" max="1520" width="15.7109375" style="295" customWidth="1"/>
    <col min="1521" max="1521" width="0" style="295" hidden="1" customWidth="1"/>
    <col min="1522" max="1522" width="2.7109375" style="295" customWidth="1"/>
    <col min="1523" max="1523" width="4.7109375" style="295" customWidth="1"/>
    <col min="1524" max="1524" width="5.28515625" style="295" customWidth="1"/>
    <col min="1525" max="1525" width="9.28515625" style="295" bestFit="1" customWidth="1"/>
    <col min="1526" max="1526" width="19.28515625" style="295" customWidth="1"/>
    <col min="1527" max="1761" width="8.85546875" style="295"/>
    <col min="1762" max="1762" width="4.7109375" style="295" customWidth="1"/>
    <col min="1763" max="1763" width="2.5703125" style="295" customWidth="1"/>
    <col min="1764" max="1764" width="10.5703125" style="295" customWidth="1"/>
    <col min="1765" max="1765" width="9.7109375" style="295" customWidth="1"/>
    <col min="1766" max="1766" width="12.140625" style="295" customWidth="1"/>
    <col min="1767" max="1767" width="10.85546875" style="295" customWidth="1"/>
    <col min="1768" max="1768" width="11.85546875" style="295" customWidth="1"/>
    <col min="1769" max="1769" width="12" style="295" customWidth="1"/>
    <col min="1770" max="1770" width="12.7109375" style="295" customWidth="1"/>
    <col min="1771" max="1771" width="13.28515625" style="295" customWidth="1"/>
    <col min="1772" max="1772" width="11.42578125" style="295" customWidth="1"/>
    <col min="1773" max="1773" width="9.85546875" style="295" customWidth="1"/>
    <col min="1774" max="1774" width="11" style="295" customWidth="1"/>
    <col min="1775" max="1775" width="10.5703125" style="295" customWidth="1"/>
    <col min="1776" max="1776" width="15.7109375" style="295" customWidth="1"/>
    <col min="1777" max="1777" width="0" style="295" hidden="1" customWidth="1"/>
    <col min="1778" max="1778" width="2.7109375" style="295" customWidth="1"/>
    <col min="1779" max="1779" width="4.7109375" style="295" customWidth="1"/>
    <col min="1780" max="1780" width="5.28515625" style="295" customWidth="1"/>
    <col min="1781" max="1781" width="9.28515625" style="295" bestFit="1" customWidth="1"/>
    <col min="1782" max="1782" width="19.28515625" style="295" customWidth="1"/>
    <col min="1783" max="2017" width="8.85546875" style="295"/>
    <col min="2018" max="2018" width="4.7109375" style="295" customWidth="1"/>
    <col min="2019" max="2019" width="2.5703125" style="295" customWidth="1"/>
    <col min="2020" max="2020" width="10.5703125" style="295" customWidth="1"/>
    <col min="2021" max="2021" width="9.7109375" style="295" customWidth="1"/>
    <col min="2022" max="2022" width="12.140625" style="295" customWidth="1"/>
    <col min="2023" max="2023" width="10.85546875" style="295" customWidth="1"/>
    <col min="2024" max="2024" width="11.85546875" style="295" customWidth="1"/>
    <col min="2025" max="2025" width="12" style="295" customWidth="1"/>
    <col min="2026" max="2026" width="12.7109375" style="295" customWidth="1"/>
    <col min="2027" max="2027" width="13.28515625" style="295" customWidth="1"/>
    <col min="2028" max="2028" width="11.42578125" style="295" customWidth="1"/>
    <col min="2029" max="2029" width="9.85546875" style="295" customWidth="1"/>
    <col min="2030" max="2030" width="11" style="295" customWidth="1"/>
    <col min="2031" max="2031" width="10.5703125" style="295" customWidth="1"/>
    <col min="2032" max="2032" width="15.7109375" style="295" customWidth="1"/>
    <col min="2033" max="2033" width="0" style="295" hidden="1" customWidth="1"/>
    <col min="2034" max="2034" width="2.7109375" style="295" customWidth="1"/>
    <col min="2035" max="2035" width="4.7109375" style="295" customWidth="1"/>
    <col min="2036" max="2036" width="5.28515625" style="295" customWidth="1"/>
    <col min="2037" max="2037" width="9.28515625" style="295" bestFit="1" customWidth="1"/>
    <col min="2038" max="2038" width="19.28515625" style="295" customWidth="1"/>
    <col min="2039" max="2273" width="8.85546875" style="295"/>
    <col min="2274" max="2274" width="4.7109375" style="295" customWidth="1"/>
    <col min="2275" max="2275" width="2.5703125" style="295" customWidth="1"/>
    <col min="2276" max="2276" width="10.5703125" style="295" customWidth="1"/>
    <col min="2277" max="2277" width="9.7109375" style="295" customWidth="1"/>
    <col min="2278" max="2278" width="12.140625" style="295" customWidth="1"/>
    <col min="2279" max="2279" width="10.85546875" style="295" customWidth="1"/>
    <col min="2280" max="2280" width="11.85546875" style="295" customWidth="1"/>
    <col min="2281" max="2281" width="12" style="295" customWidth="1"/>
    <col min="2282" max="2282" width="12.7109375" style="295" customWidth="1"/>
    <col min="2283" max="2283" width="13.28515625" style="295" customWidth="1"/>
    <col min="2284" max="2284" width="11.42578125" style="295" customWidth="1"/>
    <col min="2285" max="2285" width="9.85546875" style="295" customWidth="1"/>
    <col min="2286" max="2286" width="11" style="295" customWidth="1"/>
    <col min="2287" max="2287" width="10.5703125" style="295" customWidth="1"/>
    <col min="2288" max="2288" width="15.7109375" style="295" customWidth="1"/>
    <col min="2289" max="2289" width="0" style="295" hidden="1" customWidth="1"/>
    <col min="2290" max="2290" width="2.7109375" style="295" customWidth="1"/>
    <col min="2291" max="2291" width="4.7109375" style="295" customWidth="1"/>
    <col min="2292" max="2292" width="5.28515625" style="295" customWidth="1"/>
    <col min="2293" max="2293" width="9.28515625" style="295" bestFit="1" customWidth="1"/>
    <col min="2294" max="2294" width="19.28515625" style="295" customWidth="1"/>
    <col min="2295" max="2529" width="8.85546875" style="295"/>
    <col min="2530" max="2530" width="4.7109375" style="295" customWidth="1"/>
    <col min="2531" max="2531" width="2.5703125" style="295" customWidth="1"/>
    <col min="2532" max="2532" width="10.5703125" style="295" customWidth="1"/>
    <col min="2533" max="2533" width="9.7109375" style="295" customWidth="1"/>
    <col min="2534" max="2534" width="12.140625" style="295" customWidth="1"/>
    <col min="2535" max="2535" width="10.85546875" style="295" customWidth="1"/>
    <col min="2536" max="2536" width="11.85546875" style="295" customWidth="1"/>
    <col min="2537" max="2537" width="12" style="295" customWidth="1"/>
    <col min="2538" max="2538" width="12.7109375" style="295" customWidth="1"/>
    <col min="2539" max="2539" width="13.28515625" style="295" customWidth="1"/>
    <col min="2540" max="2540" width="11.42578125" style="295" customWidth="1"/>
    <col min="2541" max="2541" width="9.85546875" style="295" customWidth="1"/>
    <col min="2542" max="2542" width="11" style="295" customWidth="1"/>
    <col min="2543" max="2543" width="10.5703125" style="295" customWidth="1"/>
    <col min="2544" max="2544" width="15.7109375" style="295" customWidth="1"/>
    <col min="2545" max="2545" width="0" style="295" hidden="1" customWidth="1"/>
    <col min="2546" max="2546" width="2.7109375" style="295" customWidth="1"/>
    <col min="2547" max="2547" width="4.7109375" style="295" customWidth="1"/>
    <col min="2548" max="2548" width="5.28515625" style="295" customWidth="1"/>
    <col min="2549" max="2549" width="9.28515625" style="295" bestFit="1" customWidth="1"/>
    <col min="2550" max="2550" width="19.28515625" style="295" customWidth="1"/>
    <col min="2551" max="2785" width="8.85546875" style="295"/>
    <col min="2786" max="2786" width="4.7109375" style="295" customWidth="1"/>
    <col min="2787" max="2787" width="2.5703125" style="295" customWidth="1"/>
    <col min="2788" max="2788" width="10.5703125" style="295" customWidth="1"/>
    <col min="2789" max="2789" width="9.7109375" style="295" customWidth="1"/>
    <col min="2790" max="2790" width="12.140625" style="295" customWidth="1"/>
    <col min="2791" max="2791" width="10.85546875" style="295" customWidth="1"/>
    <col min="2792" max="2792" width="11.85546875" style="295" customWidth="1"/>
    <col min="2793" max="2793" width="12" style="295" customWidth="1"/>
    <col min="2794" max="2794" width="12.7109375" style="295" customWidth="1"/>
    <col min="2795" max="2795" width="13.28515625" style="295" customWidth="1"/>
    <col min="2796" max="2796" width="11.42578125" style="295" customWidth="1"/>
    <col min="2797" max="2797" width="9.85546875" style="295" customWidth="1"/>
    <col min="2798" max="2798" width="11" style="295" customWidth="1"/>
    <col min="2799" max="2799" width="10.5703125" style="295" customWidth="1"/>
    <col min="2800" max="2800" width="15.7109375" style="295" customWidth="1"/>
    <col min="2801" max="2801" width="0" style="295" hidden="1" customWidth="1"/>
    <col min="2802" max="2802" width="2.7109375" style="295" customWidth="1"/>
    <col min="2803" max="2803" width="4.7109375" style="295" customWidth="1"/>
    <col min="2804" max="2804" width="5.28515625" style="295" customWidth="1"/>
    <col min="2805" max="2805" width="9.28515625" style="295" bestFit="1" customWidth="1"/>
    <col min="2806" max="2806" width="19.28515625" style="295" customWidth="1"/>
    <col min="2807" max="3041" width="8.85546875" style="295"/>
    <col min="3042" max="3042" width="4.7109375" style="295" customWidth="1"/>
    <col min="3043" max="3043" width="2.5703125" style="295" customWidth="1"/>
    <col min="3044" max="3044" width="10.5703125" style="295" customWidth="1"/>
    <col min="3045" max="3045" width="9.7109375" style="295" customWidth="1"/>
    <col min="3046" max="3046" width="12.140625" style="295" customWidth="1"/>
    <col min="3047" max="3047" width="10.85546875" style="295" customWidth="1"/>
    <col min="3048" max="3048" width="11.85546875" style="295" customWidth="1"/>
    <col min="3049" max="3049" width="12" style="295" customWidth="1"/>
    <col min="3050" max="3050" width="12.7109375" style="295" customWidth="1"/>
    <col min="3051" max="3051" width="13.28515625" style="295" customWidth="1"/>
    <col min="3052" max="3052" width="11.42578125" style="295" customWidth="1"/>
    <col min="3053" max="3053" width="9.85546875" style="295" customWidth="1"/>
    <col min="3054" max="3054" width="11" style="295" customWidth="1"/>
    <col min="3055" max="3055" width="10.5703125" style="295" customWidth="1"/>
    <col min="3056" max="3056" width="15.7109375" style="295" customWidth="1"/>
    <col min="3057" max="3057" width="0" style="295" hidden="1" customWidth="1"/>
    <col min="3058" max="3058" width="2.7109375" style="295" customWidth="1"/>
    <col min="3059" max="3059" width="4.7109375" style="295" customWidth="1"/>
    <col min="3060" max="3060" width="5.28515625" style="295" customWidth="1"/>
    <col min="3061" max="3061" width="9.28515625" style="295" bestFit="1" customWidth="1"/>
    <col min="3062" max="3062" width="19.28515625" style="295" customWidth="1"/>
    <col min="3063" max="3297" width="8.85546875" style="295"/>
    <col min="3298" max="3298" width="4.7109375" style="295" customWidth="1"/>
    <col min="3299" max="3299" width="2.5703125" style="295" customWidth="1"/>
    <col min="3300" max="3300" width="10.5703125" style="295" customWidth="1"/>
    <col min="3301" max="3301" width="9.7109375" style="295" customWidth="1"/>
    <col min="3302" max="3302" width="12.140625" style="295" customWidth="1"/>
    <col min="3303" max="3303" width="10.85546875" style="295" customWidth="1"/>
    <col min="3304" max="3304" width="11.85546875" style="295" customWidth="1"/>
    <col min="3305" max="3305" width="12" style="295" customWidth="1"/>
    <col min="3306" max="3306" width="12.7109375" style="295" customWidth="1"/>
    <col min="3307" max="3307" width="13.28515625" style="295" customWidth="1"/>
    <col min="3308" max="3308" width="11.42578125" style="295" customWidth="1"/>
    <col min="3309" max="3309" width="9.85546875" style="295" customWidth="1"/>
    <col min="3310" max="3310" width="11" style="295" customWidth="1"/>
    <col min="3311" max="3311" width="10.5703125" style="295" customWidth="1"/>
    <col min="3312" max="3312" width="15.7109375" style="295" customWidth="1"/>
    <col min="3313" max="3313" width="0" style="295" hidden="1" customWidth="1"/>
    <col min="3314" max="3314" width="2.7109375" style="295" customWidth="1"/>
    <col min="3315" max="3315" width="4.7109375" style="295" customWidth="1"/>
    <col min="3316" max="3316" width="5.28515625" style="295" customWidth="1"/>
    <col min="3317" max="3317" width="9.28515625" style="295" bestFit="1" customWidth="1"/>
    <col min="3318" max="3318" width="19.28515625" style="295" customWidth="1"/>
    <col min="3319" max="3553" width="8.85546875" style="295"/>
    <col min="3554" max="3554" width="4.7109375" style="295" customWidth="1"/>
    <col min="3555" max="3555" width="2.5703125" style="295" customWidth="1"/>
    <col min="3556" max="3556" width="10.5703125" style="295" customWidth="1"/>
    <col min="3557" max="3557" width="9.7109375" style="295" customWidth="1"/>
    <col min="3558" max="3558" width="12.140625" style="295" customWidth="1"/>
    <col min="3559" max="3559" width="10.85546875" style="295" customWidth="1"/>
    <col min="3560" max="3560" width="11.85546875" style="295" customWidth="1"/>
    <col min="3561" max="3561" width="12" style="295" customWidth="1"/>
    <col min="3562" max="3562" width="12.7109375" style="295" customWidth="1"/>
    <col min="3563" max="3563" width="13.28515625" style="295" customWidth="1"/>
    <col min="3564" max="3564" width="11.42578125" style="295" customWidth="1"/>
    <col min="3565" max="3565" width="9.85546875" style="295" customWidth="1"/>
    <col min="3566" max="3566" width="11" style="295" customWidth="1"/>
    <col min="3567" max="3567" width="10.5703125" style="295" customWidth="1"/>
    <col min="3568" max="3568" width="15.7109375" style="295" customWidth="1"/>
    <col min="3569" max="3569" width="0" style="295" hidden="1" customWidth="1"/>
    <col min="3570" max="3570" width="2.7109375" style="295" customWidth="1"/>
    <col min="3571" max="3571" width="4.7109375" style="295" customWidth="1"/>
    <col min="3572" max="3572" width="5.28515625" style="295" customWidth="1"/>
    <col min="3573" max="3573" width="9.28515625" style="295" bestFit="1" customWidth="1"/>
    <col min="3574" max="3574" width="19.28515625" style="295" customWidth="1"/>
    <col min="3575" max="3809" width="8.85546875" style="295"/>
    <col min="3810" max="3810" width="4.7109375" style="295" customWidth="1"/>
    <col min="3811" max="3811" width="2.5703125" style="295" customWidth="1"/>
    <col min="3812" max="3812" width="10.5703125" style="295" customWidth="1"/>
    <col min="3813" max="3813" width="9.7109375" style="295" customWidth="1"/>
    <col min="3814" max="3814" width="12.140625" style="295" customWidth="1"/>
    <col min="3815" max="3815" width="10.85546875" style="295" customWidth="1"/>
    <col min="3816" max="3816" width="11.85546875" style="295" customWidth="1"/>
    <col min="3817" max="3817" width="12" style="295" customWidth="1"/>
    <col min="3818" max="3818" width="12.7109375" style="295" customWidth="1"/>
    <col min="3819" max="3819" width="13.28515625" style="295" customWidth="1"/>
    <col min="3820" max="3820" width="11.42578125" style="295" customWidth="1"/>
    <col min="3821" max="3821" width="9.85546875" style="295" customWidth="1"/>
    <col min="3822" max="3822" width="11" style="295" customWidth="1"/>
    <col min="3823" max="3823" width="10.5703125" style="295" customWidth="1"/>
    <col min="3824" max="3824" width="15.7109375" style="295" customWidth="1"/>
    <col min="3825" max="3825" width="0" style="295" hidden="1" customWidth="1"/>
    <col min="3826" max="3826" width="2.7109375" style="295" customWidth="1"/>
    <col min="3827" max="3827" width="4.7109375" style="295" customWidth="1"/>
    <col min="3828" max="3828" width="5.28515625" style="295" customWidth="1"/>
    <col min="3829" max="3829" width="9.28515625" style="295" bestFit="1" customWidth="1"/>
    <col min="3830" max="3830" width="19.28515625" style="295" customWidth="1"/>
    <col min="3831" max="4065" width="8.85546875" style="295"/>
    <col min="4066" max="4066" width="4.7109375" style="295" customWidth="1"/>
    <col min="4067" max="4067" width="2.5703125" style="295" customWidth="1"/>
    <col min="4068" max="4068" width="10.5703125" style="295" customWidth="1"/>
    <col min="4069" max="4069" width="9.7109375" style="295" customWidth="1"/>
    <col min="4070" max="4070" width="12.140625" style="295" customWidth="1"/>
    <col min="4071" max="4071" width="10.85546875" style="295" customWidth="1"/>
    <col min="4072" max="4072" width="11.85546875" style="295" customWidth="1"/>
    <col min="4073" max="4073" width="12" style="295" customWidth="1"/>
    <col min="4074" max="4074" width="12.7109375" style="295" customWidth="1"/>
    <col min="4075" max="4075" width="13.28515625" style="295" customWidth="1"/>
    <col min="4076" max="4076" width="11.42578125" style="295" customWidth="1"/>
    <col min="4077" max="4077" width="9.85546875" style="295" customWidth="1"/>
    <col min="4078" max="4078" width="11" style="295" customWidth="1"/>
    <col min="4079" max="4079" width="10.5703125" style="295" customWidth="1"/>
    <col min="4080" max="4080" width="15.7109375" style="295" customWidth="1"/>
    <col min="4081" max="4081" width="0" style="295" hidden="1" customWidth="1"/>
    <col min="4082" max="4082" width="2.7109375" style="295" customWidth="1"/>
    <col min="4083" max="4083" width="4.7109375" style="295" customWidth="1"/>
    <col min="4084" max="4084" width="5.28515625" style="295" customWidth="1"/>
    <col min="4085" max="4085" width="9.28515625" style="295" bestFit="1" customWidth="1"/>
    <col min="4086" max="4086" width="19.28515625" style="295" customWidth="1"/>
    <col min="4087" max="4321" width="8.85546875" style="295"/>
    <col min="4322" max="4322" width="4.7109375" style="295" customWidth="1"/>
    <col min="4323" max="4323" width="2.5703125" style="295" customWidth="1"/>
    <col min="4324" max="4324" width="10.5703125" style="295" customWidth="1"/>
    <col min="4325" max="4325" width="9.7109375" style="295" customWidth="1"/>
    <col min="4326" max="4326" width="12.140625" style="295" customWidth="1"/>
    <col min="4327" max="4327" width="10.85546875" style="295" customWidth="1"/>
    <col min="4328" max="4328" width="11.85546875" style="295" customWidth="1"/>
    <col min="4329" max="4329" width="12" style="295" customWidth="1"/>
    <col min="4330" max="4330" width="12.7109375" style="295" customWidth="1"/>
    <col min="4331" max="4331" width="13.28515625" style="295" customWidth="1"/>
    <col min="4332" max="4332" width="11.42578125" style="295" customWidth="1"/>
    <col min="4333" max="4333" width="9.85546875" style="295" customWidth="1"/>
    <col min="4334" max="4334" width="11" style="295" customWidth="1"/>
    <col min="4335" max="4335" width="10.5703125" style="295" customWidth="1"/>
    <col min="4336" max="4336" width="15.7109375" style="295" customWidth="1"/>
    <col min="4337" max="4337" width="0" style="295" hidden="1" customWidth="1"/>
    <col min="4338" max="4338" width="2.7109375" style="295" customWidth="1"/>
    <col min="4339" max="4339" width="4.7109375" style="295" customWidth="1"/>
    <col min="4340" max="4340" width="5.28515625" style="295" customWidth="1"/>
    <col min="4341" max="4341" width="9.28515625" style="295" bestFit="1" customWidth="1"/>
    <col min="4342" max="4342" width="19.28515625" style="295" customWidth="1"/>
    <col min="4343" max="4577" width="8.85546875" style="295"/>
    <col min="4578" max="4578" width="4.7109375" style="295" customWidth="1"/>
    <col min="4579" max="4579" width="2.5703125" style="295" customWidth="1"/>
    <col min="4580" max="4580" width="10.5703125" style="295" customWidth="1"/>
    <col min="4581" max="4581" width="9.7109375" style="295" customWidth="1"/>
    <col min="4582" max="4582" width="12.140625" style="295" customWidth="1"/>
    <col min="4583" max="4583" width="10.85546875" style="295" customWidth="1"/>
    <col min="4584" max="4584" width="11.85546875" style="295" customWidth="1"/>
    <col min="4585" max="4585" width="12" style="295" customWidth="1"/>
    <col min="4586" max="4586" width="12.7109375" style="295" customWidth="1"/>
    <col min="4587" max="4587" width="13.28515625" style="295" customWidth="1"/>
    <col min="4588" max="4588" width="11.42578125" style="295" customWidth="1"/>
    <col min="4589" max="4589" width="9.85546875" style="295" customWidth="1"/>
    <col min="4590" max="4590" width="11" style="295" customWidth="1"/>
    <col min="4591" max="4591" width="10.5703125" style="295" customWidth="1"/>
    <col min="4592" max="4592" width="15.7109375" style="295" customWidth="1"/>
    <col min="4593" max="4593" width="0" style="295" hidden="1" customWidth="1"/>
    <col min="4594" max="4594" width="2.7109375" style="295" customWidth="1"/>
    <col min="4595" max="4595" width="4.7109375" style="295" customWidth="1"/>
    <col min="4596" max="4596" width="5.28515625" style="295" customWidth="1"/>
    <col min="4597" max="4597" width="9.28515625" style="295" bestFit="1" customWidth="1"/>
    <col min="4598" max="4598" width="19.28515625" style="295" customWidth="1"/>
    <col min="4599" max="4833" width="8.85546875" style="295"/>
    <col min="4834" max="4834" width="4.7109375" style="295" customWidth="1"/>
    <col min="4835" max="4835" width="2.5703125" style="295" customWidth="1"/>
    <col min="4836" max="4836" width="10.5703125" style="295" customWidth="1"/>
    <col min="4837" max="4837" width="9.7109375" style="295" customWidth="1"/>
    <col min="4838" max="4838" width="12.140625" style="295" customWidth="1"/>
    <col min="4839" max="4839" width="10.85546875" style="295" customWidth="1"/>
    <col min="4840" max="4840" width="11.85546875" style="295" customWidth="1"/>
    <col min="4841" max="4841" width="12" style="295" customWidth="1"/>
    <col min="4842" max="4842" width="12.7109375" style="295" customWidth="1"/>
    <col min="4843" max="4843" width="13.28515625" style="295" customWidth="1"/>
    <col min="4844" max="4844" width="11.42578125" style="295" customWidth="1"/>
    <col min="4845" max="4845" width="9.85546875" style="295" customWidth="1"/>
    <col min="4846" max="4846" width="11" style="295" customWidth="1"/>
    <col min="4847" max="4847" width="10.5703125" style="295" customWidth="1"/>
    <col min="4848" max="4848" width="15.7109375" style="295" customWidth="1"/>
    <col min="4849" max="4849" width="0" style="295" hidden="1" customWidth="1"/>
    <col min="4850" max="4850" width="2.7109375" style="295" customWidth="1"/>
    <col min="4851" max="4851" width="4.7109375" style="295" customWidth="1"/>
    <col min="4852" max="4852" width="5.28515625" style="295" customWidth="1"/>
    <col min="4853" max="4853" width="9.28515625" style="295" bestFit="1" customWidth="1"/>
    <col min="4854" max="4854" width="19.28515625" style="295" customWidth="1"/>
    <col min="4855" max="5089" width="8.85546875" style="295"/>
    <col min="5090" max="5090" width="4.7109375" style="295" customWidth="1"/>
    <col min="5091" max="5091" width="2.5703125" style="295" customWidth="1"/>
    <col min="5092" max="5092" width="10.5703125" style="295" customWidth="1"/>
    <col min="5093" max="5093" width="9.7109375" style="295" customWidth="1"/>
    <col min="5094" max="5094" width="12.140625" style="295" customWidth="1"/>
    <col min="5095" max="5095" width="10.85546875" style="295" customWidth="1"/>
    <col min="5096" max="5096" width="11.85546875" style="295" customWidth="1"/>
    <col min="5097" max="5097" width="12" style="295" customWidth="1"/>
    <col min="5098" max="5098" width="12.7109375" style="295" customWidth="1"/>
    <col min="5099" max="5099" width="13.28515625" style="295" customWidth="1"/>
    <col min="5100" max="5100" width="11.42578125" style="295" customWidth="1"/>
    <col min="5101" max="5101" width="9.85546875" style="295" customWidth="1"/>
    <col min="5102" max="5102" width="11" style="295" customWidth="1"/>
    <col min="5103" max="5103" width="10.5703125" style="295" customWidth="1"/>
    <col min="5104" max="5104" width="15.7109375" style="295" customWidth="1"/>
    <col min="5105" max="5105" width="0" style="295" hidden="1" customWidth="1"/>
    <col min="5106" max="5106" width="2.7109375" style="295" customWidth="1"/>
    <col min="5107" max="5107" width="4.7109375" style="295" customWidth="1"/>
    <col min="5108" max="5108" width="5.28515625" style="295" customWidth="1"/>
    <col min="5109" max="5109" width="9.28515625" style="295" bestFit="1" customWidth="1"/>
    <col min="5110" max="5110" width="19.28515625" style="295" customWidth="1"/>
    <col min="5111" max="5345" width="8.85546875" style="295"/>
    <col min="5346" max="5346" width="4.7109375" style="295" customWidth="1"/>
    <col min="5347" max="5347" width="2.5703125" style="295" customWidth="1"/>
    <col min="5348" max="5348" width="10.5703125" style="295" customWidth="1"/>
    <col min="5349" max="5349" width="9.7109375" style="295" customWidth="1"/>
    <col min="5350" max="5350" width="12.140625" style="295" customWidth="1"/>
    <col min="5351" max="5351" width="10.85546875" style="295" customWidth="1"/>
    <col min="5352" max="5352" width="11.85546875" style="295" customWidth="1"/>
    <col min="5353" max="5353" width="12" style="295" customWidth="1"/>
    <col min="5354" max="5354" width="12.7109375" style="295" customWidth="1"/>
    <col min="5355" max="5355" width="13.28515625" style="295" customWidth="1"/>
    <col min="5356" max="5356" width="11.42578125" style="295" customWidth="1"/>
    <col min="5357" max="5357" width="9.85546875" style="295" customWidth="1"/>
    <col min="5358" max="5358" width="11" style="295" customWidth="1"/>
    <col min="5359" max="5359" width="10.5703125" style="295" customWidth="1"/>
    <col min="5360" max="5360" width="15.7109375" style="295" customWidth="1"/>
    <col min="5361" max="5361" width="0" style="295" hidden="1" customWidth="1"/>
    <col min="5362" max="5362" width="2.7109375" style="295" customWidth="1"/>
    <col min="5363" max="5363" width="4.7109375" style="295" customWidth="1"/>
    <col min="5364" max="5364" width="5.28515625" style="295" customWidth="1"/>
    <col min="5365" max="5365" width="9.28515625" style="295" bestFit="1" customWidth="1"/>
    <col min="5366" max="5366" width="19.28515625" style="295" customWidth="1"/>
    <col min="5367" max="5601" width="8.85546875" style="295"/>
    <col min="5602" max="5602" width="4.7109375" style="295" customWidth="1"/>
    <col min="5603" max="5603" width="2.5703125" style="295" customWidth="1"/>
    <col min="5604" max="5604" width="10.5703125" style="295" customWidth="1"/>
    <col min="5605" max="5605" width="9.7109375" style="295" customWidth="1"/>
    <col min="5606" max="5606" width="12.140625" style="295" customWidth="1"/>
    <col min="5607" max="5607" width="10.85546875" style="295" customWidth="1"/>
    <col min="5608" max="5608" width="11.85546875" style="295" customWidth="1"/>
    <col min="5609" max="5609" width="12" style="295" customWidth="1"/>
    <col min="5610" max="5610" width="12.7109375" style="295" customWidth="1"/>
    <col min="5611" max="5611" width="13.28515625" style="295" customWidth="1"/>
    <col min="5612" max="5612" width="11.42578125" style="295" customWidth="1"/>
    <col min="5613" max="5613" width="9.85546875" style="295" customWidth="1"/>
    <col min="5614" max="5614" width="11" style="295" customWidth="1"/>
    <col min="5615" max="5615" width="10.5703125" style="295" customWidth="1"/>
    <col min="5616" max="5616" width="15.7109375" style="295" customWidth="1"/>
    <col min="5617" max="5617" width="0" style="295" hidden="1" customWidth="1"/>
    <col min="5618" max="5618" width="2.7109375" style="295" customWidth="1"/>
    <col min="5619" max="5619" width="4.7109375" style="295" customWidth="1"/>
    <col min="5620" max="5620" width="5.28515625" style="295" customWidth="1"/>
    <col min="5621" max="5621" width="9.28515625" style="295" bestFit="1" customWidth="1"/>
    <col min="5622" max="5622" width="19.28515625" style="295" customWidth="1"/>
    <col min="5623" max="5857" width="8.85546875" style="295"/>
    <col min="5858" max="5858" width="4.7109375" style="295" customWidth="1"/>
    <col min="5859" max="5859" width="2.5703125" style="295" customWidth="1"/>
    <col min="5860" max="5860" width="10.5703125" style="295" customWidth="1"/>
    <col min="5861" max="5861" width="9.7109375" style="295" customWidth="1"/>
    <col min="5862" max="5862" width="12.140625" style="295" customWidth="1"/>
    <col min="5863" max="5863" width="10.85546875" style="295" customWidth="1"/>
    <col min="5864" max="5864" width="11.85546875" style="295" customWidth="1"/>
    <col min="5865" max="5865" width="12" style="295" customWidth="1"/>
    <col min="5866" max="5866" width="12.7109375" style="295" customWidth="1"/>
    <col min="5867" max="5867" width="13.28515625" style="295" customWidth="1"/>
    <col min="5868" max="5868" width="11.42578125" style="295" customWidth="1"/>
    <col min="5869" max="5869" width="9.85546875" style="295" customWidth="1"/>
    <col min="5870" max="5870" width="11" style="295" customWidth="1"/>
    <col min="5871" max="5871" width="10.5703125" style="295" customWidth="1"/>
    <col min="5872" max="5872" width="15.7109375" style="295" customWidth="1"/>
    <col min="5873" max="5873" width="0" style="295" hidden="1" customWidth="1"/>
    <col min="5874" max="5874" width="2.7109375" style="295" customWidth="1"/>
    <col min="5875" max="5875" width="4.7109375" style="295" customWidth="1"/>
    <col min="5876" max="5876" width="5.28515625" style="295" customWidth="1"/>
    <col min="5877" max="5877" width="9.28515625" style="295" bestFit="1" customWidth="1"/>
    <col min="5878" max="5878" width="19.28515625" style="295" customWidth="1"/>
    <col min="5879" max="6113" width="8.85546875" style="295"/>
    <col min="6114" max="6114" width="4.7109375" style="295" customWidth="1"/>
    <col min="6115" max="6115" width="2.5703125" style="295" customWidth="1"/>
    <col min="6116" max="6116" width="10.5703125" style="295" customWidth="1"/>
    <col min="6117" max="6117" width="9.7109375" style="295" customWidth="1"/>
    <col min="6118" max="6118" width="12.140625" style="295" customWidth="1"/>
    <col min="6119" max="6119" width="10.85546875" style="295" customWidth="1"/>
    <col min="6120" max="6120" width="11.85546875" style="295" customWidth="1"/>
    <col min="6121" max="6121" width="12" style="295" customWidth="1"/>
    <col min="6122" max="6122" width="12.7109375" style="295" customWidth="1"/>
    <col min="6123" max="6123" width="13.28515625" style="295" customWidth="1"/>
    <col min="6124" max="6124" width="11.42578125" style="295" customWidth="1"/>
    <col min="6125" max="6125" width="9.85546875" style="295" customWidth="1"/>
    <col min="6126" max="6126" width="11" style="295" customWidth="1"/>
    <col min="6127" max="6127" width="10.5703125" style="295" customWidth="1"/>
    <col min="6128" max="6128" width="15.7109375" style="295" customWidth="1"/>
    <col min="6129" max="6129" width="0" style="295" hidden="1" customWidth="1"/>
    <col min="6130" max="6130" width="2.7109375" style="295" customWidth="1"/>
    <col min="6131" max="6131" width="4.7109375" style="295" customWidth="1"/>
    <col min="6132" max="6132" width="5.28515625" style="295" customWidth="1"/>
    <col min="6133" max="6133" width="9.28515625" style="295" bestFit="1" customWidth="1"/>
    <col min="6134" max="6134" width="19.28515625" style="295" customWidth="1"/>
    <col min="6135" max="6369" width="8.85546875" style="295"/>
    <col min="6370" max="6370" width="4.7109375" style="295" customWidth="1"/>
    <col min="6371" max="6371" width="2.5703125" style="295" customWidth="1"/>
    <col min="6372" max="6372" width="10.5703125" style="295" customWidth="1"/>
    <col min="6373" max="6373" width="9.7109375" style="295" customWidth="1"/>
    <col min="6374" max="6374" width="12.140625" style="295" customWidth="1"/>
    <col min="6375" max="6375" width="10.85546875" style="295" customWidth="1"/>
    <col min="6376" max="6376" width="11.85546875" style="295" customWidth="1"/>
    <col min="6377" max="6377" width="12" style="295" customWidth="1"/>
    <col min="6378" max="6378" width="12.7109375" style="295" customWidth="1"/>
    <col min="6379" max="6379" width="13.28515625" style="295" customWidth="1"/>
    <col min="6380" max="6380" width="11.42578125" style="295" customWidth="1"/>
    <col min="6381" max="6381" width="9.85546875" style="295" customWidth="1"/>
    <col min="6382" max="6382" width="11" style="295" customWidth="1"/>
    <col min="6383" max="6383" width="10.5703125" style="295" customWidth="1"/>
    <col min="6384" max="6384" width="15.7109375" style="295" customWidth="1"/>
    <col min="6385" max="6385" width="0" style="295" hidden="1" customWidth="1"/>
    <col min="6386" max="6386" width="2.7109375" style="295" customWidth="1"/>
    <col min="6387" max="6387" width="4.7109375" style="295" customWidth="1"/>
    <col min="6388" max="6388" width="5.28515625" style="295" customWidth="1"/>
    <col min="6389" max="6389" width="9.28515625" style="295" bestFit="1" customWidth="1"/>
    <col min="6390" max="6390" width="19.28515625" style="295" customWidth="1"/>
    <col min="6391" max="6625" width="8.85546875" style="295"/>
    <col min="6626" max="6626" width="4.7109375" style="295" customWidth="1"/>
    <col min="6627" max="6627" width="2.5703125" style="295" customWidth="1"/>
    <col min="6628" max="6628" width="10.5703125" style="295" customWidth="1"/>
    <col min="6629" max="6629" width="9.7109375" style="295" customWidth="1"/>
    <col min="6630" max="6630" width="12.140625" style="295" customWidth="1"/>
    <col min="6631" max="6631" width="10.85546875" style="295" customWidth="1"/>
    <col min="6632" max="6632" width="11.85546875" style="295" customWidth="1"/>
    <col min="6633" max="6633" width="12" style="295" customWidth="1"/>
    <col min="6634" max="6634" width="12.7109375" style="295" customWidth="1"/>
    <col min="6635" max="6635" width="13.28515625" style="295" customWidth="1"/>
    <col min="6636" max="6636" width="11.42578125" style="295" customWidth="1"/>
    <col min="6637" max="6637" width="9.85546875" style="295" customWidth="1"/>
    <col min="6638" max="6638" width="11" style="295" customWidth="1"/>
    <col min="6639" max="6639" width="10.5703125" style="295" customWidth="1"/>
    <col min="6640" max="6640" width="15.7109375" style="295" customWidth="1"/>
    <col min="6641" max="6641" width="0" style="295" hidden="1" customWidth="1"/>
    <col min="6642" max="6642" width="2.7109375" style="295" customWidth="1"/>
    <col min="6643" max="6643" width="4.7109375" style="295" customWidth="1"/>
    <col min="6644" max="6644" width="5.28515625" style="295" customWidth="1"/>
    <col min="6645" max="6645" width="9.28515625" style="295" bestFit="1" customWidth="1"/>
    <col min="6646" max="6646" width="19.28515625" style="295" customWidth="1"/>
    <col min="6647" max="6881" width="8.85546875" style="295"/>
    <col min="6882" max="6882" width="4.7109375" style="295" customWidth="1"/>
    <col min="6883" max="6883" width="2.5703125" style="295" customWidth="1"/>
    <col min="6884" max="6884" width="10.5703125" style="295" customWidth="1"/>
    <col min="6885" max="6885" width="9.7109375" style="295" customWidth="1"/>
    <col min="6886" max="6886" width="12.140625" style="295" customWidth="1"/>
    <col min="6887" max="6887" width="10.85546875" style="295" customWidth="1"/>
    <col min="6888" max="6888" width="11.85546875" style="295" customWidth="1"/>
    <col min="6889" max="6889" width="12" style="295" customWidth="1"/>
    <col min="6890" max="6890" width="12.7109375" style="295" customWidth="1"/>
    <col min="6891" max="6891" width="13.28515625" style="295" customWidth="1"/>
    <col min="6892" max="6892" width="11.42578125" style="295" customWidth="1"/>
    <col min="6893" max="6893" width="9.85546875" style="295" customWidth="1"/>
    <col min="6894" max="6894" width="11" style="295" customWidth="1"/>
    <col min="6895" max="6895" width="10.5703125" style="295" customWidth="1"/>
    <col min="6896" max="6896" width="15.7109375" style="295" customWidth="1"/>
    <col min="6897" max="6897" width="0" style="295" hidden="1" customWidth="1"/>
    <col min="6898" max="6898" width="2.7109375" style="295" customWidth="1"/>
    <col min="6899" max="6899" width="4.7109375" style="295" customWidth="1"/>
    <col min="6900" max="6900" width="5.28515625" style="295" customWidth="1"/>
    <col min="6901" max="6901" width="9.28515625" style="295" bestFit="1" customWidth="1"/>
    <col min="6902" max="6902" width="19.28515625" style="295" customWidth="1"/>
    <col min="6903" max="7137" width="8.85546875" style="295"/>
    <col min="7138" max="7138" width="4.7109375" style="295" customWidth="1"/>
    <col min="7139" max="7139" width="2.5703125" style="295" customWidth="1"/>
    <col min="7140" max="7140" width="10.5703125" style="295" customWidth="1"/>
    <col min="7141" max="7141" width="9.7109375" style="295" customWidth="1"/>
    <col min="7142" max="7142" width="12.140625" style="295" customWidth="1"/>
    <col min="7143" max="7143" width="10.85546875" style="295" customWidth="1"/>
    <col min="7144" max="7144" width="11.85546875" style="295" customWidth="1"/>
    <col min="7145" max="7145" width="12" style="295" customWidth="1"/>
    <col min="7146" max="7146" width="12.7109375" style="295" customWidth="1"/>
    <col min="7147" max="7147" width="13.28515625" style="295" customWidth="1"/>
    <col min="7148" max="7148" width="11.42578125" style="295" customWidth="1"/>
    <col min="7149" max="7149" width="9.85546875" style="295" customWidth="1"/>
    <col min="7150" max="7150" width="11" style="295" customWidth="1"/>
    <col min="7151" max="7151" width="10.5703125" style="295" customWidth="1"/>
    <col min="7152" max="7152" width="15.7109375" style="295" customWidth="1"/>
    <col min="7153" max="7153" width="0" style="295" hidden="1" customWidth="1"/>
    <col min="7154" max="7154" width="2.7109375" style="295" customWidth="1"/>
    <col min="7155" max="7155" width="4.7109375" style="295" customWidth="1"/>
    <col min="7156" max="7156" width="5.28515625" style="295" customWidth="1"/>
    <col min="7157" max="7157" width="9.28515625" style="295" bestFit="1" customWidth="1"/>
    <col min="7158" max="7158" width="19.28515625" style="295" customWidth="1"/>
    <col min="7159" max="7393" width="8.85546875" style="295"/>
    <col min="7394" max="7394" width="4.7109375" style="295" customWidth="1"/>
    <col min="7395" max="7395" width="2.5703125" style="295" customWidth="1"/>
    <col min="7396" max="7396" width="10.5703125" style="295" customWidth="1"/>
    <col min="7397" max="7397" width="9.7109375" style="295" customWidth="1"/>
    <col min="7398" max="7398" width="12.140625" style="295" customWidth="1"/>
    <col min="7399" max="7399" width="10.85546875" style="295" customWidth="1"/>
    <col min="7400" max="7400" width="11.85546875" style="295" customWidth="1"/>
    <col min="7401" max="7401" width="12" style="295" customWidth="1"/>
    <col min="7402" max="7402" width="12.7109375" style="295" customWidth="1"/>
    <col min="7403" max="7403" width="13.28515625" style="295" customWidth="1"/>
    <col min="7404" max="7404" width="11.42578125" style="295" customWidth="1"/>
    <col min="7405" max="7405" width="9.85546875" style="295" customWidth="1"/>
    <col min="7406" max="7406" width="11" style="295" customWidth="1"/>
    <col min="7407" max="7407" width="10.5703125" style="295" customWidth="1"/>
    <col min="7408" max="7408" width="15.7109375" style="295" customWidth="1"/>
    <col min="7409" max="7409" width="0" style="295" hidden="1" customWidth="1"/>
    <col min="7410" max="7410" width="2.7109375" style="295" customWidth="1"/>
    <col min="7411" max="7411" width="4.7109375" style="295" customWidth="1"/>
    <col min="7412" max="7412" width="5.28515625" style="295" customWidth="1"/>
    <col min="7413" max="7413" width="9.28515625" style="295" bestFit="1" customWidth="1"/>
    <col min="7414" max="7414" width="19.28515625" style="295" customWidth="1"/>
    <col min="7415" max="7649" width="8.85546875" style="295"/>
    <col min="7650" max="7650" width="4.7109375" style="295" customWidth="1"/>
    <col min="7651" max="7651" width="2.5703125" style="295" customWidth="1"/>
    <col min="7652" max="7652" width="10.5703125" style="295" customWidth="1"/>
    <col min="7653" max="7653" width="9.7109375" style="295" customWidth="1"/>
    <col min="7654" max="7654" width="12.140625" style="295" customWidth="1"/>
    <col min="7655" max="7655" width="10.85546875" style="295" customWidth="1"/>
    <col min="7656" max="7656" width="11.85546875" style="295" customWidth="1"/>
    <col min="7657" max="7657" width="12" style="295" customWidth="1"/>
    <col min="7658" max="7658" width="12.7109375" style="295" customWidth="1"/>
    <col min="7659" max="7659" width="13.28515625" style="295" customWidth="1"/>
    <col min="7660" max="7660" width="11.42578125" style="295" customWidth="1"/>
    <col min="7661" max="7661" width="9.85546875" style="295" customWidth="1"/>
    <col min="7662" max="7662" width="11" style="295" customWidth="1"/>
    <col min="7663" max="7663" width="10.5703125" style="295" customWidth="1"/>
    <col min="7664" max="7664" width="15.7109375" style="295" customWidth="1"/>
    <col min="7665" max="7665" width="0" style="295" hidden="1" customWidth="1"/>
    <col min="7666" max="7666" width="2.7109375" style="295" customWidth="1"/>
    <col min="7667" max="7667" width="4.7109375" style="295" customWidth="1"/>
    <col min="7668" max="7668" width="5.28515625" style="295" customWidth="1"/>
    <col min="7669" max="7669" width="9.28515625" style="295" bestFit="1" customWidth="1"/>
    <col min="7670" max="7670" width="19.28515625" style="295" customWidth="1"/>
    <col min="7671" max="7905" width="8.85546875" style="295"/>
    <col min="7906" max="7906" width="4.7109375" style="295" customWidth="1"/>
    <col min="7907" max="7907" width="2.5703125" style="295" customWidth="1"/>
    <col min="7908" max="7908" width="10.5703125" style="295" customWidth="1"/>
    <col min="7909" max="7909" width="9.7109375" style="295" customWidth="1"/>
    <col min="7910" max="7910" width="12.140625" style="295" customWidth="1"/>
    <col min="7911" max="7911" width="10.85546875" style="295" customWidth="1"/>
    <col min="7912" max="7912" width="11.85546875" style="295" customWidth="1"/>
    <col min="7913" max="7913" width="12" style="295" customWidth="1"/>
    <col min="7914" max="7914" width="12.7109375" style="295" customWidth="1"/>
    <col min="7915" max="7915" width="13.28515625" style="295" customWidth="1"/>
    <col min="7916" max="7916" width="11.42578125" style="295" customWidth="1"/>
    <col min="7917" max="7917" width="9.85546875" style="295" customWidth="1"/>
    <col min="7918" max="7918" width="11" style="295" customWidth="1"/>
    <col min="7919" max="7919" width="10.5703125" style="295" customWidth="1"/>
    <col min="7920" max="7920" width="15.7109375" style="295" customWidth="1"/>
    <col min="7921" max="7921" width="0" style="295" hidden="1" customWidth="1"/>
    <col min="7922" max="7922" width="2.7109375" style="295" customWidth="1"/>
    <col min="7923" max="7923" width="4.7109375" style="295" customWidth="1"/>
    <col min="7924" max="7924" width="5.28515625" style="295" customWidth="1"/>
    <col min="7925" max="7925" width="9.28515625" style="295" bestFit="1" customWidth="1"/>
    <col min="7926" max="7926" width="19.28515625" style="295" customWidth="1"/>
    <col min="7927" max="8161" width="8.85546875" style="295"/>
    <col min="8162" max="8162" width="4.7109375" style="295" customWidth="1"/>
    <col min="8163" max="8163" width="2.5703125" style="295" customWidth="1"/>
    <col min="8164" max="8164" width="10.5703125" style="295" customWidth="1"/>
    <col min="8165" max="8165" width="9.7109375" style="295" customWidth="1"/>
    <col min="8166" max="8166" width="12.140625" style="295" customWidth="1"/>
    <col min="8167" max="8167" width="10.85546875" style="295" customWidth="1"/>
    <col min="8168" max="8168" width="11.85546875" style="295" customWidth="1"/>
    <col min="8169" max="8169" width="12" style="295" customWidth="1"/>
    <col min="8170" max="8170" width="12.7109375" style="295" customWidth="1"/>
    <col min="8171" max="8171" width="13.28515625" style="295" customWidth="1"/>
    <col min="8172" max="8172" width="11.42578125" style="295" customWidth="1"/>
    <col min="8173" max="8173" width="9.85546875" style="295" customWidth="1"/>
    <col min="8174" max="8174" width="11" style="295" customWidth="1"/>
    <col min="8175" max="8175" width="10.5703125" style="295" customWidth="1"/>
    <col min="8176" max="8176" width="15.7109375" style="295" customWidth="1"/>
    <col min="8177" max="8177" width="0" style="295" hidden="1" customWidth="1"/>
    <col min="8178" max="8178" width="2.7109375" style="295" customWidth="1"/>
    <col min="8179" max="8179" width="4.7109375" style="295" customWidth="1"/>
    <col min="8180" max="8180" width="5.28515625" style="295" customWidth="1"/>
    <col min="8181" max="8181" width="9.28515625" style="295" bestFit="1" customWidth="1"/>
    <col min="8182" max="8182" width="19.28515625" style="295" customWidth="1"/>
    <col min="8183" max="8417" width="8.85546875" style="295"/>
    <col min="8418" max="8418" width="4.7109375" style="295" customWidth="1"/>
    <col min="8419" max="8419" width="2.5703125" style="295" customWidth="1"/>
    <col min="8420" max="8420" width="10.5703125" style="295" customWidth="1"/>
    <col min="8421" max="8421" width="9.7109375" style="295" customWidth="1"/>
    <col min="8422" max="8422" width="12.140625" style="295" customWidth="1"/>
    <col min="8423" max="8423" width="10.85546875" style="295" customWidth="1"/>
    <col min="8424" max="8424" width="11.85546875" style="295" customWidth="1"/>
    <col min="8425" max="8425" width="12" style="295" customWidth="1"/>
    <col min="8426" max="8426" width="12.7109375" style="295" customWidth="1"/>
    <col min="8427" max="8427" width="13.28515625" style="295" customWidth="1"/>
    <col min="8428" max="8428" width="11.42578125" style="295" customWidth="1"/>
    <col min="8429" max="8429" width="9.85546875" style="295" customWidth="1"/>
    <col min="8430" max="8430" width="11" style="295" customWidth="1"/>
    <col min="8431" max="8431" width="10.5703125" style="295" customWidth="1"/>
    <col min="8432" max="8432" width="15.7109375" style="295" customWidth="1"/>
    <col min="8433" max="8433" width="0" style="295" hidden="1" customWidth="1"/>
    <col min="8434" max="8434" width="2.7109375" style="295" customWidth="1"/>
    <col min="8435" max="8435" width="4.7109375" style="295" customWidth="1"/>
    <col min="8436" max="8436" width="5.28515625" style="295" customWidth="1"/>
    <col min="8437" max="8437" width="9.28515625" style="295" bestFit="1" customWidth="1"/>
    <col min="8438" max="8438" width="19.28515625" style="295" customWidth="1"/>
    <col min="8439" max="8673" width="8.85546875" style="295"/>
    <col min="8674" max="8674" width="4.7109375" style="295" customWidth="1"/>
    <col min="8675" max="8675" width="2.5703125" style="295" customWidth="1"/>
    <col min="8676" max="8676" width="10.5703125" style="295" customWidth="1"/>
    <col min="8677" max="8677" width="9.7109375" style="295" customWidth="1"/>
    <col min="8678" max="8678" width="12.140625" style="295" customWidth="1"/>
    <col min="8679" max="8679" width="10.85546875" style="295" customWidth="1"/>
    <col min="8680" max="8680" width="11.85546875" style="295" customWidth="1"/>
    <col min="8681" max="8681" width="12" style="295" customWidth="1"/>
    <col min="8682" max="8682" width="12.7109375" style="295" customWidth="1"/>
    <col min="8683" max="8683" width="13.28515625" style="295" customWidth="1"/>
    <col min="8684" max="8684" width="11.42578125" style="295" customWidth="1"/>
    <col min="8685" max="8685" width="9.85546875" style="295" customWidth="1"/>
    <col min="8686" max="8686" width="11" style="295" customWidth="1"/>
    <col min="8687" max="8687" width="10.5703125" style="295" customWidth="1"/>
    <col min="8688" max="8688" width="15.7109375" style="295" customWidth="1"/>
    <col min="8689" max="8689" width="0" style="295" hidden="1" customWidth="1"/>
    <col min="8690" max="8690" width="2.7109375" style="295" customWidth="1"/>
    <col min="8691" max="8691" width="4.7109375" style="295" customWidth="1"/>
    <col min="8692" max="8692" width="5.28515625" style="295" customWidth="1"/>
    <col min="8693" max="8693" width="9.28515625" style="295" bestFit="1" customWidth="1"/>
    <col min="8694" max="8694" width="19.28515625" style="295" customWidth="1"/>
    <col min="8695" max="8929" width="8.85546875" style="295"/>
    <col min="8930" max="8930" width="4.7109375" style="295" customWidth="1"/>
    <col min="8931" max="8931" width="2.5703125" style="295" customWidth="1"/>
    <col min="8932" max="8932" width="10.5703125" style="295" customWidth="1"/>
    <col min="8933" max="8933" width="9.7109375" style="295" customWidth="1"/>
    <col min="8934" max="8934" width="12.140625" style="295" customWidth="1"/>
    <col min="8935" max="8935" width="10.85546875" style="295" customWidth="1"/>
    <col min="8936" max="8936" width="11.85546875" style="295" customWidth="1"/>
    <col min="8937" max="8937" width="12" style="295" customWidth="1"/>
    <col min="8938" max="8938" width="12.7109375" style="295" customWidth="1"/>
    <col min="8939" max="8939" width="13.28515625" style="295" customWidth="1"/>
    <col min="8940" max="8940" width="11.42578125" style="295" customWidth="1"/>
    <col min="8941" max="8941" width="9.85546875" style="295" customWidth="1"/>
    <col min="8942" max="8942" width="11" style="295" customWidth="1"/>
    <col min="8943" max="8943" width="10.5703125" style="295" customWidth="1"/>
    <col min="8944" max="8944" width="15.7109375" style="295" customWidth="1"/>
    <col min="8945" max="8945" width="0" style="295" hidden="1" customWidth="1"/>
    <col min="8946" max="8946" width="2.7109375" style="295" customWidth="1"/>
    <col min="8947" max="8947" width="4.7109375" style="295" customWidth="1"/>
    <col min="8948" max="8948" width="5.28515625" style="295" customWidth="1"/>
    <col min="8949" max="8949" width="9.28515625" style="295" bestFit="1" customWidth="1"/>
    <col min="8950" max="8950" width="19.28515625" style="295" customWidth="1"/>
    <col min="8951" max="9185" width="8.85546875" style="295"/>
    <col min="9186" max="9186" width="4.7109375" style="295" customWidth="1"/>
    <col min="9187" max="9187" width="2.5703125" style="295" customWidth="1"/>
    <col min="9188" max="9188" width="10.5703125" style="295" customWidth="1"/>
    <col min="9189" max="9189" width="9.7109375" style="295" customWidth="1"/>
    <col min="9190" max="9190" width="12.140625" style="295" customWidth="1"/>
    <col min="9191" max="9191" width="10.85546875" style="295" customWidth="1"/>
    <col min="9192" max="9192" width="11.85546875" style="295" customWidth="1"/>
    <col min="9193" max="9193" width="12" style="295" customWidth="1"/>
    <col min="9194" max="9194" width="12.7109375" style="295" customWidth="1"/>
    <col min="9195" max="9195" width="13.28515625" style="295" customWidth="1"/>
    <col min="9196" max="9196" width="11.42578125" style="295" customWidth="1"/>
    <col min="9197" max="9197" width="9.85546875" style="295" customWidth="1"/>
    <col min="9198" max="9198" width="11" style="295" customWidth="1"/>
    <col min="9199" max="9199" width="10.5703125" style="295" customWidth="1"/>
    <col min="9200" max="9200" width="15.7109375" style="295" customWidth="1"/>
    <col min="9201" max="9201" width="0" style="295" hidden="1" customWidth="1"/>
    <col min="9202" max="9202" width="2.7109375" style="295" customWidth="1"/>
    <col min="9203" max="9203" width="4.7109375" style="295" customWidth="1"/>
    <col min="9204" max="9204" width="5.28515625" style="295" customWidth="1"/>
    <col min="9205" max="9205" width="9.28515625" style="295" bestFit="1" customWidth="1"/>
    <col min="9206" max="9206" width="19.28515625" style="295" customWidth="1"/>
    <col min="9207" max="9441" width="8.85546875" style="295"/>
    <col min="9442" max="9442" width="4.7109375" style="295" customWidth="1"/>
    <col min="9443" max="9443" width="2.5703125" style="295" customWidth="1"/>
    <col min="9444" max="9444" width="10.5703125" style="295" customWidth="1"/>
    <col min="9445" max="9445" width="9.7109375" style="295" customWidth="1"/>
    <col min="9446" max="9446" width="12.140625" style="295" customWidth="1"/>
    <col min="9447" max="9447" width="10.85546875" style="295" customWidth="1"/>
    <col min="9448" max="9448" width="11.85546875" style="295" customWidth="1"/>
    <col min="9449" max="9449" width="12" style="295" customWidth="1"/>
    <col min="9450" max="9450" width="12.7109375" style="295" customWidth="1"/>
    <col min="9451" max="9451" width="13.28515625" style="295" customWidth="1"/>
    <col min="9452" max="9452" width="11.42578125" style="295" customWidth="1"/>
    <col min="9453" max="9453" width="9.85546875" style="295" customWidth="1"/>
    <col min="9454" max="9454" width="11" style="295" customWidth="1"/>
    <col min="9455" max="9455" width="10.5703125" style="295" customWidth="1"/>
    <col min="9456" max="9456" width="15.7109375" style="295" customWidth="1"/>
    <col min="9457" max="9457" width="0" style="295" hidden="1" customWidth="1"/>
    <col min="9458" max="9458" width="2.7109375" style="295" customWidth="1"/>
    <col min="9459" max="9459" width="4.7109375" style="295" customWidth="1"/>
    <col min="9460" max="9460" width="5.28515625" style="295" customWidth="1"/>
    <col min="9461" max="9461" width="9.28515625" style="295" bestFit="1" customWidth="1"/>
    <col min="9462" max="9462" width="19.28515625" style="295" customWidth="1"/>
    <col min="9463" max="9697" width="8.85546875" style="295"/>
    <col min="9698" max="9698" width="4.7109375" style="295" customWidth="1"/>
    <col min="9699" max="9699" width="2.5703125" style="295" customWidth="1"/>
    <col min="9700" max="9700" width="10.5703125" style="295" customWidth="1"/>
    <col min="9701" max="9701" width="9.7109375" style="295" customWidth="1"/>
    <col min="9702" max="9702" width="12.140625" style="295" customWidth="1"/>
    <col min="9703" max="9703" width="10.85546875" style="295" customWidth="1"/>
    <col min="9704" max="9704" width="11.85546875" style="295" customWidth="1"/>
    <col min="9705" max="9705" width="12" style="295" customWidth="1"/>
    <col min="9706" max="9706" width="12.7109375" style="295" customWidth="1"/>
    <col min="9707" max="9707" width="13.28515625" style="295" customWidth="1"/>
    <col min="9708" max="9708" width="11.42578125" style="295" customWidth="1"/>
    <col min="9709" max="9709" width="9.85546875" style="295" customWidth="1"/>
    <col min="9710" max="9710" width="11" style="295" customWidth="1"/>
    <col min="9711" max="9711" width="10.5703125" style="295" customWidth="1"/>
    <col min="9712" max="9712" width="15.7109375" style="295" customWidth="1"/>
    <col min="9713" max="9713" width="0" style="295" hidden="1" customWidth="1"/>
    <col min="9714" max="9714" width="2.7109375" style="295" customWidth="1"/>
    <col min="9715" max="9715" width="4.7109375" style="295" customWidth="1"/>
    <col min="9716" max="9716" width="5.28515625" style="295" customWidth="1"/>
    <col min="9717" max="9717" width="9.28515625" style="295" bestFit="1" customWidth="1"/>
    <col min="9718" max="9718" width="19.28515625" style="295" customWidth="1"/>
    <col min="9719" max="9953" width="8.85546875" style="295"/>
    <col min="9954" max="9954" width="4.7109375" style="295" customWidth="1"/>
    <col min="9955" max="9955" width="2.5703125" style="295" customWidth="1"/>
    <col min="9956" max="9956" width="10.5703125" style="295" customWidth="1"/>
    <col min="9957" max="9957" width="9.7109375" style="295" customWidth="1"/>
    <col min="9958" max="9958" width="12.140625" style="295" customWidth="1"/>
    <col min="9959" max="9959" width="10.85546875" style="295" customWidth="1"/>
    <col min="9960" max="9960" width="11.85546875" style="295" customWidth="1"/>
    <col min="9961" max="9961" width="12" style="295" customWidth="1"/>
    <col min="9962" max="9962" width="12.7109375" style="295" customWidth="1"/>
    <col min="9963" max="9963" width="13.28515625" style="295" customWidth="1"/>
    <col min="9964" max="9964" width="11.42578125" style="295" customWidth="1"/>
    <col min="9965" max="9965" width="9.85546875" style="295" customWidth="1"/>
    <col min="9966" max="9966" width="11" style="295" customWidth="1"/>
    <col min="9967" max="9967" width="10.5703125" style="295" customWidth="1"/>
    <col min="9968" max="9968" width="15.7109375" style="295" customWidth="1"/>
    <col min="9969" max="9969" width="0" style="295" hidden="1" customWidth="1"/>
    <col min="9970" max="9970" width="2.7109375" style="295" customWidth="1"/>
    <col min="9971" max="9971" width="4.7109375" style="295" customWidth="1"/>
    <col min="9972" max="9972" width="5.28515625" style="295" customWidth="1"/>
    <col min="9973" max="9973" width="9.28515625" style="295" bestFit="1" customWidth="1"/>
    <col min="9974" max="9974" width="19.28515625" style="295" customWidth="1"/>
    <col min="9975" max="10209" width="8.85546875" style="295"/>
    <col min="10210" max="10210" width="4.7109375" style="295" customWidth="1"/>
    <col min="10211" max="10211" width="2.5703125" style="295" customWidth="1"/>
    <col min="10212" max="10212" width="10.5703125" style="295" customWidth="1"/>
    <col min="10213" max="10213" width="9.7109375" style="295" customWidth="1"/>
    <col min="10214" max="10214" width="12.140625" style="295" customWidth="1"/>
    <col min="10215" max="10215" width="10.85546875" style="295" customWidth="1"/>
    <col min="10216" max="10216" width="11.85546875" style="295" customWidth="1"/>
    <col min="10217" max="10217" width="12" style="295" customWidth="1"/>
    <col min="10218" max="10218" width="12.7109375" style="295" customWidth="1"/>
    <col min="10219" max="10219" width="13.28515625" style="295" customWidth="1"/>
    <col min="10220" max="10220" width="11.42578125" style="295" customWidth="1"/>
    <col min="10221" max="10221" width="9.85546875" style="295" customWidth="1"/>
    <col min="10222" max="10222" width="11" style="295" customWidth="1"/>
    <col min="10223" max="10223" width="10.5703125" style="295" customWidth="1"/>
    <col min="10224" max="10224" width="15.7109375" style="295" customWidth="1"/>
    <col min="10225" max="10225" width="0" style="295" hidden="1" customWidth="1"/>
    <col min="10226" max="10226" width="2.7109375" style="295" customWidth="1"/>
    <col min="10227" max="10227" width="4.7109375" style="295" customWidth="1"/>
    <col min="10228" max="10228" width="5.28515625" style="295" customWidth="1"/>
    <col min="10229" max="10229" width="9.28515625" style="295" bestFit="1" customWidth="1"/>
    <col min="10230" max="10230" width="19.28515625" style="295" customWidth="1"/>
    <col min="10231" max="10465" width="8.85546875" style="295"/>
    <col min="10466" max="10466" width="4.7109375" style="295" customWidth="1"/>
    <col min="10467" max="10467" width="2.5703125" style="295" customWidth="1"/>
    <col min="10468" max="10468" width="10.5703125" style="295" customWidth="1"/>
    <col min="10469" max="10469" width="9.7109375" style="295" customWidth="1"/>
    <col min="10470" max="10470" width="12.140625" style="295" customWidth="1"/>
    <col min="10471" max="10471" width="10.85546875" style="295" customWidth="1"/>
    <col min="10472" max="10472" width="11.85546875" style="295" customWidth="1"/>
    <col min="10473" max="10473" width="12" style="295" customWidth="1"/>
    <col min="10474" max="10474" width="12.7109375" style="295" customWidth="1"/>
    <col min="10475" max="10475" width="13.28515625" style="295" customWidth="1"/>
    <col min="10476" max="10476" width="11.42578125" style="295" customWidth="1"/>
    <col min="10477" max="10477" width="9.85546875" style="295" customWidth="1"/>
    <col min="10478" max="10478" width="11" style="295" customWidth="1"/>
    <col min="10479" max="10479" width="10.5703125" style="295" customWidth="1"/>
    <col min="10480" max="10480" width="15.7109375" style="295" customWidth="1"/>
    <col min="10481" max="10481" width="0" style="295" hidden="1" customWidth="1"/>
    <col min="10482" max="10482" width="2.7109375" style="295" customWidth="1"/>
    <col min="10483" max="10483" width="4.7109375" style="295" customWidth="1"/>
    <col min="10484" max="10484" width="5.28515625" style="295" customWidth="1"/>
    <col min="10485" max="10485" width="9.28515625" style="295" bestFit="1" customWidth="1"/>
    <col min="10486" max="10486" width="19.28515625" style="295" customWidth="1"/>
    <col min="10487" max="10721" width="8.85546875" style="295"/>
    <col min="10722" max="10722" width="4.7109375" style="295" customWidth="1"/>
    <col min="10723" max="10723" width="2.5703125" style="295" customWidth="1"/>
    <col min="10724" max="10724" width="10.5703125" style="295" customWidth="1"/>
    <col min="10725" max="10725" width="9.7109375" style="295" customWidth="1"/>
    <col min="10726" max="10726" width="12.140625" style="295" customWidth="1"/>
    <col min="10727" max="10727" width="10.85546875" style="295" customWidth="1"/>
    <col min="10728" max="10728" width="11.85546875" style="295" customWidth="1"/>
    <col min="10729" max="10729" width="12" style="295" customWidth="1"/>
    <col min="10730" max="10730" width="12.7109375" style="295" customWidth="1"/>
    <col min="10731" max="10731" width="13.28515625" style="295" customWidth="1"/>
    <col min="10732" max="10732" width="11.42578125" style="295" customWidth="1"/>
    <col min="10733" max="10733" width="9.85546875" style="295" customWidth="1"/>
    <col min="10734" max="10734" width="11" style="295" customWidth="1"/>
    <col min="10735" max="10735" width="10.5703125" style="295" customWidth="1"/>
    <col min="10736" max="10736" width="15.7109375" style="295" customWidth="1"/>
    <col min="10737" max="10737" width="0" style="295" hidden="1" customWidth="1"/>
    <col min="10738" max="10738" width="2.7109375" style="295" customWidth="1"/>
    <col min="10739" max="10739" width="4.7109375" style="295" customWidth="1"/>
    <col min="10740" max="10740" width="5.28515625" style="295" customWidth="1"/>
    <col min="10741" max="10741" width="9.28515625" style="295" bestFit="1" customWidth="1"/>
    <col min="10742" max="10742" width="19.28515625" style="295" customWidth="1"/>
    <col min="10743" max="10977" width="8.85546875" style="295"/>
    <col min="10978" max="10978" width="4.7109375" style="295" customWidth="1"/>
    <col min="10979" max="10979" width="2.5703125" style="295" customWidth="1"/>
    <col min="10980" max="10980" width="10.5703125" style="295" customWidth="1"/>
    <col min="10981" max="10981" width="9.7109375" style="295" customWidth="1"/>
    <col min="10982" max="10982" width="12.140625" style="295" customWidth="1"/>
    <col min="10983" max="10983" width="10.85546875" style="295" customWidth="1"/>
    <col min="10984" max="10984" width="11.85546875" style="295" customWidth="1"/>
    <col min="10985" max="10985" width="12" style="295" customWidth="1"/>
    <col min="10986" max="10986" width="12.7109375" style="295" customWidth="1"/>
    <col min="10987" max="10987" width="13.28515625" style="295" customWidth="1"/>
    <col min="10988" max="10988" width="11.42578125" style="295" customWidth="1"/>
    <col min="10989" max="10989" width="9.85546875" style="295" customWidth="1"/>
    <col min="10990" max="10990" width="11" style="295" customWidth="1"/>
    <col min="10991" max="10991" width="10.5703125" style="295" customWidth="1"/>
    <col min="10992" max="10992" width="15.7109375" style="295" customWidth="1"/>
    <col min="10993" max="10993" width="0" style="295" hidden="1" customWidth="1"/>
    <col min="10994" max="10994" width="2.7109375" style="295" customWidth="1"/>
    <col min="10995" max="10995" width="4.7109375" style="295" customWidth="1"/>
    <col min="10996" max="10996" width="5.28515625" style="295" customWidth="1"/>
    <col min="10997" max="10997" width="9.28515625" style="295" bestFit="1" customWidth="1"/>
    <col min="10998" max="10998" width="19.28515625" style="295" customWidth="1"/>
    <col min="10999" max="11233" width="8.85546875" style="295"/>
    <col min="11234" max="11234" width="4.7109375" style="295" customWidth="1"/>
    <col min="11235" max="11235" width="2.5703125" style="295" customWidth="1"/>
    <col min="11236" max="11236" width="10.5703125" style="295" customWidth="1"/>
    <col min="11237" max="11237" width="9.7109375" style="295" customWidth="1"/>
    <col min="11238" max="11238" width="12.140625" style="295" customWidth="1"/>
    <col min="11239" max="11239" width="10.85546875" style="295" customWidth="1"/>
    <col min="11240" max="11240" width="11.85546875" style="295" customWidth="1"/>
    <col min="11241" max="11241" width="12" style="295" customWidth="1"/>
    <col min="11242" max="11242" width="12.7109375" style="295" customWidth="1"/>
    <col min="11243" max="11243" width="13.28515625" style="295" customWidth="1"/>
    <col min="11244" max="11244" width="11.42578125" style="295" customWidth="1"/>
    <col min="11245" max="11245" width="9.85546875" style="295" customWidth="1"/>
    <col min="11246" max="11246" width="11" style="295" customWidth="1"/>
    <col min="11247" max="11247" width="10.5703125" style="295" customWidth="1"/>
    <col min="11248" max="11248" width="15.7109375" style="295" customWidth="1"/>
    <col min="11249" max="11249" width="0" style="295" hidden="1" customWidth="1"/>
    <col min="11250" max="11250" width="2.7109375" style="295" customWidth="1"/>
    <col min="11251" max="11251" width="4.7109375" style="295" customWidth="1"/>
    <col min="11252" max="11252" width="5.28515625" style="295" customWidth="1"/>
    <col min="11253" max="11253" width="9.28515625" style="295" bestFit="1" customWidth="1"/>
    <col min="11254" max="11254" width="19.28515625" style="295" customWidth="1"/>
    <col min="11255" max="11489" width="8.85546875" style="295"/>
    <col min="11490" max="11490" width="4.7109375" style="295" customWidth="1"/>
    <col min="11491" max="11491" width="2.5703125" style="295" customWidth="1"/>
    <col min="11492" max="11492" width="10.5703125" style="295" customWidth="1"/>
    <col min="11493" max="11493" width="9.7109375" style="295" customWidth="1"/>
    <col min="11494" max="11494" width="12.140625" style="295" customWidth="1"/>
    <col min="11495" max="11495" width="10.85546875" style="295" customWidth="1"/>
    <col min="11496" max="11496" width="11.85546875" style="295" customWidth="1"/>
    <col min="11497" max="11497" width="12" style="295" customWidth="1"/>
    <col min="11498" max="11498" width="12.7109375" style="295" customWidth="1"/>
    <col min="11499" max="11499" width="13.28515625" style="295" customWidth="1"/>
    <col min="11500" max="11500" width="11.42578125" style="295" customWidth="1"/>
    <col min="11501" max="11501" width="9.85546875" style="295" customWidth="1"/>
    <col min="11502" max="11502" width="11" style="295" customWidth="1"/>
    <col min="11503" max="11503" width="10.5703125" style="295" customWidth="1"/>
    <col min="11504" max="11504" width="15.7109375" style="295" customWidth="1"/>
    <col min="11505" max="11505" width="0" style="295" hidden="1" customWidth="1"/>
    <col min="11506" max="11506" width="2.7109375" style="295" customWidth="1"/>
    <col min="11507" max="11507" width="4.7109375" style="295" customWidth="1"/>
    <col min="11508" max="11508" width="5.28515625" style="295" customWidth="1"/>
    <col min="11509" max="11509" width="9.28515625" style="295" bestFit="1" customWidth="1"/>
    <col min="11510" max="11510" width="19.28515625" style="295" customWidth="1"/>
    <col min="11511" max="11745" width="8.85546875" style="295"/>
    <col min="11746" max="11746" width="4.7109375" style="295" customWidth="1"/>
    <col min="11747" max="11747" width="2.5703125" style="295" customWidth="1"/>
    <col min="11748" max="11748" width="10.5703125" style="295" customWidth="1"/>
    <col min="11749" max="11749" width="9.7109375" style="295" customWidth="1"/>
    <col min="11750" max="11750" width="12.140625" style="295" customWidth="1"/>
    <col min="11751" max="11751" width="10.85546875" style="295" customWidth="1"/>
    <col min="11752" max="11752" width="11.85546875" style="295" customWidth="1"/>
    <col min="11753" max="11753" width="12" style="295" customWidth="1"/>
    <col min="11754" max="11754" width="12.7109375" style="295" customWidth="1"/>
    <col min="11755" max="11755" width="13.28515625" style="295" customWidth="1"/>
    <col min="11756" max="11756" width="11.42578125" style="295" customWidth="1"/>
    <col min="11757" max="11757" width="9.85546875" style="295" customWidth="1"/>
    <col min="11758" max="11758" width="11" style="295" customWidth="1"/>
    <col min="11759" max="11759" width="10.5703125" style="295" customWidth="1"/>
    <col min="11760" max="11760" width="15.7109375" style="295" customWidth="1"/>
    <col min="11761" max="11761" width="0" style="295" hidden="1" customWidth="1"/>
    <col min="11762" max="11762" width="2.7109375" style="295" customWidth="1"/>
    <col min="11763" max="11763" width="4.7109375" style="295" customWidth="1"/>
    <col min="11764" max="11764" width="5.28515625" style="295" customWidth="1"/>
    <col min="11765" max="11765" width="9.28515625" style="295" bestFit="1" customWidth="1"/>
    <col min="11766" max="11766" width="19.28515625" style="295" customWidth="1"/>
    <col min="11767" max="12001" width="8.85546875" style="295"/>
    <col min="12002" max="12002" width="4.7109375" style="295" customWidth="1"/>
    <col min="12003" max="12003" width="2.5703125" style="295" customWidth="1"/>
    <col min="12004" max="12004" width="10.5703125" style="295" customWidth="1"/>
    <col min="12005" max="12005" width="9.7109375" style="295" customWidth="1"/>
    <col min="12006" max="12006" width="12.140625" style="295" customWidth="1"/>
    <col min="12007" max="12007" width="10.85546875" style="295" customWidth="1"/>
    <col min="12008" max="12008" width="11.85546875" style="295" customWidth="1"/>
    <col min="12009" max="12009" width="12" style="295" customWidth="1"/>
    <col min="12010" max="12010" width="12.7109375" style="295" customWidth="1"/>
    <col min="12011" max="12011" width="13.28515625" style="295" customWidth="1"/>
    <col min="12012" max="12012" width="11.42578125" style="295" customWidth="1"/>
    <col min="12013" max="12013" width="9.85546875" style="295" customWidth="1"/>
    <col min="12014" max="12014" width="11" style="295" customWidth="1"/>
    <col min="12015" max="12015" width="10.5703125" style="295" customWidth="1"/>
    <col min="12016" max="12016" width="15.7109375" style="295" customWidth="1"/>
    <col min="12017" max="12017" width="0" style="295" hidden="1" customWidth="1"/>
    <col min="12018" max="12018" width="2.7109375" style="295" customWidth="1"/>
    <col min="12019" max="12019" width="4.7109375" style="295" customWidth="1"/>
    <col min="12020" max="12020" width="5.28515625" style="295" customWidth="1"/>
    <col min="12021" max="12021" width="9.28515625" style="295" bestFit="1" customWidth="1"/>
    <col min="12022" max="12022" width="19.28515625" style="295" customWidth="1"/>
    <col min="12023" max="12257" width="8.85546875" style="295"/>
    <col min="12258" max="12258" width="4.7109375" style="295" customWidth="1"/>
    <col min="12259" max="12259" width="2.5703125" style="295" customWidth="1"/>
    <col min="12260" max="12260" width="10.5703125" style="295" customWidth="1"/>
    <col min="12261" max="12261" width="9.7109375" style="295" customWidth="1"/>
    <col min="12262" max="12262" width="12.140625" style="295" customWidth="1"/>
    <col min="12263" max="12263" width="10.85546875" style="295" customWidth="1"/>
    <col min="12264" max="12264" width="11.85546875" style="295" customWidth="1"/>
    <col min="12265" max="12265" width="12" style="295" customWidth="1"/>
    <col min="12266" max="12266" width="12.7109375" style="295" customWidth="1"/>
    <col min="12267" max="12267" width="13.28515625" style="295" customWidth="1"/>
    <col min="12268" max="12268" width="11.42578125" style="295" customWidth="1"/>
    <col min="12269" max="12269" width="9.85546875" style="295" customWidth="1"/>
    <col min="12270" max="12270" width="11" style="295" customWidth="1"/>
    <col min="12271" max="12271" width="10.5703125" style="295" customWidth="1"/>
    <col min="12272" max="12272" width="15.7109375" style="295" customWidth="1"/>
    <col min="12273" max="12273" width="0" style="295" hidden="1" customWidth="1"/>
    <col min="12274" max="12274" width="2.7109375" style="295" customWidth="1"/>
    <col min="12275" max="12275" width="4.7109375" style="295" customWidth="1"/>
    <col min="12276" max="12276" width="5.28515625" style="295" customWidth="1"/>
    <col min="12277" max="12277" width="9.28515625" style="295" bestFit="1" customWidth="1"/>
    <col min="12278" max="12278" width="19.28515625" style="295" customWidth="1"/>
    <col min="12279" max="12513" width="8.85546875" style="295"/>
    <col min="12514" max="12514" width="4.7109375" style="295" customWidth="1"/>
    <col min="12515" max="12515" width="2.5703125" style="295" customWidth="1"/>
    <col min="12516" max="12516" width="10.5703125" style="295" customWidth="1"/>
    <col min="12517" max="12517" width="9.7109375" style="295" customWidth="1"/>
    <col min="12518" max="12518" width="12.140625" style="295" customWidth="1"/>
    <col min="12519" max="12519" width="10.85546875" style="295" customWidth="1"/>
    <col min="12520" max="12520" width="11.85546875" style="295" customWidth="1"/>
    <col min="12521" max="12521" width="12" style="295" customWidth="1"/>
    <col min="12522" max="12522" width="12.7109375" style="295" customWidth="1"/>
    <col min="12523" max="12523" width="13.28515625" style="295" customWidth="1"/>
    <col min="12524" max="12524" width="11.42578125" style="295" customWidth="1"/>
    <col min="12525" max="12525" width="9.85546875" style="295" customWidth="1"/>
    <col min="12526" max="12526" width="11" style="295" customWidth="1"/>
    <col min="12527" max="12527" width="10.5703125" style="295" customWidth="1"/>
    <col min="12528" max="12528" width="15.7109375" style="295" customWidth="1"/>
    <col min="12529" max="12529" width="0" style="295" hidden="1" customWidth="1"/>
    <col min="12530" max="12530" width="2.7109375" style="295" customWidth="1"/>
    <col min="12531" max="12531" width="4.7109375" style="295" customWidth="1"/>
    <col min="12532" max="12532" width="5.28515625" style="295" customWidth="1"/>
    <col min="12533" max="12533" width="9.28515625" style="295" bestFit="1" customWidth="1"/>
    <col min="12534" max="12534" width="19.28515625" style="295" customWidth="1"/>
    <col min="12535" max="12769" width="8.85546875" style="295"/>
    <col min="12770" max="12770" width="4.7109375" style="295" customWidth="1"/>
    <col min="12771" max="12771" width="2.5703125" style="295" customWidth="1"/>
    <col min="12772" max="12772" width="10.5703125" style="295" customWidth="1"/>
    <col min="12773" max="12773" width="9.7109375" style="295" customWidth="1"/>
    <col min="12774" max="12774" width="12.140625" style="295" customWidth="1"/>
    <col min="12775" max="12775" width="10.85546875" style="295" customWidth="1"/>
    <col min="12776" max="12776" width="11.85546875" style="295" customWidth="1"/>
    <col min="12777" max="12777" width="12" style="295" customWidth="1"/>
    <col min="12778" max="12778" width="12.7109375" style="295" customWidth="1"/>
    <col min="12779" max="12779" width="13.28515625" style="295" customWidth="1"/>
    <col min="12780" max="12780" width="11.42578125" style="295" customWidth="1"/>
    <col min="12781" max="12781" width="9.85546875" style="295" customWidth="1"/>
    <col min="12782" max="12782" width="11" style="295" customWidth="1"/>
    <col min="12783" max="12783" width="10.5703125" style="295" customWidth="1"/>
    <col min="12784" max="12784" width="15.7109375" style="295" customWidth="1"/>
    <col min="12785" max="12785" width="0" style="295" hidden="1" customWidth="1"/>
    <col min="12786" max="12786" width="2.7109375" style="295" customWidth="1"/>
    <col min="12787" max="12787" width="4.7109375" style="295" customWidth="1"/>
    <col min="12788" max="12788" width="5.28515625" style="295" customWidth="1"/>
    <col min="12789" max="12789" width="9.28515625" style="295" bestFit="1" customWidth="1"/>
    <col min="12790" max="12790" width="19.28515625" style="295" customWidth="1"/>
    <col min="12791" max="13025" width="8.85546875" style="295"/>
    <col min="13026" max="13026" width="4.7109375" style="295" customWidth="1"/>
    <col min="13027" max="13027" width="2.5703125" style="295" customWidth="1"/>
    <col min="13028" max="13028" width="10.5703125" style="295" customWidth="1"/>
    <col min="13029" max="13029" width="9.7109375" style="295" customWidth="1"/>
    <col min="13030" max="13030" width="12.140625" style="295" customWidth="1"/>
    <col min="13031" max="13031" width="10.85546875" style="295" customWidth="1"/>
    <col min="13032" max="13032" width="11.85546875" style="295" customWidth="1"/>
    <col min="13033" max="13033" width="12" style="295" customWidth="1"/>
    <col min="13034" max="13034" width="12.7109375" style="295" customWidth="1"/>
    <col min="13035" max="13035" width="13.28515625" style="295" customWidth="1"/>
    <col min="13036" max="13036" width="11.42578125" style="295" customWidth="1"/>
    <col min="13037" max="13037" width="9.85546875" style="295" customWidth="1"/>
    <col min="13038" max="13038" width="11" style="295" customWidth="1"/>
    <col min="13039" max="13039" width="10.5703125" style="295" customWidth="1"/>
    <col min="13040" max="13040" width="15.7109375" style="295" customWidth="1"/>
    <col min="13041" max="13041" width="0" style="295" hidden="1" customWidth="1"/>
    <col min="13042" max="13042" width="2.7109375" style="295" customWidth="1"/>
    <col min="13043" max="13043" width="4.7109375" style="295" customWidth="1"/>
    <col min="13044" max="13044" width="5.28515625" style="295" customWidth="1"/>
    <col min="13045" max="13045" width="9.28515625" style="295" bestFit="1" customWidth="1"/>
    <col min="13046" max="13046" width="19.28515625" style="295" customWidth="1"/>
    <col min="13047" max="13281" width="8.85546875" style="295"/>
    <col min="13282" max="13282" width="4.7109375" style="295" customWidth="1"/>
    <col min="13283" max="13283" width="2.5703125" style="295" customWidth="1"/>
    <col min="13284" max="13284" width="10.5703125" style="295" customWidth="1"/>
    <col min="13285" max="13285" width="9.7109375" style="295" customWidth="1"/>
    <col min="13286" max="13286" width="12.140625" style="295" customWidth="1"/>
    <col min="13287" max="13287" width="10.85546875" style="295" customWidth="1"/>
    <col min="13288" max="13288" width="11.85546875" style="295" customWidth="1"/>
    <col min="13289" max="13289" width="12" style="295" customWidth="1"/>
    <col min="13290" max="13290" width="12.7109375" style="295" customWidth="1"/>
    <col min="13291" max="13291" width="13.28515625" style="295" customWidth="1"/>
    <col min="13292" max="13292" width="11.42578125" style="295" customWidth="1"/>
    <col min="13293" max="13293" width="9.85546875" style="295" customWidth="1"/>
    <col min="13294" max="13294" width="11" style="295" customWidth="1"/>
    <col min="13295" max="13295" width="10.5703125" style="295" customWidth="1"/>
    <col min="13296" max="13296" width="15.7109375" style="295" customWidth="1"/>
    <col min="13297" max="13297" width="0" style="295" hidden="1" customWidth="1"/>
    <col min="13298" max="13298" width="2.7109375" style="295" customWidth="1"/>
    <col min="13299" max="13299" width="4.7109375" style="295" customWidth="1"/>
    <col min="13300" max="13300" width="5.28515625" style="295" customWidth="1"/>
    <col min="13301" max="13301" width="9.28515625" style="295" bestFit="1" customWidth="1"/>
    <col min="13302" max="13302" width="19.28515625" style="295" customWidth="1"/>
    <col min="13303" max="13537" width="8.85546875" style="295"/>
    <col min="13538" max="13538" width="4.7109375" style="295" customWidth="1"/>
    <col min="13539" max="13539" width="2.5703125" style="295" customWidth="1"/>
    <col min="13540" max="13540" width="10.5703125" style="295" customWidth="1"/>
    <col min="13541" max="13541" width="9.7109375" style="295" customWidth="1"/>
    <col min="13542" max="13542" width="12.140625" style="295" customWidth="1"/>
    <col min="13543" max="13543" width="10.85546875" style="295" customWidth="1"/>
    <col min="13544" max="13544" width="11.85546875" style="295" customWidth="1"/>
    <col min="13545" max="13545" width="12" style="295" customWidth="1"/>
    <col min="13546" max="13546" width="12.7109375" style="295" customWidth="1"/>
    <col min="13547" max="13547" width="13.28515625" style="295" customWidth="1"/>
    <col min="13548" max="13548" width="11.42578125" style="295" customWidth="1"/>
    <col min="13549" max="13549" width="9.85546875" style="295" customWidth="1"/>
    <col min="13550" max="13550" width="11" style="295" customWidth="1"/>
    <col min="13551" max="13551" width="10.5703125" style="295" customWidth="1"/>
    <col min="13552" max="13552" width="15.7109375" style="295" customWidth="1"/>
    <col min="13553" max="13553" width="0" style="295" hidden="1" customWidth="1"/>
    <col min="13554" max="13554" width="2.7109375" style="295" customWidth="1"/>
    <col min="13555" max="13555" width="4.7109375" style="295" customWidth="1"/>
    <col min="13556" max="13556" width="5.28515625" style="295" customWidth="1"/>
    <col min="13557" max="13557" width="9.28515625" style="295" bestFit="1" customWidth="1"/>
    <col min="13558" max="13558" width="19.28515625" style="295" customWidth="1"/>
    <col min="13559" max="13793" width="8.85546875" style="295"/>
    <col min="13794" max="13794" width="4.7109375" style="295" customWidth="1"/>
    <col min="13795" max="13795" width="2.5703125" style="295" customWidth="1"/>
    <col min="13796" max="13796" width="10.5703125" style="295" customWidth="1"/>
    <col min="13797" max="13797" width="9.7109375" style="295" customWidth="1"/>
    <col min="13798" max="13798" width="12.140625" style="295" customWidth="1"/>
    <col min="13799" max="13799" width="10.85546875" style="295" customWidth="1"/>
    <col min="13800" max="13800" width="11.85546875" style="295" customWidth="1"/>
    <col min="13801" max="13801" width="12" style="295" customWidth="1"/>
    <col min="13802" max="13802" width="12.7109375" style="295" customWidth="1"/>
    <col min="13803" max="13803" width="13.28515625" style="295" customWidth="1"/>
    <col min="13804" max="13804" width="11.42578125" style="295" customWidth="1"/>
    <col min="13805" max="13805" width="9.85546875" style="295" customWidth="1"/>
    <col min="13806" max="13806" width="11" style="295" customWidth="1"/>
    <col min="13807" max="13807" width="10.5703125" style="295" customWidth="1"/>
    <col min="13808" max="13808" width="15.7109375" style="295" customWidth="1"/>
    <col min="13809" max="13809" width="0" style="295" hidden="1" customWidth="1"/>
    <col min="13810" max="13810" width="2.7109375" style="295" customWidth="1"/>
    <col min="13811" max="13811" width="4.7109375" style="295" customWidth="1"/>
    <col min="13812" max="13812" width="5.28515625" style="295" customWidth="1"/>
    <col min="13813" max="13813" width="9.28515625" style="295" bestFit="1" customWidth="1"/>
    <col min="13814" max="13814" width="19.28515625" style="295" customWidth="1"/>
    <col min="13815" max="14049" width="8.85546875" style="295"/>
    <col min="14050" max="14050" width="4.7109375" style="295" customWidth="1"/>
    <col min="14051" max="14051" width="2.5703125" style="295" customWidth="1"/>
    <col min="14052" max="14052" width="10.5703125" style="295" customWidth="1"/>
    <col min="14053" max="14053" width="9.7109375" style="295" customWidth="1"/>
    <col min="14054" max="14054" width="12.140625" style="295" customWidth="1"/>
    <col min="14055" max="14055" width="10.85546875" style="295" customWidth="1"/>
    <col min="14056" max="14056" width="11.85546875" style="295" customWidth="1"/>
    <col min="14057" max="14057" width="12" style="295" customWidth="1"/>
    <col min="14058" max="14058" width="12.7109375" style="295" customWidth="1"/>
    <col min="14059" max="14059" width="13.28515625" style="295" customWidth="1"/>
    <col min="14060" max="14060" width="11.42578125" style="295" customWidth="1"/>
    <col min="14061" max="14061" width="9.85546875" style="295" customWidth="1"/>
    <col min="14062" max="14062" width="11" style="295" customWidth="1"/>
    <col min="14063" max="14063" width="10.5703125" style="295" customWidth="1"/>
    <col min="14064" max="14064" width="15.7109375" style="295" customWidth="1"/>
    <col min="14065" max="14065" width="0" style="295" hidden="1" customWidth="1"/>
    <col min="14066" max="14066" width="2.7109375" style="295" customWidth="1"/>
    <col min="14067" max="14067" width="4.7109375" style="295" customWidth="1"/>
    <col min="14068" max="14068" width="5.28515625" style="295" customWidth="1"/>
    <col min="14069" max="14069" width="9.28515625" style="295" bestFit="1" customWidth="1"/>
    <col min="14070" max="14070" width="19.28515625" style="295" customWidth="1"/>
    <col min="14071" max="14305" width="8.85546875" style="295"/>
    <col min="14306" max="14306" width="4.7109375" style="295" customWidth="1"/>
    <col min="14307" max="14307" width="2.5703125" style="295" customWidth="1"/>
    <col min="14308" max="14308" width="10.5703125" style="295" customWidth="1"/>
    <col min="14309" max="14309" width="9.7109375" style="295" customWidth="1"/>
    <col min="14310" max="14310" width="12.140625" style="295" customWidth="1"/>
    <col min="14311" max="14311" width="10.85546875" style="295" customWidth="1"/>
    <col min="14312" max="14312" width="11.85546875" style="295" customWidth="1"/>
    <col min="14313" max="14313" width="12" style="295" customWidth="1"/>
    <col min="14314" max="14314" width="12.7109375" style="295" customWidth="1"/>
    <col min="14315" max="14315" width="13.28515625" style="295" customWidth="1"/>
    <col min="14316" max="14316" width="11.42578125" style="295" customWidth="1"/>
    <col min="14317" max="14317" width="9.85546875" style="295" customWidth="1"/>
    <col min="14318" max="14318" width="11" style="295" customWidth="1"/>
    <col min="14319" max="14319" width="10.5703125" style="295" customWidth="1"/>
    <col min="14320" max="14320" width="15.7109375" style="295" customWidth="1"/>
    <col min="14321" max="14321" width="0" style="295" hidden="1" customWidth="1"/>
    <col min="14322" max="14322" width="2.7109375" style="295" customWidth="1"/>
    <col min="14323" max="14323" width="4.7109375" style="295" customWidth="1"/>
    <col min="14324" max="14324" width="5.28515625" style="295" customWidth="1"/>
    <col min="14325" max="14325" width="9.28515625" style="295" bestFit="1" customWidth="1"/>
    <col min="14326" max="14326" width="19.28515625" style="295" customWidth="1"/>
    <col min="14327" max="14561" width="8.85546875" style="295"/>
    <col min="14562" max="14562" width="4.7109375" style="295" customWidth="1"/>
    <col min="14563" max="14563" width="2.5703125" style="295" customWidth="1"/>
    <col min="14564" max="14564" width="10.5703125" style="295" customWidth="1"/>
    <col min="14565" max="14565" width="9.7109375" style="295" customWidth="1"/>
    <col min="14566" max="14566" width="12.140625" style="295" customWidth="1"/>
    <col min="14567" max="14567" width="10.85546875" style="295" customWidth="1"/>
    <col min="14568" max="14568" width="11.85546875" style="295" customWidth="1"/>
    <col min="14569" max="14569" width="12" style="295" customWidth="1"/>
    <col min="14570" max="14570" width="12.7109375" style="295" customWidth="1"/>
    <col min="14571" max="14571" width="13.28515625" style="295" customWidth="1"/>
    <col min="14572" max="14572" width="11.42578125" style="295" customWidth="1"/>
    <col min="14573" max="14573" width="9.85546875" style="295" customWidth="1"/>
    <col min="14574" max="14574" width="11" style="295" customWidth="1"/>
    <col min="14575" max="14575" width="10.5703125" style="295" customWidth="1"/>
    <col min="14576" max="14576" width="15.7109375" style="295" customWidth="1"/>
    <col min="14577" max="14577" width="0" style="295" hidden="1" customWidth="1"/>
    <col min="14578" max="14578" width="2.7109375" style="295" customWidth="1"/>
    <col min="14579" max="14579" width="4.7109375" style="295" customWidth="1"/>
    <col min="14580" max="14580" width="5.28515625" style="295" customWidth="1"/>
    <col min="14581" max="14581" width="9.28515625" style="295" bestFit="1" customWidth="1"/>
    <col min="14582" max="14582" width="19.28515625" style="295" customWidth="1"/>
    <col min="14583" max="14817" width="8.85546875" style="295"/>
    <col min="14818" max="14818" width="4.7109375" style="295" customWidth="1"/>
    <col min="14819" max="14819" width="2.5703125" style="295" customWidth="1"/>
    <col min="14820" max="14820" width="10.5703125" style="295" customWidth="1"/>
    <col min="14821" max="14821" width="9.7109375" style="295" customWidth="1"/>
    <col min="14822" max="14822" width="12.140625" style="295" customWidth="1"/>
    <col min="14823" max="14823" width="10.85546875" style="295" customWidth="1"/>
    <col min="14824" max="14824" width="11.85546875" style="295" customWidth="1"/>
    <col min="14825" max="14825" width="12" style="295" customWidth="1"/>
    <col min="14826" max="14826" width="12.7109375" style="295" customWidth="1"/>
    <col min="14827" max="14827" width="13.28515625" style="295" customWidth="1"/>
    <col min="14828" max="14828" width="11.42578125" style="295" customWidth="1"/>
    <col min="14829" max="14829" width="9.85546875" style="295" customWidth="1"/>
    <col min="14830" max="14830" width="11" style="295" customWidth="1"/>
    <col min="14831" max="14831" width="10.5703125" style="295" customWidth="1"/>
    <col min="14832" max="14832" width="15.7109375" style="295" customWidth="1"/>
    <col min="14833" max="14833" width="0" style="295" hidden="1" customWidth="1"/>
    <col min="14834" max="14834" width="2.7109375" style="295" customWidth="1"/>
    <col min="14835" max="14835" width="4.7109375" style="295" customWidth="1"/>
    <col min="14836" max="14836" width="5.28515625" style="295" customWidth="1"/>
    <col min="14837" max="14837" width="9.28515625" style="295" bestFit="1" customWidth="1"/>
    <col min="14838" max="14838" width="19.28515625" style="295" customWidth="1"/>
    <col min="14839" max="15073" width="8.85546875" style="295"/>
    <col min="15074" max="15074" width="4.7109375" style="295" customWidth="1"/>
    <col min="15075" max="15075" width="2.5703125" style="295" customWidth="1"/>
    <col min="15076" max="15076" width="10.5703125" style="295" customWidth="1"/>
    <col min="15077" max="15077" width="9.7109375" style="295" customWidth="1"/>
    <col min="15078" max="15078" width="12.140625" style="295" customWidth="1"/>
    <col min="15079" max="15079" width="10.85546875" style="295" customWidth="1"/>
    <col min="15080" max="15080" width="11.85546875" style="295" customWidth="1"/>
    <col min="15081" max="15081" width="12" style="295" customWidth="1"/>
    <col min="15082" max="15082" width="12.7109375" style="295" customWidth="1"/>
    <col min="15083" max="15083" width="13.28515625" style="295" customWidth="1"/>
    <col min="15084" max="15084" width="11.42578125" style="295" customWidth="1"/>
    <col min="15085" max="15085" width="9.85546875" style="295" customWidth="1"/>
    <col min="15086" max="15086" width="11" style="295" customWidth="1"/>
    <col min="15087" max="15087" width="10.5703125" style="295" customWidth="1"/>
    <col min="15088" max="15088" width="15.7109375" style="295" customWidth="1"/>
    <col min="15089" max="15089" width="0" style="295" hidden="1" customWidth="1"/>
    <col min="15090" max="15090" width="2.7109375" style="295" customWidth="1"/>
    <col min="15091" max="15091" width="4.7109375" style="295" customWidth="1"/>
    <col min="15092" max="15092" width="5.28515625" style="295" customWidth="1"/>
    <col min="15093" max="15093" width="9.28515625" style="295" bestFit="1" customWidth="1"/>
    <col min="15094" max="15094" width="19.28515625" style="295" customWidth="1"/>
    <col min="15095" max="15329" width="8.85546875" style="295"/>
    <col min="15330" max="15330" width="4.7109375" style="295" customWidth="1"/>
    <col min="15331" max="15331" width="2.5703125" style="295" customWidth="1"/>
    <col min="15332" max="15332" width="10.5703125" style="295" customWidth="1"/>
    <col min="15333" max="15333" width="9.7109375" style="295" customWidth="1"/>
    <col min="15334" max="15334" width="12.140625" style="295" customWidth="1"/>
    <col min="15335" max="15335" width="10.85546875" style="295" customWidth="1"/>
    <col min="15336" max="15336" width="11.85546875" style="295" customWidth="1"/>
    <col min="15337" max="15337" width="12" style="295" customWidth="1"/>
    <col min="15338" max="15338" width="12.7109375" style="295" customWidth="1"/>
    <col min="15339" max="15339" width="13.28515625" style="295" customWidth="1"/>
    <col min="15340" max="15340" width="11.42578125" style="295" customWidth="1"/>
    <col min="15341" max="15341" width="9.85546875" style="295" customWidth="1"/>
    <col min="15342" max="15342" width="11" style="295" customWidth="1"/>
    <col min="15343" max="15343" width="10.5703125" style="295" customWidth="1"/>
    <col min="15344" max="15344" width="15.7109375" style="295" customWidth="1"/>
    <col min="15345" max="15345" width="0" style="295" hidden="1" customWidth="1"/>
    <col min="15346" max="15346" width="2.7109375" style="295" customWidth="1"/>
    <col min="15347" max="15347" width="4.7109375" style="295" customWidth="1"/>
    <col min="15348" max="15348" width="5.28515625" style="295" customWidth="1"/>
    <col min="15349" max="15349" width="9.28515625" style="295" bestFit="1" customWidth="1"/>
    <col min="15350" max="15350" width="19.28515625" style="295" customWidth="1"/>
    <col min="15351" max="15585" width="8.85546875" style="295"/>
    <col min="15586" max="15586" width="4.7109375" style="295" customWidth="1"/>
    <col min="15587" max="15587" width="2.5703125" style="295" customWidth="1"/>
    <col min="15588" max="15588" width="10.5703125" style="295" customWidth="1"/>
    <col min="15589" max="15589" width="9.7109375" style="295" customWidth="1"/>
    <col min="15590" max="15590" width="12.140625" style="295" customWidth="1"/>
    <col min="15591" max="15591" width="10.85546875" style="295" customWidth="1"/>
    <col min="15592" max="15592" width="11.85546875" style="295" customWidth="1"/>
    <col min="15593" max="15593" width="12" style="295" customWidth="1"/>
    <col min="15594" max="15594" width="12.7109375" style="295" customWidth="1"/>
    <col min="15595" max="15595" width="13.28515625" style="295" customWidth="1"/>
    <col min="15596" max="15596" width="11.42578125" style="295" customWidth="1"/>
    <col min="15597" max="15597" width="9.85546875" style="295" customWidth="1"/>
    <col min="15598" max="15598" width="11" style="295" customWidth="1"/>
    <col min="15599" max="15599" width="10.5703125" style="295" customWidth="1"/>
    <col min="15600" max="15600" width="15.7109375" style="295" customWidth="1"/>
    <col min="15601" max="15601" width="0" style="295" hidden="1" customWidth="1"/>
    <col min="15602" max="15602" width="2.7109375" style="295" customWidth="1"/>
    <col min="15603" max="15603" width="4.7109375" style="295" customWidth="1"/>
    <col min="15604" max="15604" width="5.28515625" style="295" customWidth="1"/>
    <col min="15605" max="15605" width="9.28515625" style="295" bestFit="1" customWidth="1"/>
    <col min="15606" max="15606" width="19.28515625" style="295" customWidth="1"/>
    <col min="15607" max="15841" width="8.85546875" style="295"/>
    <col min="15842" max="15842" width="4.7109375" style="295" customWidth="1"/>
    <col min="15843" max="15843" width="2.5703125" style="295" customWidth="1"/>
    <col min="15844" max="15844" width="10.5703125" style="295" customWidth="1"/>
    <col min="15845" max="15845" width="9.7109375" style="295" customWidth="1"/>
    <col min="15846" max="15846" width="12.140625" style="295" customWidth="1"/>
    <col min="15847" max="15847" width="10.85546875" style="295" customWidth="1"/>
    <col min="15848" max="15848" width="11.85546875" style="295" customWidth="1"/>
    <col min="15849" max="15849" width="12" style="295" customWidth="1"/>
    <col min="15850" max="15850" width="12.7109375" style="295" customWidth="1"/>
    <col min="15851" max="15851" width="13.28515625" style="295" customWidth="1"/>
    <col min="15852" max="15852" width="11.42578125" style="295" customWidth="1"/>
    <col min="15853" max="15853" width="9.85546875" style="295" customWidth="1"/>
    <col min="15854" max="15854" width="11" style="295" customWidth="1"/>
    <col min="15855" max="15855" width="10.5703125" style="295" customWidth="1"/>
    <col min="15856" max="15856" width="15.7109375" style="295" customWidth="1"/>
    <col min="15857" max="15857" width="0" style="295" hidden="1" customWidth="1"/>
    <col min="15858" max="15858" width="2.7109375" style="295" customWidth="1"/>
    <col min="15859" max="15859" width="4.7109375" style="295" customWidth="1"/>
    <col min="15860" max="15860" width="5.28515625" style="295" customWidth="1"/>
    <col min="15861" max="15861" width="9.28515625" style="295" bestFit="1" customWidth="1"/>
    <col min="15862" max="15862" width="19.28515625" style="295" customWidth="1"/>
    <col min="15863" max="16097" width="8.85546875" style="295"/>
    <col min="16098" max="16098" width="4.7109375" style="295" customWidth="1"/>
    <col min="16099" max="16099" width="2.5703125" style="295" customWidth="1"/>
    <col min="16100" max="16100" width="10.5703125" style="295" customWidth="1"/>
    <col min="16101" max="16101" width="9.7109375" style="295" customWidth="1"/>
    <col min="16102" max="16102" width="12.140625" style="295" customWidth="1"/>
    <col min="16103" max="16103" width="10.85546875" style="295" customWidth="1"/>
    <col min="16104" max="16104" width="11.85546875" style="295" customWidth="1"/>
    <col min="16105" max="16105" width="12" style="295" customWidth="1"/>
    <col min="16106" max="16106" width="12.7109375" style="295" customWidth="1"/>
    <col min="16107" max="16107" width="13.28515625" style="295" customWidth="1"/>
    <col min="16108" max="16108" width="11.42578125" style="295" customWidth="1"/>
    <col min="16109" max="16109" width="9.85546875" style="295" customWidth="1"/>
    <col min="16110" max="16110" width="11" style="295" customWidth="1"/>
    <col min="16111" max="16111" width="10.5703125" style="295" customWidth="1"/>
    <col min="16112" max="16112" width="15.7109375" style="295" customWidth="1"/>
    <col min="16113" max="16113" width="0" style="295" hidden="1" customWidth="1"/>
    <col min="16114" max="16114" width="2.7109375" style="295" customWidth="1"/>
    <col min="16115" max="16115" width="4.7109375" style="295" customWidth="1"/>
    <col min="16116" max="16116" width="5.28515625" style="295" customWidth="1"/>
    <col min="16117" max="16117" width="9.28515625" style="295" bestFit="1" customWidth="1"/>
    <col min="16118" max="16118" width="19.28515625" style="295" customWidth="1"/>
    <col min="16119" max="16384" width="8.85546875" style="295"/>
  </cols>
  <sheetData>
    <row r="1" spans="1:20" ht="18.75" customHeight="1">
      <c r="A1" s="292"/>
      <c r="B1" s="293"/>
      <c r="C1" s="293"/>
      <c r="D1" s="293"/>
      <c r="E1" s="293"/>
      <c r="F1" s="293"/>
      <c r="G1" s="293"/>
      <c r="H1" s="293"/>
      <c r="I1" s="293"/>
      <c r="J1" s="293"/>
      <c r="K1" s="293"/>
      <c r="L1" s="293"/>
      <c r="M1" s="294"/>
      <c r="T1" s="295" t="s">
        <v>610</v>
      </c>
    </row>
    <row r="2" spans="1:20" ht="14.25" customHeight="1">
      <c r="A2" s="296"/>
      <c r="B2" s="297" t="s">
        <v>611</v>
      </c>
      <c r="C2" s="298" t="s">
        <v>612</v>
      </c>
      <c r="D2" s="299"/>
      <c r="E2" s="300"/>
      <c r="F2" s="300"/>
      <c r="G2" s="300"/>
      <c r="H2" s="300"/>
      <c r="I2" s="300"/>
      <c r="J2" s="300"/>
      <c r="K2" s="300"/>
      <c r="L2" s="300"/>
      <c r="M2" s="301"/>
      <c r="Q2" s="295" t="s">
        <v>613</v>
      </c>
      <c r="R2" s="295" t="s">
        <v>614</v>
      </c>
      <c r="S2" s="295" t="s">
        <v>615</v>
      </c>
      <c r="T2" s="295" t="s">
        <v>616</v>
      </c>
    </row>
    <row r="3" spans="1:20" ht="14.25" customHeight="1">
      <c r="A3" s="296"/>
      <c r="B3" s="297" t="s">
        <v>617</v>
      </c>
      <c r="C3" s="298" t="s">
        <v>618</v>
      </c>
      <c r="D3" s="299"/>
      <c r="E3" s="300"/>
      <c r="F3" s="300"/>
      <c r="G3" s="300"/>
      <c r="H3" s="300"/>
      <c r="I3" s="300"/>
      <c r="J3" s="300"/>
      <c r="K3" s="300"/>
      <c r="L3" s="300"/>
      <c r="M3" s="301"/>
      <c r="Q3" s="295" t="s">
        <v>619</v>
      </c>
      <c r="R3" s="295" t="s">
        <v>620</v>
      </c>
      <c r="S3" s="295" t="s">
        <v>621</v>
      </c>
      <c r="T3" s="295" t="s">
        <v>622</v>
      </c>
    </row>
    <row r="4" spans="1:20" ht="14.25" customHeight="1">
      <c r="A4" s="296"/>
      <c r="B4" s="297" t="s">
        <v>623</v>
      </c>
      <c r="C4" s="298" t="s">
        <v>624</v>
      </c>
      <c r="D4" s="299"/>
      <c r="E4" s="300"/>
      <c r="F4" s="300"/>
      <c r="G4" s="300"/>
      <c r="H4" s="300"/>
      <c r="I4" s="300"/>
      <c r="J4" s="300"/>
      <c r="K4" s="300"/>
      <c r="L4" s="300"/>
      <c r="M4" s="301"/>
      <c r="Q4" s="295" t="s">
        <v>625</v>
      </c>
      <c r="R4" s="295" t="s">
        <v>626</v>
      </c>
      <c r="T4" s="295" t="s">
        <v>627</v>
      </c>
    </row>
    <row r="5" spans="1:20" ht="14.25" customHeight="1">
      <c r="A5" s="296"/>
      <c r="B5" s="297" t="s">
        <v>628</v>
      </c>
      <c r="C5" s="298" t="s">
        <v>629</v>
      </c>
      <c r="D5" s="299"/>
      <c r="E5" s="300"/>
      <c r="F5" s="300"/>
      <c r="G5" s="300"/>
      <c r="H5" s="300"/>
      <c r="I5" s="300"/>
      <c r="J5" s="300"/>
      <c r="K5" s="300"/>
      <c r="L5" s="300"/>
      <c r="M5" s="301"/>
      <c r="Q5" s="295" t="s">
        <v>630</v>
      </c>
      <c r="R5" s="295" t="s">
        <v>631</v>
      </c>
      <c r="T5" s="295" t="s">
        <v>632</v>
      </c>
    </row>
    <row r="6" spans="1:20" ht="14.25" customHeight="1">
      <c r="A6" s="296"/>
      <c r="B6" s="297" t="s">
        <v>633</v>
      </c>
      <c r="C6" s="298" t="s">
        <v>634</v>
      </c>
      <c r="D6" s="299"/>
      <c r="E6" s="300"/>
      <c r="F6" s="300"/>
      <c r="G6" s="300"/>
      <c r="H6" s="300"/>
      <c r="I6" s="300"/>
      <c r="J6" s="300"/>
      <c r="K6" s="300"/>
      <c r="L6" s="300"/>
      <c r="M6" s="301"/>
      <c r="Q6" s="295" t="s">
        <v>635</v>
      </c>
      <c r="R6" s="295" t="s">
        <v>636</v>
      </c>
      <c r="T6" s="295" t="s">
        <v>637</v>
      </c>
    </row>
    <row r="7" spans="1:20" ht="14.25" customHeight="1">
      <c r="A7" s="296"/>
      <c r="B7" s="297" t="s">
        <v>638</v>
      </c>
      <c r="C7" s="298" t="s">
        <v>639</v>
      </c>
      <c r="D7" s="299"/>
      <c r="E7" s="300"/>
      <c r="F7" s="300"/>
      <c r="G7" s="300"/>
      <c r="H7" s="300"/>
      <c r="I7" s="300"/>
      <c r="J7" s="300"/>
      <c r="K7" s="300"/>
      <c r="L7" s="300"/>
      <c r="M7" s="301"/>
    </row>
    <row r="8" spans="1:20" ht="12.75" customHeight="1">
      <c r="A8" s="296"/>
      <c r="B8" s="302"/>
      <c r="I8" s="303"/>
      <c r="J8" s="304"/>
      <c r="K8" s="304"/>
      <c r="L8" s="304"/>
      <c r="M8" s="305"/>
      <c r="N8" s="306"/>
      <c r="Q8" s="295" t="s">
        <v>640</v>
      </c>
      <c r="R8" s="295" t="s">
        <v>641</v>
      </c>
      <c r="T8" s="295" t="s">
        <v>642</v>
      </c>
    </row>
    <row r="9" spans="1:20" ht="31.5" customHeight="1">
      <c r="A9" s="296"/>
      <c r="B9" s="498" t="s">
        <v>643</v>
      </c>
      <c r="C9" s="499"/>
      <c r="D9" s="499"/>
      <c r="E9" s="499"/>
      <c r="F9" s="499"/>
      <c r="G9" s="499"/>
      <c r="H9" s="499"/>
      <c r="I9" s="499"/>
      <c r="J9" s="499"/>
      <c r="K9" s="499"/>
      <c r="L9" s="499"/>
      <c r="M9" s="307"/>
      <c r="N9" s="308"/>
      <c r="Q9" s="295" t="s">
        <v>644</v>
      </c>
      <c r="R9" s="295" t="s">
        <v>645</v>
      </c>
      <c r="T9" s="295" t="s">
        <v>646</v>
      </c>
    </row>
    <row r="10" spans="1:20" s="313" customFormat="1" ht="8.25" customHeight="1">
      <c r="A10" s="309"/>
      <c r="B10" s="310"/>
      <c r="C10" s="311"/>
      <c r="D10" s="311"/>
      <c r="E10" s="311"/>
      <c r="F10" s="311"/>
      <c r="G10" s="311"/>
      <c r="H10" s="311"/>
      <c r="I10" s="311"/>
      <c r="J10" s="311"/>
      <c r="K10" s="311"/>
      <c r="L10" s="311"/>
      <c r="M10" s="312"/>
      <c r="Q10" s="295" t="s">
        <v>647</v>
      </c>
      <c r="T10" s="295" t="s">
        <v>648</v>
      </c>
    </row>
    <row r="11" spans="1:20" s="313" customFormat="1" ht="16.5" customHeight="1">
      <c r="A11" s="309"/>
      <c r="B11" s="484" t="s">
        <v>649</v>
      </c>
      <c r="C11" s="484"/>
      <c r="D11" s="500" t="s">
        <v>650</v>
      </c>
      <c r="E11" s="500"/>
      <c r="F11" s="500"/>
      <c r="G11" s="500"/>
      <c r="H11" s="500"/>
      <c r="I11" s="314" t="s">
        <v>651</v>
      </c>
      <c r="J11" s="315"/>
      <c r="K11" s="501" t="s">
        <v>652</v>
      </c>
      <c r="L11" s="501"/>
      <c r="M11" s="316"/>
      <c r="Q11" s="295" t="s">
        <v>653</v>
      </c>
      <c r="T11" s="295" t="s">
        <v>654</v>
      </c>
    </row>
    <row r="12" spans="1:20" s="313" customFormat="1" ht="16.5" customHeight="1">
      <c r="A12" s="309"/>
      <c r="B12" s="484" t="s">
        <v>655</v>
      </c>
      <c r="C12" s="484"/>
      <c r="D12" s="500" t="s">
        <v>656</v>
      </c>
      <c r="E12" s="500"/>
      <c r="F12" s="500"/>
      <c r="G12" s="500"/>
      <c r="H12" s="500"/>
      <c r="I12" s="317" t="s">
        <v>657</v>
      </c>
      <c r="J12" s="318"/>
      <c r="K12" s="502">
        <f ca="1">TODAY()</f>
        <v>45079</v>
      </c>
      <c r="L12" s="502"/>
      <c r="M12" s="316"/>
      <c r="Q12" s="295" t="s">
        <v>658</v>
      </c>
      <c r="T12" s="295" t="s">
        <v>659</v>
      </c>
    </row>
    <row r="13" spans="1:20" s="313" customFormat="1" ht="16.5" customHeight="1">
      <c r="A13" s="309"/>
      <c r="B13" s="484" t="s">
        <v>660</v>
      </c>
      <c r="C13" s="484"/>
      <c r="D13" s="485" t="s">
        <v>661</v>
      </c>
      <c r="E13" s="486"/>
      <c r="F13" s="486"/>
      <c r="G13" s="486"/>
      <c r="H13" s="487"/>
      <c r="I13" s="319" t="s">
        <v>662</v>
      </c>
      <c r="J13" s="320"/>
      <c r="K13" s="488" t="s">
        <v>663</v>
      </c>
      <c r="L13" s="488"/>
      <c r="M13" s="321"/>
      <c r="Q13" s="295"/>
      <c r="T13" s="295" t="s">
        <v>664</v>
      </c>
    </row>
    <row r="14" spans="1:20" s="311" customFormat="1" ht="8.25" customHeight="1">
      <c r="A14" s="322"/>
      <c r="M14" s="323"/>
      <c r="T14" s="295" t="s">
        <v>665</v>
      </c>
    </row>
    <row r="15" spans="1:20" s="311" customFormat="1" ht="22.5" customHeight="1">
      <c r="A15" s="322"/>
      <c r="B15" s="470" t="s">
        <v>666</v>
      </c>
      <c r="C15" s="470"/>
      <c r="D15" s="470"/>
      <c r="E15" s="470"/>
      <c r="F15" s="470"/>
      <c r="G15" s="470"/>
      <c r="H15" s="470"/>
      <c r="I15" s="470"/>
      <c r="J15" s="470"/>
      <c r="K15" s="470"/>
      <c r="L15" s="470"/>
      <c r="M15" s="323"/>
      <c r="T15" s="295" t="s">
        <v>667</v>
      </c>
    </row>
    <row r="16" spans="1:20" s="311" customFormat="1" ht="16.5" customHeight="1">
      <c r="A16" s="322"/>
      <c r="B16" s="489" t="s">
        <v>668</v>
      </c>
      <c r="C16" s="489"/>
      <c r="D16" s="490"/>
      <c r="E16" s="326" t="s">
        <v>669</v>
      </c>
      <c r="F16" s="326"/>
      <c r="G16" s="326"/>
      <c r="H16" s="326"/>
      <c r="I16" s="325" t="s">
        <v>670</v>
      </c>
      <c r="J16" s="327"/>
      <c r="K16" s="328" t="s">
        <v>671</v>
      </c>
      <c r="L16" s="328"/>
      <c r="M16" s="329"/>
      <c r="T16" s="295" t="s">
        <v>672</v>
      </c>
    </row>
    <row r="17" spans="1:14" s="311" customFormat="1" ht="16.5" customHeight="1">
      <c r="A17" s="322"/>
      <c r="B17" s="491" t="s">
        <v>673</v>
      </c>
      <c r="C17" s="491"/>
      <c r="D17" s="483"/>
      <c r="E17" s="492" t="s">
        <v>674</v>
      </c>
      <c r="F17" s="492"/>
      <c r="G17" s="492"/>
      <c r="H17" s="493"/>
      <c r="I17" s="331" t="s">
        <v>675</v>
      </c>
      <c r="J17" s="333"/>
      <c r="K17" s="332" t="s">
        <v>676</v>
      </c>
      <c r="L17" s="332"/>
      <c r="M17" s="329"/>
    </row>
    <row r="18" spans="1:14" s="311" customFormat="1" ht="16.5" customHeight="1">
      <c r="A18" s="322"/>
      <c r="B18" s="494" t="s">
        <v>677</v>
      </c>
      <c r="C18" s="494"/>
      <c r="D18" s="495"/>
      <c r="E18" s="335" t="s">
        <v>678</v>
      </c>
      <c r="F18" s="335"/>
      <c r="G18" s="335"/>
      <c r="H18" s="335"/>
      <c r="I18" s="334" t="s">
        <v>679</v>
      </c>
      <c r="J18" s="336"/>
      <c r="K18" s="328" t="s">
        <v>630</v>
      </c>
      <c r="L18" s="328"/>
      <c r="M18" s="337"/>
    </row>
    <row r="19" spans="1:14" s="311" customFormat="1" ht="16.5" customHeight="1">
      <c r="A19" s="322"/>
      <c r="B19" s="491" t="s">
        <v>680</v>
      </c>
      <c r="C19" s="491"/>
      <c r="D19" s="483"/>
      <c r="E19" s="338" t="s">
        <v>661</v>
      </c>
      <c r="F19" s="338"/>
      <c r="G19" s="338"/>
      <c r="H19" s="338"/>
      <c r="I19" s="483" t="s">
        <v>681</v>
      </c>
      <c r="J19" s="479"/>
      <c r="K19" s="332" t="s">
        <v>621</v>
      </c>
      <c r="L19" s="332"/>
      <c r="M19" s="339"/>
    </row>
    <row r="20" spans="1:14" s="311" customFormat="1" ht="16.5" customHeight="1">
      <c r="A20" s="322"/>
      <c r="B20" s="496" t="s">
        <v>682</v>
      </c>
      <c r="C20" s="496"/>
      <c r="D20" s="497"/>
      <c r="E20" s="338" t="s">
        <v>683</v>
      </c>
      <c r="F20" s="338"/>
      <c r="G20" s="338"/>
      <c r="H20" s="338"/>
      <c r="I20" s="331" t="s">
        <v>684</v>
      </c>
      <c r="J20" s="333"/>
      <c r="K20" s="341">
        <v>45076</v>
      </c>
      <c r="L20" s="328"/>
      <c r="M20" s="323"/>
    </row>
    <row r="21" spans="1:14" s="311" customFormat="1" ht="16.5" customHeight="1">
      <c r="A21" s="322"/>
      <c r="B21" s="330" t="s">
        <v>685</v>
      </c>
      <c r="C21" s="483" t="s">
        <v>686</v>
      </c>
      <c r="D21" s="479"/>
      <c r="E21" s="342">
        <v>0.68</v>
      </c>
      <c r="F21" s="343"/>
      <c r="G21" s="343"/>
      <c r="H21" s="343"/>
      <c r="I21" s="340" t="s">
        <v>687</v>
      </c>
      <c r="J21" s="344"/>
      <c r="K21" s="345" t="s">
        <v>688</v>
      </c>
      <c r="L21" s="341"/>
      <c r="M21" s="323"/>
    </row>
    <row r="22" spans="1:14" s="311" customFormat="1" ht="16.5" customHeight="1">
      <c r="A22" s="322"/>
      <c r="B22" s="330" t="s">
        <v>685</v>
      </c>
      <c r="C22" s="483" t="s">
        <v>686</v>
      </c>
      <c r="D22" s="479"/>
      <c r="E22" s="342">
        <v>0.68</v>
      </c>
      <c r="F22" s="343"/>
      <c r="G22" s="343"/>
      <c r="H22" s="343"/>
      <c r="I22" s="340"/>
      <c r="J22" s="344"/>
      <c r="K22" s="345"/>
      <c r="L22" s="345"/>
      <c r="M22" s="323"/>
    </row>
    <row r="23" spans="1:14" s="311" customFormat="1" ht="12.75" customHeight="1" thickBot="1">
      <c r="A23" s="322"/>
      <c r="D23" s="346"/>
      <c r="I23" s="347"/>
      <c r="M23" s="348"/>
    </row>
    <row r="24" spans="1:14" s="311" customFormat="1" ht="24.75" customHeight="1">
      <c r="A24" s="322"/>
      <c r="B24" s="472" t="s">
        <v>689</v>
      </c>
      <c r="C24" s="473"/>
      <c r="D24" s="473"/>
      <c r="E24" s="473"/>
      <c r="F24" s="473"/>
      <c r="G24" s="473"/>
      <c r="H24" s="473"/>
      <c r="I24" s="473"/>
      <c r="J24" s="473"/>
      <c r="K24" s="473"/>
      <c r="L24" s="474"/>
      <c r="M24" s="348"/>
    </row>
    <row r="25" spans="1:14" s="311" customFormat="1" ht="8.25" customHeight="1">
      <c r="A25" s="322"/>
      <c r="B25" s="349"/>
      <c r="C25" s="350"/>
      <c r="D25" s="350"/>
      <c r="E25" s="350"/>
      <c r="F25" s="350"/>
      <c r="G25" s="350"/>
      <c r="H25" s="350"/>
      <c r="I25" s="350"/>
      <c r="J25" s="350"/>
      <c r="K25" s="350"/>
      <c r="L25" s="351"/>
      <c r="M25" s="348"/>
    </row>
    <row r="26" spans="1:14" s="311" customFormat="1" ht="16.5" customHeight="1">
      <c r="A26" s="322"/>
      <c r="B26" s="475" t="s">
        <v>690</v>
      </c>
      <c r="C26" s="476"/>
      <c r="D26" s="476"/>
      <c r="E26" s="476"/>
      <c r="F26" s="476"/>
      <c r="G26" s="476"/>
      <c r="H26" s="476"/>
      <c r="I26" s="476"/>
      <c r="J26" s="476"/>
      <c r="K26" s="476"/>
      <c r="L26" s="477"/>
      <c r="M26" s="323"/>
      <c r="N26" s="352"/>
    </row>
    <row r="27" spans="1:14" s="311" customFormat="1" ht="16.5" customHeight="1">
      <c r="A27" s="322"/>
      <c r="B27" s="475" t="s">
        <v>691</v>
      </c>
      <c r="C27" s="476"/>
      <c r="D27" s="476"/>
      <c r="E27" s="476"/>
      <c r="F27" s="476"/>
      <c r="G27" s="476"/>
      <c r="H27" s="476"/>
      <c r="I27" s="476"/>
      <c r="J27" s="476"/>
      <c r="K27" s="476"/>
      <c r="L27" s="477"/>
      <c r="M27" s="323"/>
      <c r="N27" s="352"/>
    </row>
    <row r="28" spans="1:14" s="311" customFormat="1" ht="16.5" customHeight="1">
      <c r="A28" s="322"/>
      <c r="B28" s="475" t="s">
        <v>692</v>
      </c>
      <c r="C28" s="476"/>
      <c r="D28" s="476"/>
      <c r="E28" s="476"/>
      <c r="F28" s="476"/>
      <c r="G28" s="476"/>
      <c r="H28" s="476"/>
      <c r="I28" s="476"/>
      <c r="J28" s="476"/>
      <c r="K28" s="476"/>
      <c r="L28" s="477"/>
      <c r="M28" s="323"/>
      <c r="N28" s="352"/>
    </row>
    <row r="29" spans="1:14" s="311" customFormat="1" ht="16.5" customHeight="1">
      <c r="A29" s="322"/>
      <c r="B29" s="478" t="s">
        <v>693</v>
      </c>
      <c r="C29" s="479"/>
      <c r="D29" s="479"/>
      <c r="E29" s="479"/>
      <c r="F29" s="479"/>
      <c r="G29" s="479"/>
      <c r="H29" s="479"/>
      <c r="I29" s="479"/>
      <c r="J29" s="479"/>
      <c r="K29" s="479"/>
      <c r="L29" s="480"/>
      <c r="M29" s="323"/>
      <c r="N29" s="352"/>
    </row>
    <row r="30" spans="1:14" s="311" customFormat="1" ht="16.5" customHeight="1">
      <c r="A30" s="322"/>
      <c r="B30" s="353" t="s">
        <v>694</v>
      </c>
      <c r="C30" s="336"/>
      <c r="D30" s="336"/>
      <c r="E30" s="336"/>
      <c r="F30" s="336"/>
      <c r="G30" s="336"/>
      <c r="H30" s="336"/>
      <c r="I30" s="336"/>
      <c r="J30" s="336"/>
      <c r="K30" s="336"/>
      <c r="L30" s="354"/>
      <c r="M30" s="323"/>
      <c r="N30" s="352"/>
    </row>
    <row r="31" spans="1:14" s="311" customFormat="1" ht="16.5" customHeight="1">
      <c r="A31" s="322"/>
      <c r="B31" s="353" t="s">
        <v>695</v>
      </c>
      <c r="C31" s="336"/>
      <c r="D31" s="336"/>
      <c r="E31" s="336"/>
      <c r="F31" s="336"/>
      <c r="G31" s="336"/>
      <c r="H31" s="336"/>
      <c r="I31" s="336"/>
      <c r="J31" s="336"/>
      <c r="K31" s="336"/>
      <c r="L31" s="354"/>
      <c r="M31" s="323"/>
      <c r="N31" s="352"/>
    </row>
    <row r="32" spans="1:14" s="311" customFormat="1" ht="16.5" customHeight="1">
      <c r="A32" s="322"/>
      <c r="B32" s="353" t="s">
        <v>696</v>
      </c>
      <c r="C32" s="336"/>
      <c r="D32" s="336"/>
      <c r="E32" s="336"/>
      <c r="F32" s="336"/>
      <c r="G32" s="336"/>
      <c r="H32" s="336"/>
      <c r="I32" s="336"/>
      <c r="J32" s="336"/>
      <c r="K32" s="336"/>
      <c r="L32" s="354"/>
      <c r="M32" s="323"/>
      <c r="N32" s="352"/>
    </row>
    <row r="33" spans="1:15" s="311" customFormat="1" ht="16.5" customHeight="1">
      <c r="A33" s="322"/>
      <c r="B33" s="353" t="s">
        <v>697</v>
      </c>
      <c r="C33" s="336"/>
      <c r="D33" s="336"/>
      <c r="E33" s="336"/>
      <c r="F33" s="336"/>
      <c r="G33" s="336"/>
      <c r="H33" s="336"/>
      <c r="I33" s="336"/>
      <c r="J33" s="336"/>
      <c r="K33" s="336"/>
      <c r="L33" s="354"/>
      <c r="M33" s="323"/>
      <c r="N33" s="352"/>
    </row>
    <row r="34" spans="1:15" s="311" customFormat="1" ht="7.5" customHeight="1" thickBot="1">
      <c r="A34" s="322"/>
      <c r="B34" s="355"/>
      <c r="C34" s="356"/>
      <c r="D34" s="357"/>
      <c r="E34" s="357"/>
      <c r="F34" s="357"/>
      <c r="G34" s="357"/>
      <c r="H34" s="357"/>
      <c r="I34" s="357"/>
      <c r="J34" s="357"/>
      <c r="K34" s="357"/>
      <c r="L34" s="358"/>
      <c r="M34" s="359"/>
      <c r="N34" s="352"/>
    </row>
    <row r="35" spans="1:15" s="311" customFormat="1" ht="12.75" customHeight="1">
      <c r="A35" s="322"/>
      <c r="C35" s="360"/>
      <c r="M35" s="359"/>
      <c r="N35" s="352"/>
    </row>
    <row r="36" spans="1:15" s="311" customFormat="1" ht="16.5" customHeight="1">
      <c r="A36" s="322"/>
      <c r="B36" s="470" t="s">
        <v>698</v>
      </c>
      <c r="C36" s="470"/>
      <c r="D36" s="470"/>
      <c r="E36" s="470"/>
      <c r="F36" s="481"/>
      <c r="G36" s="481"/>
      <c r="H36" s="481"/>
      <c r="I36" s="481"/>
      <c r="J36" s="481"/>
      <c r="K36" s="481"/>
      <c r="L36" s="481"/>
      <c r="M36" s="359"/>
      <c r="N36" s="352"/>
    </row>
    <row r="37" spans="1:15" s="311" customFormat="1" ht="16.5" customHeight="1">
      <c r="A37" s="322"/>
      <c r="B37" s="468" t="s">
        <v>699</v>
      </c>
      <c r="C37" s="468"/>
      <c r="D37" s="468"/>
      <c r="E37" s="468"/>
      <c r="F37" s="361" t="s">
        <v>700</v>
      </c>
      <c r="G37" s="361"/>
      <c r="H37" s="362" t="s">
        <v>686</v>
      </c>
      <c r="I37" s="363">
        <v>950</v>
      </c>
      <c r="J37" s="328"/>
      <c r="K37" s="364">
        <f>'[5]TRANSPORT &amp; LOGISTICS'!$D$13</f>
        <v>9</v>
      </c>
      <c r="L37" s="365">
        <f>I37*K37</f>
        <v>8550</v>
      </c>
      <c r="M37" s="366"/>
      <c r="N37" s="367"/>
      <c r="O37" s="368"/>
    </row>
    <row r="38" spans="1:15" s="311" customFormat="1" ht="16.5" customHeight="1">
      <c r="A38" s="322"/>
      <c r="B38" s="328"/>
      <c r="C38" s="328"/>
      <c r="D38" s="328"/>
      <c r="E38" s="328"/>
      <c r="F38" s="369" t="s">
        <v>701</v>
      </c>
      <c r="G38" s="361"/>
      <c r="H38" s="369" t="s">
        <v>686</v>
      </c>
      <c r="I38" s="482"/>
      <c r="J38" s="482"/>
      <c r="K38" s="371" t="s">
        <v>701</v>
      </c>
      <c r="L38" s="372">
        <f>SUM(L37:L37)</f>
        <v>8550</v>
      </c>
      <c r="M38" s="366"/>
      <c r="N38" s="367"/>
      <c r="O38" s="368"/>
    </row>
    <row r="39" spans="1:15" s="311" customFormat="1" ht="24.75" customHeight="1">
      <c r="A39" s="322"/>
      <c r="B39" s="328"/>
      <c r="C39" s="328"/>
      <c r="D39" s="328"/>
      <c r="E39" s="328"/>
      <c r="F39" s="369"/>
      <c r="G39" s="361"/>
      <c r="H39" s="369"/>
      <c r="I39" s="370"/>
      <c r="J39" s="370"/>
      <c r="K39" s="371"/>
      <c r="L39" s="372"/>
      <c r="M39" s="366"/>
      <c r="N39" s="367"/>
      <c r="O39" s="368"/>
    </row>
    <row r="40" spans="1:15" s="311" customFormat="1" ht="16.5" customHeight="1">
      <c r="A40" s="322"/>
      <c r="B40" s="470" t="s">
        <v>702</v>
      </c>
      <c r="C40" s="470"/>
      <c r="D40" s="470"/>
      <c r="E40" s="470"/>
      <c r="F40" s="470"/>
      <c r="G40" s="470"/>
      <c r="H40" s="470"/>
      <c r="I40" s="470"/>
      <c r="J40" s="324"/>
      <c r="K40" s="373"/>
      <c r="L40" s="373" t="s">
        <v>703</v>
      </c>
      <c r="M40" s="366"/>
      <c r="N40" s="367"/>
      <c r="O40" s="368"/>
    </row>
    <row r="41" spans="1:15" s="311" customFormat="1" ht="16.5" customHeight="1">
      <c r="A41" s="322"/>
      <c r="B41" s="468" t="s">
        <v>704</v>
      </c>
      <c r="C41" s="468"/>
      <c r="D41" s="468"/>
      <c r="E41" s="468"/>
      <c r="F41" s="328" t="s">
        <v>705</v>
      </c>
      <c r="G41" s="361"/>
      <c r="H41" s="328" t="str">
        <f>C22</f>
        <v>USD</v>
      </c>
      <c r="I41" s="365">
        <v>1400</v>
      </c>
      <c r="J41" s="365"/>
      <c r="K41" s="364">
        <f>'[5]TRANSPORT &amp; LOGISTICS'!$D$13</f>
        <v>9</v>
      </c>
      <c r="L41" s="365">
        <f>I41*K41</f>
        <v>12600</v>
      </c>
      <c r="M41" s="366"/>
      <c r="N41" s="367"/>
      <c r="O41" s="368"/>
    </row>
    <row r="42" spans="1:15" s="311" customFormat="1" ht="16.5" customHeight="1">
      <c r="A42" s="322"/>
      <c r="B42" s="328" t="s">
        <v>706</v>
      </c>
      <c r="C42" s="328" t="s">
        <v>707</v>
      </c>
      <c r="D42" s="328"/>
      <c r="E42" s="328"/>
      <c r="F42" s="328" t="s">
        <v>705</v>
      </c>
      <c r="G42" s="361"/>
      <c r="H42" s="328" t="s">
        <v>686</v>
      </c>
      <c r="I42" s="365" t="s">
        <v>708</v>
      </c>
      <c r="J42" s="365"/>
      <c r="K42" s="364">
        <f>'[5]TRANSPORT &amp; LOGISTICS'!$D$13</f>
        <v>9</v>
      </c>
      <c r="L42" s="365">
        <v>0</v>
      </c>
      <c r="M42" s="366"/>
      <c r="N42" s="367"/>
      <c r="O42" s="368"/>
    </row>
    <row r="43" spans="1:15" s="311" customFormat="1" ht="16.5" customHeight="1">
      <c r="A43" s="322"/>
      <c r="B43" s="345"/>
      <c r="C43" s="345"/>
      <c r="D43" s="345"/>
      <c r="E43" s="345"/>
      <c r="F43" s="369" t="s">
        <v>701</v>
      </c>
      <c r="G43" s="361"/>
      <c r="H43" s="369" t="s">
        <v>686</v>
      </c>
      <c r="I43" s="370"/>
      <c r="J43" s="370"/>
      <c r="K43" s="371" t="s">
        <v>701</v>
      </c>
      <c r="L43" s="372">
        <f>SUM(L41:L42)</f>
        <v>12600</v>
      </c>
      <c r="M43" s="366"/>
      <c r="N43" s="367"/>
      <c r="O43" s="368"/>
    </row>
    <row r="44" spans="1:15" s="311" customFormat="1" ht="24.75" customHeight="1">
      <c r="A44" s="322"/>
      <c r="C44" s="360"/>
      <c r="K44" s="360"/>
      <c r="M44" s="359"/>
      <c r="N44" s="352"/>
    </row>
    <row r="45" spans="1:15" s="311" customFormat="1" ht="16.5" customHeight="1">
      <c r="A45" s="322"/>
      <c r="B45" s="470" t="s">
        <v>709</v>
      </c>
      <c r="C45" s="470"/>
      <c r="D45" s="470"/>
      <c r="E45" s="470"/>
      <c r="F45" s="324"/>
      <c r="G45" s="470"/>
      <c r="H45" s="470"/>
      <c r="I45" s="471"/>
      <c r="J45" s="471"/>
      <c r="K45" s="373"/>
      <c r="L45" s="373" t="s">
        <v>703</v>
      </c>
      <c r="M45" s="374"/>
      <c r="N45" s="352"/>
    </row>
    <row r="46" spans="1:15" s="311" customFormat="1" ht="16.5" customHeight="1">
      <c r="A46" s="322"/>
      <c r="B46" s="468" t="s">
        <v>710</v>
      </c>
      <c r="C46" s="468"/>
      <c r="D46" s="468"/>
      <c r="E46" s="468"/>
      <c r="F46" s="328" t="s">
        <v>705</v>
      </c>
      <c r="G46" s="345"/>
      <c r="H46" s="375" t="s">
        <v>341</v>
      </c>
      <c r="I46" s="363">
        <v>850</v>
      </c>
      <c r="J46" s="363"/>
      <c r="K46" s="364">
        <f>'[5]TRANSPORT &amp; LOGISTICS'!$D$13</f>
        <v>9</v>
      </c>
      <c r="L46" s="365">
        <f t="shared" ref="L46:L51" si="0">I46*K46</f>
        <v>7650</v>
      </c>
      <c r="M46" s="374"/>
      <c r="N46" s="352"/>
    </row>
    <row r="47" spans="1:15" s="311" customFormat="1" ht="16.5" customHeight="1">
      <c r="A47" s="322"/>
      <c r="B47" s="328" t="s">
        <v>711</v>
      </c>
      <c r="C47" s="328"/>
      <c r="D47" s="328"/>
      <c r="E47" s="328"/>
      <c r="F47" s="328" t="s">
        <v>712</v>
      </c>
      <c r="G47" s="345"/>
      <c r="H47" s="375" t="s">
        <v>341</v>
      </c>
      <c r="I47" s="363">
        <f>110</f>
        <v>110</v>
      </c>
      <c r="J47" s="363"/>
      <c r="K47" s="376">
        <v>1</v>
      </c>
      <c r="L47" s="365">
        <f t="shared" si="0"/>
        <v>110</v>
      </c>
      <c r="M47" s="374"/>
      <c r="N47" s="352"/>
    </row>
    <row r="48" spans="1:15" s="311" customFormat="1" ht="16.5" customHeight="1">
      <c r="A48" s="322"/>
      <c r="B48" s="468" t="s">
        <v>713</v>
      </c>
      <c r="C48" s="468"/>
      <c r="D48" s="468"/>
      <c r="E48" s="468"/>
      <c r="F48" s="328" t="s">
        <v>712</v>
      </c>
      <c r="G48" s="345"/>
      <c r="H48" s="375" t="s">
        <v>341</v>
      </c>
      <c r="I48" s="363">
        <f>65</f>
        <v>65</v>
      </c>
      <c r="J48" s="363"/>
      <c r="K48" s="376">
        <f>$K$47</f>
        <v>1</v>
      </c>
      <c r="L48" s="365">
        <f t="shared" si="0"/>
        <v>65</v>
      </c>
      <c r="M48" s="374"/>
      <c r="N48" s="352"/>
      <c r="O48" s="352"/>
    </row>
    <row r="49" spans="1:22" s="311" customFormat="1" ht="16.5" customHeight="1">
      <c r="A49" s="322"/>
      <c r="B49" s="345" t="s">
        <v>714</v>
      </c>
      <c r="C49" s="345"/>
      <c r="D49" s="345"/>
      <c r="E49" s="345"/>
      <c r="F49" s="345" t="s">
        <v>712</v>
      </c>
      <c r="G49" s="345"/>
      <c r="H49" s="375" t="s">
        <v>341</v>
      </c>
      <c r="I49" s="363">
        <f>25</f>
        <v>25</v>
      </c>
      <c r="J49" s="363"/>
      <c r="K49" s="376">
        <f>$K$47</f>
        <v>1</v>
      </c>
      <c r="L49" s="365">
        <f t="shared" si="0"/>
        <v>25</v>
      </c>
      <c r="M49" s="374"/>
      <c r="N49" s="352"/>
      <c r="O49" s="352"/>
    </row>
    <row r="50" spans="1:22" s="311" customFormat="1" ht="16.5" customHeight="1">
      <c r="A50" s="322"/>
      <c r="B50" s="345" t="s">
        <v>715</v>
      </c>
      <c r="C50" s="345"/>
      <c r="D50" s="345"/>
      <c r="E50" s="345"/>
      <c r="F50" s="345" t="s">
        <v>712</v>
      </c>
      <c r="G50" s="345"/>
      <c r="H50" s="375" t="s">
        <v>341</v>
      </c>
      <c r="I50" s="363">
        <f>100</f>
        <v>100</v>
      </c>
      <c r="J50" s="363"/>
      <c r="K50" s="376">
        <f>$K$47</f>
        <v>1</v>
      </c>
      <c r="L50" s="365">
        <f t="shared" si="0"/>
        <v>100</v>
      </c>
      <c r="M50" s="374"/>
      <c r="N50" s="352"/>
      <c r="O50" s="352"/>
    </row>
    <row r="51" spans="1:22" s="311" customFormat="1" ht="16.5" customHeight="1">
      <c r="A51" s="322"/>
      <c r="B51" s="345" t="s">
        <v>716</v>
      </c>
      <c r="C51" s="345"/>
      <c r="D51" s="345"/>
      <c r="E51" s="345"/>
      <c r="F51" s="328" t="s">
        <v>705</v>
      </c>
      <c r="G51" s="345"/>
      <c r="H51" s="375" t="s">
        <v>341</v>
      </c>
      <c r="I51" s="363">
        <v>430</v>
      </c>
      <c r="J51" s="363"/>
      <c r="K51" s="364">
        <f>'[5]TRANSPORT &amp; LOGISTICS'!$D$13</f>
        <v>9</v>
      </c>
      <c r="L51" s="365">
        <f t="shared" si="0"/>
        <v>3870</v>
      </c>
      <c r="M51" s="374"/>
      <c r="N51" s="352"/>
      <c r="O51" s="352"/>
    </row>
    <row r="52" spans="1:22" s="311" customFormat="1" ht="16.5" customHeight="1">
      <c r="A52" s="322"/>
      <c r="B52" s="345" t="s">
        <v>717</v>
      </c>
      <c r="C52" s="345"/>
      <c r="D52" s="345"/>
      <c r="E52" s="345"/>
      <c r="F52" s="328" t="s">
        <v>718</v>
      </c>
      <c r="G52" s="345"/>
      <c r="H52" s="375" t="s">
        <v>341</v>
      </c>
      <c r="I52" s="363">
        <v>695</v>
      </c>
      <c r="J52" s="363"/>
      <c r="K52" s="364">
        <f>'[5]TRANSPORT &amp; LOGISTICS'!$D$13</f>
        <v>9</v>
      </c>
      <c r="L52" s="365">
        <f>I52*K53</f>
        <v>6255</v>
      </c>
      <c r="M52" s="374"/>
      <c r="N52" s="352"/>
      <c r="O52" s="352"/>
      <c r="P52" s="377">
        <f>'[5]TENDER SUMMARY'!$G$8/7</f>
        <v>30.285714285714285</v>
      </c>
      <c r="V52" s="311" t="s">
        <v>719</v>
      </c>
    </row>
    <row r="53" spans="1:22" s="311" customFormat="1" ht="16.5" customHeight="1">
      <c r="A53" s="322"/>
      <c r="B53" s="345" t="s">
        <v>720</v>
      </c>
      <c r="C53" s="345"/>
      <c r="D53" s="345"/>
      <c r="E53" s="345"/>
      <c r="F53" s="328" t="s">
        <v>721</v>
      </c>
      <c r="G53" s="345"/>
      <c r="H53" s="375" t="s">
        <v>341</v>
      </c>
      <c r="I53" s="363">
        <v>170</v>
      </c>
      <c r="J53" s="363"/>
      <c r="K53" s="364">
        <f>'[5]TRANSPORT &amp; LOGISTICS'!$D$13</f>
        <v>9</v>
      </c>
      <c r="L53" s="365">
        <f t="shared" ref="L53:L58" si="1">I53*K53</f>
        <v>1530</v>
      </c>
      <c r="M53" s="374"/>
      <c r="N53" s="352"/>
      <c r="O53" s="352"/>
      <c r="P53" s="311">
        <f>6</f>
        <v>6</v>
      </c>
      <c r="V53" s="311" t="s">
        <v>722</v>
      </c>
    </row>
    <row r="54" spans="1:22" s="311" customFormat="1" ht="16.5" customHeight="1">
      <c r="A54" s="322"/>
      <c r="B54" s="345" t="s">
        <v>723</v>
      </c>
      <c r="C54" s="345"/>
      <c r="D54" s="345"/>
      <c r="E54" s="345"/>
      <c r="F54" s="328" t="s">
        <v>718</v>
      </c>
      <c r="G54" s="345"/>
      <c r="H54" s="375" t="s">
        <v>724</v>
      </c>
      <c r="I54" s="363">
        <v>795</v>
      </c>
      <c r="J54" s="363"/>
      <c r="K54" s="364">
        <f>'[5]TRANSPORT &amp; LOGISTICS'!$D$13</f>
        <v>9</v>
      </c>
      <c r="L54" s="365">
        <f t="shared" si="1"/>
        <v>7155</v>
      </c>
      <c r="M54" s="374"/>
      <c r="N54" s="352"/>
      <c r="O54" s="352"/>
      <c r="P54" s="311">
        <f>P53*P52</f>
        <v>181.71428571428572</v>
      </c>
    </row>
    <row r="55" spans="1:22" s="311" customFormat="1" ht="16.5" customHeight="1">
      <c r="A55" s="322"/>
      <c r="B55" s="345" t="s">
        <v>725</v>
      </c>
      <c r="C55" s="345"/>
      <c r="D55" s="345"/>
      <c r="E55" s="345"/>
      <c r="F55" s="328" t="s">
        <v>726</v>
      </c>
      <c r="G55" s="345"/>
      <c r="H55" s="375" t="s">
        <v>341</v>
      </c>
      <c r="I55" s="363">
        <v>60</v>
      </c>
      <c r="J55" s="363"/>
      <c r="K55" s="364">
        <v>0</v>
      </c>
      <c r="L55" s="365">
        <f t="shared" si="1"/>
        <v>0</v>
      </c>
      <c r="M55" s="374"/>
      <c r="N55" s="352"/>
      <c r="O55" s="352"/>
    </row>
    <row r="56" spans="1:22" s="311" customFormat="1" ht="16.5" customHeight="1">
      <c r="A56" s="322"/>
      <c r="B56" s="345" t="s">
        <v>727</v>
      </c>
      <c r="C56" s="345"/>
      <c r="D56" s="345"/>
      <c r="E56" s="345"/>
      <c r="F56" s="328" t="s">
        <v>728</v>
      </c>
      <c r="G56" s="345"/>
      <c r="H56" s="375" t="s">
        <v>341</v>
      </c>
      <c r="I56" s="363">
        <v>25</v>
      </c>
      <c r="J56" s="363"/>
      <c r="K56" s="378">
        <f>P54</f>
        <v>181.71428571428572</v>
      </c>
      <c r="L56" s="365">
        <f t="shared" si="1"/>
        <v>4542.8571428571431</v>
      </c>
      <c r="M56" s="374"/>
      <c r="N56" s="352"/>
      <c r="O56" s="352"/>
    </row>
    <row r="57" spans="1:22" s="311" customFormat="1" ht="16.5" customHeight="1">
      <c r="A57" s="322"/>
      <c r="B57" s="345" t="s">
        <v>729</v>
      </c>
      <c r="C57" s="345"/>
      <c r="D57" s="345"/>
      <c r="E57" s="345"/>
      <c r="F57" s="328" t="s">
        <v>730</v>
      </c>
      <c r="G57" s="345"/>
      <c r="H57" s="375" t="s">
        <v>341</v>
      </c>
      <c r="I57" s="363">
        <v>40</v>
      </c>
      <c r="J57" s="363"/>
      <c r="K57" s="378">
        <f>P52</f>
        <v>30.285714285714285</v>
      </c>
      <c r="L57" s="365">
        <f t="shared" si="1"/>
        <v>1211.4285714285713</v>
      </c>
      <c r="M57" s="374"/>
      <c r="N57" s="352"/>
      <c r="O57" s="352"/>
    </row>
    <row r="58" spans="1:22" s="311" customFormat="1" ht="16.5" customHeight="1">
      <c r="A58" s="322"/>
      <c r="B58" s="345" t="s">
        <v>731</v>
      </c>
      <c r="C58" s="345"/>
      <c r="D58" s="345"/>
      <c r="E58" s="345"/>
      <c r="F58" s="328" t="s">
        <v>732</v>
      </c>
      <c r="G58" s="345"/>
      <c r="H58" s="375" t="s">
        <v>341</v>
      </c>
      <c r="I58" s="379">
        <v>500</v>
      </c>
      <c r="J58" s="363"/>
      <c r="K58" s="364">
        <f>'[5]TRANSPORT &amp; LOGISTICS'!$D$13</f>
        <v>9</v>
      </c>
      <c r="L58" s="365">
        <f t="shared" si="1"/>
        <v>4500</v>
      </c>
      <c r="M58" s="374"/>
      <c r="N58" s="352"/>
      <c r="O58" s="352"/>
    </row>
    <row r="59" spans="1:22" s="311" customFormat="1" ht="16.5" customHeight="1">
      <c r="A59" s="322"/>
      <c r="B59" s="468" t="s">
        <v>733</v>
      </c>
      <c r="C59" s="468"/>
      <c r="D59" s="468"/>
      <c r="E59" s="468"/>
      <c r="F59" s="380">
        <v>0.25</v>
      </c>
      <c r="G59" s="361"/>
      <c r="H59" s="328" t="s">
        <v>341</v>
      </c>
      <c r="I59" s="363"/>
      <c r="J59" s="363"/>
      <c r="K59" s="363"/>
      <c r="L59" s="365">
        <f>SUM(L52+L53+L58)*F59</f>
        <v>3071.25</v>
      </c>
      <c r="M59" s="374"/>
      <c r="N59" s="352"/>
      <c r="O59" s="352"/>
    </row>
    <row r="60" spans="1:22" s="311" customFormat="1" ht="16.5" customHeight="1">
      <c r="A60" s="322"/>
      <c r="B60" s="328"/>
      <c r="C60" s="328"/>
      <c r="D60" s="328"/>
      <c r="E60" s="328"/>
      <c r="F60" s="380"/>
      <c r="G60" s="361"/>
      <c r="H60" s="328"/>
      <c r="I60" s="363"/>
      <c r="J60" s="363"/>
      <c r="K60" s="369" t="s">
        <v>701</v>
      </c>
      <c r="L60" s="372">
        <f>SUM(L46:L59)</f>
        <v>40085.535714285717</v>
      </c>
      <c r="M60" s="374"/>
      <c r="N60" s="352"/>
    </row>
    <row r="61" spans="1:22" s="311" customFormat="1" ht="16.5" customHeight="1">
      <c r="A61" s="322"/>
      <c r="D61" s="381"/>
      <c r="J61" s="382"/>
      <c r="K61" s="382"/>
      <c r="L61" s="382"/>
      <c r="M61" s="383"/>
      <c r="N61" s="352"/>
    </row>
    <row r="62" spans="1:22" s="311" customFormat="1" ht="16.5" customHeight="1">
      <c r="A62" s="322"/>
      <c r="B62" s="384" t="s">
        <v>734</v>
      </c>
      <c r="C62" s="385"/>
      <c r="D62" s="386"/>
      <c r="E62" s="385"/>
      <c r="F62" s="385"/>
      <c r="G62" s="385"/>
      <c r="H62" s="324" t="s">
        <v>686</v>
      </c>
      <c r="I62" s="469"/>
      <c r="J62" s="469"/>
      <c r="K62" s="387"/>
      <c r="L62" s="387">
        <f>L43+L38</f>
        <v>21150</v>
      </c>
      <c r="M62" s="383"/>
      <c r="N62" s="352"/>
    </row>
    <row r="63" spans="1:22" s="311" customFormat="1" ht="18.75" customHeight="1">
      <c r="A63" s="322"/>
      <c r="B63" s="384" t="s">
        <v>734</v>
      </c>
      <c r="C63" s="385"/>
      <c r="D63" s="386"/>
      <c r="E63" s="385"/>
      <c r="F63" s="385"/>
      <c r="G63" s="385"/>
      <c r="H63" s="324" t="s">
        <v>341</v>
      </c>
      <c r="I63" s="469"/>
      <c r="J63" s="469"/>
      <c r="K63" s="387"/>
      <c r="L63" s="387">
        <f>L60</f>
        <v>40085.535714285717</v>
      </c>
      <c r="M63" s="323"/>
      <c r="P63" s="377">
        <f>(SUM(L46:L55)+(L43+L38)*EXR)/$K$37</f>
        <v>6498.333333333333</v>
      </c>
    </row>
    <row r="64" spans="1:22" s="389" customFormat="1" ht="11.25" customHeight="1">
      <c r="A64" s="388"/>
      <c r="D64" s="390"/>
      <c r="M64" s="391"/>
    </row>
    <row r="65" spans="1:15" s="389" customFormat="1" ht="15" customHeight="1">
      <c r="A65" s="388"/>
      <c r="B65" s="392" t="s">
        <v>735</v>
      </c>
      <c r="D65" s="390"/>
      <c r="M65" s="393"/>
    </row>
    <row r="66" spans="1:15" s="389" customFormat="1" ht="15" customHeight="1">
      <c r="A66" s="394"/>
      <c r="B66" s="395" t="s">
        <v>736</v>
      </c>
      <c r="C66" s="390"/>
      <c r="D66" s="390"/>
      <c r="E66" s="390"/>
      <c r="F66" s="390"/>
      <c r="G66" s="390"/>
      <c r="H66" s="390"/>
      <c r="I66" s="390"/>
      <c r="J66" s="390"/>
      <c r="K66" s="390"/>
      <c r="L66" s="390"/>
      <c r="M66" s="396"/>
      <c r="N66" s="390"/>
      <c r="O66" s="390"/>
    </row>
    <row r="67" spans="1:15" s="389" customFormat="1" ht="15" customHeight="1">
      <c r="A67" s="394"/>
      <c r="B67" s="464" t="s">
        <v>737</v>
      </c>
      <c r="C67" s="464"/>
      <c r="D67" s="464"/>
      <c r="E67" s="464"/>
      <c r="F67" s="464"/>
      <c r="G67" s="464"/>
      <c r="H67" s="464"/>
      <c r="I67" s="390"/>
      <c r="J67" s="390"/>
      <c r="K67" s="390"/>
      <c r="L67" s="390"/>
      <c r="M67" s="396"/>
      <c r="N67" s="390"/>
      <c r="O67" s="390"/>
    </row>
    <row r="68" spans="1:15" s="389" customFormat="1" ht="15" customHeight="1">
      <c r="A68" s="397"/>
      <c r="B68" s="390" t="s">
        <v>738</v>
      </c>
      <c r="C68" s="390"/>
      <c r="D68" s="390"/>
      <c r="E68" s="390"/>
      <c r="F68" s="390"/>
      <c r="G68" s="390"/>
      <c r="H68" s="390"/>
      <c r="I68" s="390"/>
      <c r="J68" s="390"/>
      <c r="K68" s="390"/>
      <c r="L68" s="390"/>
      <c r="M68" s="396"/>
      <c r="N68" s="390"/>
      <c r="O68" s="390"/>
    </row>
    <row r="69" spans="1:15" s="389" customFormat="1" ht="15" customHeight="1">
      <c r="A69" s="394"/>
      <c r="B69" s="390" t="s">
        <v>739</v>
      </c>
      <c r="C69" s="390"/>
      <c r="D69" s="390"/>
      <c r="E69" s="390"/>
      <c r="F69" s="390"/>
      <c r="G69" s="390"/>
      <c r="H69" s="390"/>
      <c r="I69" s="390"/>
      <c r="J69" s="390"/>
      <c r="K69" s="390"/>
      <c r="L69" s="390"/>
      <c r="M69" s="396"/>
      <c r="N69" s="390"/>
      <c r="O69" s="390"/>
    </row>
    <row r="70" spans="1:15" s="389" customFormat="1" ht="15" customHeight="1">
      <c r="A70" s="394"/>
      <c r="B70" s="390" t="s">
        <v>740</v>
      </c>
      <c r="C70" s="390"/>
      <c r="D70" s="390"/>
      <c r="E70" s="390"/>
      <c r="F70" s="390"/>
      <c r="G70" s="390"/>
      <c r="H70" s="390"/>
      <c r="I70" s="390"/>
      <c r="J70" s="390"/>
      <c r="K70" s="390"/>
      <c r="L70" s="390"/>
      <c r="M70" s="396"/>
      <c r="N70" s="390"/>
      <c r="O70" s="390"/>
    </row>
    <row r="71" spans="1:15" s="389" customFormat="1" ht="15" customHeight="1">
      <c r="A71" s="394"/>
      <c r="B71" s="389" t="s">
        <v>741</v>
      </c>
      <c r="C71" s="390"/>
      <c r="D71" s="390"/>
      <c r="E71" s="390"/>
      <c r="F71" s="390"/>
      <c r="G71" s="390"/>
      <c r="H71" s="390"/>
      <c r="I71" s="390"/>
      <c r="J71" s="390"/>
      <c r="K71" s="390"/>
      <c r="L71" s="390"/>
      <c r="M71" s="396"/>
      <c r="N71" s="390"/>
      <c r="O71" s="390"/>
    </row>
    <row r="72" spans="1:15" s="389" customFormat="1" ht="15" customHeight="1">
      <c r="A72" s="394"/>
      <c r="B72" s="390" t="s">
        <v>742</v>
      </c>
      <c r="C72" s="390"/>
      <c r="D72" s="390"/>
      <c r="E72" s="390"/>
      <c r="F72" s="390"/>
      <c r="G72" s="390"/>
      <c r="H72" s="390"/>
      <c r="I72" s="390"/>
      <c r="J72" s="390"/>
      <c r="K72" s="390"/>
      <c r="L72" s="390"/>
      <c r="M72" s="396"/>
      <c r="N72" s="390"/>
      <c r="O72" s="390"/>
    </row>
    <row r="73" spans="1:15" s="389" customFormat="1" ht="15" customHeight="1">
      <c r="A73" s="388"/>
      <c r="B73" s="390" t="s">
        <v>743</v>
      </c>
      <c r="C73" s="390"/>
      <c r="D73" s="390"/>
      <c r="E73" s="390"/>
      <c r="F73" s="390"/>
      <c r="G73" s="390"/>
      <c r="H73" s="390"/>
      <c r="I73" s="390"/>
      <c r="J73" s="390"/>
      <c r="K73" s="390"/>
      <c r="L73" s="390"/>
      <c r="M73" s="396"/>
      <c r="N73" s="390"/>
      <c r="O73" s="390"/>
    </row>
    <row r="74" spans="1:15" s="399" customFormat="1" ht="15" customHeight="1">
      <c r="A74" s="398"/>
      <c r="B74" s="390" t="s">
        <v>744</v>
      </c>
      <c r="C74" s="390"/>
      <c r="D74" s="390"/>
      <c r="E74" s="390"/>
      <c r="F74" s="390"/>
      <c r="G74" s="390"/>
      <c r="H74" s="390"/>
      <c r="I74" s="390"/>
      <c r="J74" s="390"/>
      <c r="K74" s="390"/>
      <c r="L74" s="390"/>
      <c r="M74" s="396"/>
      <c r="N74" s="390"/>
      <c r="O74" s="390"/>
    </row>
    <row r="75" spans="1:15" s="399" customFormat="1" ht="15" customHeight="1">
      <c r="A75" s="398"/>
      <c r="B75" s="390" t="s">
        <v>745</v>
      </c>
      <c r="C75" s="390"/>
      <c r="D75" s="390"/>
      <c r="E75" s="390"/>
      <c r="F75" s="390"/>
      <c r="G75" s="390"/>
      <c r="H75" s="390"/>
      <c r="I75" s="390"/>
      <c r="J75" s="390"/>
      <c r="K75" s="390"/>
      <c r="L75" s="390"/>
      <c r="M75" s="396"/>
      <c r="N75" s="390"/>
      <c r="O75" s="390"/>
    </row>
    <row r="76" spans="1:15" s="399" customFormat="1" ht="15" customHeight="1">
      <c r="A76" s="398"/>
      <c r="B76" s="390" t="s">
        <v>746</v>
      </c>
      <c r="C76" s="390"/>
      <c r="D76" s="390"/>
      <c r="E76" s="390"/>
      <c r="F76" s="390"/>
      <c r="G76" s="390"/>
      <c r="H76" s="390"/>
      <c r="I76" s="390"/>
      <c r="J76" s="390"/>
      <c r="K76" s="390"/>
      <c r="L76" s="390"/>
      <c r="M76" s="396"/>
      <c r="N76" s="390"/>
      <c r="O76" s="390"/>
    </row>
    <row r="77" spans="1:15" s="399" customFormat="1" ht="15" customHeight="1">
      <c r="A77" s="398"/>
      <c r="B77" s="464" t="s">
        <v>747</v>
      </c>
      <c r="C77" s="464"/>
      <c r="D77" s="464"/>
      <c r="E77" s="464"/>
      <c r="F77" s="464"/>
      <c r="G77" s="464"/>
      <c r="H77" s="464"/>
      <c r="I77" s="464"/>
      <c r="J77" s="464"/>
      <c r="K77" s="464"/>
      <c r="L77" s="464"/>
      <c r="M77" s="465"/>
      <c r="N77" s="390"/>
      <c r="O77" s="390"/>
    </row>
    <row r="78" spans="1:15" s="399" customFormat="1" ht="15" customHeight="1">
      <c r="A78" s="398"/>
      <c r="B78" s="464" t="s">
        <v>748</v>
      </c>
      <c r="C78" s="464"/>
      <c r="D78" s="464"/>
      <c r="E78" s="464"/>
      <c r="F78" s="464"/>
      <c r="G78" s="464"/>
      <c r="H78" s="464"/>
      <c r="I78" s="464"/>
      <c r="J78" s="464"/>
      <c r="K78" s="464"/>
      <c r="L78" s="464"/>
      <c r="M78" s="465"/>
      <c r="N78" s="390"/>
      <c r="O78" s="390"/>
    </row>
    <row r="79" spans="1:15" s="399" customFormat="1" ht="15" customHeight="1">
      <c r="A79" s="398"/>
      <c r="B79" s="464" t="s">
        <v>749</v>
      </c>
      <c r="C79" s="464"/>
      <c r="D79" s="464"/>
      <c r="E79" s="464"/>
      <c r="F79" s="464"/>
      <c r="G79" s="464"/>
      <c r="H79" s="464"/>
      <c r="I79" s="464"/>
      <c r="J79" s="464"/>
      <c r="K79" s="464"/>
      <c r="L79" s="464"/>
      <c r="M79" s="465"/>
      <c r="N79" s="390"/>
      <c r="O79" s="390"/>
    </row>
    <row r="80" spans="1:15" s="399" customFormat="1" ht="15" customHeight="1">
      <c r="A80" s="398"/>
      <c r="B80" s="390" t="s">
        <v>750</v>
      </c>
      <c r="C80" s="390"/>
      <c r="D80" s="390"/>
      <c r="E80" s="390"/>
      <c r="F80" s="390"/>
      <c r="G80" s="390"/>
      <c r="H80" s="390"/>
      <c r="I80" s="390"/>
      <c r="J80" s="390"/>
      <c r="K80" s="390"/>
      <c r="L80" s="390"/>
      <c r="M80" s="396"/>
      <c r="N80" s="390"/>
      <c r="O80" s="390"/>
    </row>
    <row r="81" spans="1:15" s="399" customFormat="1" ht="15" customHeight="1">
      <c r="A81" s="397"/>
      <c r="B81" s="390"/>
      <c r="C81" s="390"/>
      <c r="D81" s="390"/>
      <c r="E81" s="390"/>
      <c r="F81" s="390"/>
      <c r="G81" s="390"/>
      <c r="H81" s="390"/>
      <c r="I81" s="390"/>
      <c r="J81" s="390"/>
      <c r="K81" s="390"/>
      <c r="L81" s="390"/>
      <c r="M81" s="396"/>
      <c r="N81" s="390"/>
      <c r="O81" s="390"/>
    </row>
    <row r="82" spans="1:15" ht="15" customHeight="1">
      <c r="A82" s="322"/>
      <c r="B82" s="466" t="s">
        <v>751</v>
      </c>
      <c r="C82" s="467"/>
      <c r="D82" s="401"/>
      <c r="E82" s="401"/>
      <c r="F82" s="400" t="s">
        <v>752</v>
      </c>
      <c r="G82" s="402"/>
      <c r="H82" s="403"/>
      <c r="I82" s="404"/>
      <c r="J82" s="405" t="s">
        <v>753</v>
      </c>
      <c r="K82" s="403"/>
      <c r="L82" s="404"/>
      <c r="M82" s="396"/>
    </row>
    <row r="83" spans="1:15" ht="15" customHeight="1" thickBot="1">
      <c r="A83" s="406"/>
      <c r="B83" s="407"/>
      <c r="C83" s="407"/>
      <c r="D83" s="407"/>
      <c r="E83" s="407"/>
      <c r="F83" s="407"/>
      <c r="G83" s="407"/>
      <c r="H83" s="407"/>
      <c r="I83" s="407"/>
      <c r="J83" s="407"/>
      <c r="K83" s="407"/>
      <c r="L83" s="407"/>
      <c r="M83" s="408"/>
    </row>
  </sheetData>
  <sheetProtection insertRows="0" deleteRows="0" selectLockedCells="1"/>
  <mergeCells count="44">
    <mergeCell ref="B9:L9"/>
    <mergeCell ref="B11:C11"/>
    <mergeCell ref="D11:H11"/>
    <mergeCell ref="K11:L11"/>
    <mergeCell ref="B12:C12"/>
    <mergeCell ref="D12:H12"/>
    <mergeCell ref="K12:L12"/>
    <mergeCell ref="C22:D22"/>
    <mergeCell ref="B13:C13"/>
    <mergeCell ref="D13:H13"/>
    <mergeCell ref="K13:L13"/>
    <mergeCell ref="B15:L15"/>
    <mergeCell ref="B16:D16"/>
    <mergeCell ref="B17:D17"/>
    <mergeCell ref="E17:H17"/>
    <mergeCell ref="B18:D18"/>
    <mergeCell ref="B19:D19"/>
    <mergeCell ref="I19:J19"/>
    <mergeCell ref="B20:D20"/>
    <mergeCell ref="C21:D21"/>
    <mergeCell ref="B45:E45"/>
    <mergeCell ref="G45:H45"/>
    <mergeCell ref="I45:J45"/>
    <mergeCell ref="B24:L24"/>
    <mergeCell ref="B26:L26"/>
    <mergeCell ref="B27:L27"/>
    <mergeCell ref="B28:L28"/>
    <mergeCell ref="B29:L29"/>
    <mergeCell ref="B36:L36"/>
    <mergeCell ref="B37:E37"/>
    <mergeCell ref="I38:J38"/>
    <mergeCell ref="B40:E40"/>
    <mergeCell ref="F40:I40"/>
    <mergeCell ref="B41:E41"/>
    <mergeCell ref="B77:M77"/>
    <mergeCell ref="B78:M78"/>
    <mergeCell ref="B79:M79"/>
    <mergeCell ref="B82:C82"/>
    <mergeCell ref="B46:E46"/>
    <mergeCell ref="B48:E48"/>
    <mergeCell ref="B59:E59"/>
    <mergeCell ref="I62:J62"/>
    <mergeCell ref="I63:J63"/>
    <mergeCell ref="B67:H67"/>
  </mergeCells>
  <hyperlinks>
    <hyperlink ref="B67" r:id="rId1" display="http://aawglobal.com.au/terms-and-conditions/" xr:uid="{742F4A7C-4A98-4A8A-A71F-6C4D4D4C1092}"/>
  </hyperlinks>
  <printOptions horizontalCentered="1" verticalCentered="1"/>
  <pageMargins left="0.25" right="0.25" top="0.75" bottom="0.75" header="0.3" footer="0.3"/>
  <pageSetup paperSize="9" scale="62" orientation="portrait" r:id="rId2"/>
  <colBreaks count="1" manualBreakCount="1">
    <brk id="13" max="1048575" man="1"/>
  </colBreak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33FDC9C50B1D940A3CC676778880241" ma:contentTypeVersion="19" ma:contentTypeDescription="Create a new document." ma:contentTypeScope="" ma:versionID="7010636aa20ac11054a5d4edd5ed32ad">
  <xsd:schema xmlns:xsd="http://www.w3.org/2001/XMLSchema" xmlns:xs="http://www.w3.org/2001/XMLSchema" xmlns:p="http://schemas.microsoft.com/office/2006/metadata/properties" xmlns:ns1="http://schemas.microsoft.com/sharepoint/v3" xmlns:ns2="f1fe5ef5-08b0-42f8-bc99-d5860dbfc29b" xmlns:ns3="0dba90a0-6f95-49f9-89bb-e1cbdbfcdba2" targetNamespace="http://schemas.microsoft.com/office/2006/metadata/properties" ma:root="true" ma:fieldsID="5acf25df8b2ee97d631e79b63608e743" ns1:_="" ns2:_="" ns3:_="">
    <xsd:import namespace="http://schemas.microsoft.com/sharepoint/v3"/>
    <xsd:import namespace="f1fe5ef5-08b0-42f8-bc99-d5860dbfc29b"/>
    <xsd:import namespace="0dba90a0-6f95-49f9-89bb-e1cbdbfcdba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_Flow_SignoffStatus" minOccurs="0"/>
                <xsd:element ref="ns3:lcf76f155ced4ddcb4097134ff3c332f" minOccurs="0"/>
                <xsd:element ref="ns2:TaxCatchAll"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5" nillable="true" ma:displayName="Unified Compliance Policy Properties" ma:hidden="true" ma:internalName="_ip_UnifiedCompliancePolicyProperties">
      <xsd:simpleType>
        <xsd:restriction base="dms:Note"/>
      </xsd:simpleType>
    </xsd:element>
    <xsd:element name="_ip_UnifiedCompliancePolicyUIAction" ma:index="2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1fe5ef5-08b0-42f8-bc99-d5860dbfc29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f1ce0223-2f74-4a1f-b64b-e9e75e8768b5}" ma:internalName="TaxCatchAll" ma:showField="CatchAllData" ma:web="f1fe5ef5-08b0-42f8-bc99-d5860dbfc29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ba90a0-6f95-49f9-89bb-e1cbdbfcdba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_Flow_SignoffStatus" ma:index="21" nillable="true" ma:displayName="Sign-off status" ma:internalName="Sign_x002d_off_x0020_status">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8e1d5431-e992-460b-af3a-c5952f5beda2"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1fe5ef5-08b0-42f8-bc99-d5860dbfc29b" xsi:nil="true"/>
    <lcf76f155ced4ddcb4097134ff3c332f xmlns="0dba90a0-6f95-49f9-89bb-e1cbdbfcdba2">
      <Terms xmlns="http://schemas.microsoft.com/office/infopath/2007/PartnerControls"/>
    </lcf76f155ced4ddcb4097134ff3c332f>
    <_Flow_SignoffStatus xmlns="0dba90a0-6f95-49f9-89bb-e1cbdbfcdba2" xsi:nil="true"/>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9099942-BA7C-4CDC-B05F-4762FE8E54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1fe5ef5-08b0-42f8-bc99-d5860dbfc29b"/>
    <ds:schemaRef ds:uri="0dba90a0-6f95-49f9-89bb-e1cbdbfcdb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37DC357-D170-4552-BF56-E7BBE6579CB6}">
  <ds:schemaRefs>
    <ds:schemaRef ds:uri="http://schemas.microsoft.com/sharepoint/v3/contenttype/forms"/>
  </ds:schemaRefs>
</ds:datastoreItem>
</file>

<file path=customXml/itemProps3.xml><?xml version="1.0" encoding="utf-8"?>
<ds:datastoreItem xmlns:ds="http://schemas.openxmlformats.org/officeDocument/2006/customXml" ds:itemID="{3F05FD47-2C6A-489D-9D72-0CC31B327097}">
  <ds:schemaRefs>
    <ds:schemaRef ds:uri="http://schemas.microsoft.com/office/2006/metadata/properties"/>
    <ds:schemaRef ds:uri="http://schemas.microsoft.com/office/infopath/2007/PartnerControls"/>
    <ds:schemaRef ds:uri="f1fe5ef5-08b0-42f8-bc99-d5860dbfc29b"/>
    <ds:schemaRef ds:uri="0dba90a0-6f95-49f9-89bb-e1cbdbfcdba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EXECUTIVE SUMMARY</vt:lpstr>
      <vt:lpstr>TENDER SUMMARY</vt:lpstr>
      <vt:lpstr>STAFF COST FORECAST</vt:lpstr>
      <vt:lpstr>DESIGN &amp; ENGINEERING</vt:lpstr>
      <vt:lpstr>SITE COSTS</vt:lpstr>
      <vt:lpstr>MOCKUP &amp; TESTING</vt:lpstr>
      <vt:lpstr>TRANSPORT &amp; LOGISTICS</vt:lpstr>
      <vt:lpstr>PROJECT MANAGEMENT OFFICES</vt:lpstr>
      <vt:lpstr>PRODUCTION &amp; PROCUREMENT</vt:lpstr>
      <vt:lpstr>OVERHEADS &amp; FINANCIAL COSTS</vt:lpstr>
      <vt:lpstr>BOQ SUMMARY backup</vt:lpstr>
      <vt:lpstr>BOQ SUMMARY</vt:lpstr>
      <vt:lpstr>MANUAL BOQ</vt:lpstr>
      <vt:lpstr>40 HC CALC. (H)</vt:lpstr>
      <vt:lpstr>40 HC CALC. (V)</vt:lpstr>
      <vt:lpstr>TH-SYD AAW</vt:lpstr>
      <vt:lpstr>ONPPS</vt:lpstr>
      <vt:lpstr>ONPTT</vt:lpstr>
      <vt:lpstr>PFT</vt:lpstr>
      <vt:lpstr>'TH-SYD AAW'!Print_Area</vt:lpstr>
      <vt:lpstr>SQM</vt:lpstr>
      <vt:lpstr>TEXR</vt:lpstr>
      <vt:lpstr>UEXR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Dale Liu</dc:creator>
  <cp:keywords/>
  <dc:description/>
  <cp:lastModifiedBy>Cathy Chen</cp:lastModifiedBy>
  <cp:revision/>
  <dcterms:created xsi:type="dcterms:W3CDTF">2022-07-21T05:40:08Z</dcterms:created>
  <dcterms:modified xsi:type="dcterms:W3CDTF">2023-06-02T04:11:41Z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0x010100233FDC9C50B1D940A3CC676778880241</vt:lpwstr>
  </property>
  <property fmtid="{D5CDD505-2E9C-101B-9397-08002B2CF9AE}" pid="3" name="MediaServiceImageTags">
    <vt:lpwstr/>
  </property>
</Properties>
</file>